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5.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4" codeName="{00000000-0000-0000-0000-000000000000}"/>
  <workbookPr codeName="ThisWorkbook"/>
  <mc:AlternateContent xmlns:mc="http://schemas.openxmlformats.org/markup-compatibility/2006">
    <mc:Choice Requires="x15">
      <x15ac:absPath xmlns:x15ac="http://schemas.microsoft.com/office/spreadsheetml/2010/11/ac" url="https://servcc-my.sharepoint.com/personal/carole_nguyen_ratp_fr/Documents/Bureau/Version alternative pour diffusion (données fausses)/"/>
    </mc:Choice>
  </mc:AlternateContent>
  <xr:revisionPtr revIDLastSave="358" documentId="13_ncr:1_{B08A6A28-AEC2-476E-9D44-45FE7448BCC0}" xr6:coauthVersionLast="47" xr6:coauthVersionMax="47" xr10:uidLastSave="{5985B153-263A-4256-9D80-F39A965B66B1}"/>
  <bookViews>
    <workbookView xWindow="28680" yWindow="-120" windowWidth="29040" windowHeight="15840" firstSheet="14" activeTab="14" xr2:uid="{00000000-000D-0000-FFFF-FFFF00000000}"/>
  </bookViews>
  <sheets>
    <sheet name="Découpages et Synthèse " sheetId="1" r:id="rId1"/>
    <sheet name="Modèle" sheetId="347" r:id="rId2"/>
    <sheet name="Synthese" sheetId="339" r:id="rId3"/>
    <sheet name="estimation FES" sheetId="290" r:id="rId4"/>
    <sheet name="FES et Prod - TRIM - vierge" sheetId="289" r:id="rId5"/>
    <sheet name="BPU - 5 titulaires - PRESTATION" sheetId="340" r:id="rId6"/>
    <sheet name="BPU - 5 titulaires - FOURNITURE" sheetId="345" r:id="rId7"/>
    <sheet name="BPU - NXO Data - prest + fourni" sheetId="299" r:id="rId8"/>
    <sheet name="BPU - fourniture RATP" sheetId="343" r:id="rId9"/>
    <sheet name="BPU - Marché PDS" sheetId="344" r:id="rId10"/>
    <sheet name="BPU - 5 titulaires Taux horaire" sheetId="342" r:id="rId11"/>
    <sheet name="BPU - 5 titulaires - Coef. majo" sheetId="346" r:id="rId12"/>
    <sheet name="Coefficient révision" sheetId="341" r:id="rId13"/>
    <sheet name="Phase 1" sheetId="348" r:id="rId14"/>
    <sheet name="Phase 2" sheetId="349" r:id="rId15"/>
  </sheets>
  <definedNames>
    <definedName name="_xlnm._FilterDatabase" localSheetId="6" hidden="1">'BPU - 5 titulaires - FOURNITURE'!$A$3:$C$3</definedName>
    <definedName name="_xlnm._FilterDatabase" localSheetId="5" hidden="1">'BPU - 5 titulaires - PRESTATION'!$A$3:$C$671</definedName>
    <definedName name="_xlnm._FilterDatabase" localSheetId="8" hidden="1">'BPU - fourniture RATP'!$A$2:$G$425</definedName>
    <definedName name="_k_EIFFAGE" localSheetId="11">'Coefficient révision'!$A$2</definedName>
    <definedName name="_k_EIFFAGE" localSheetId="6">'Coefficient révision'!$A$2</definedName>
    <definedName name="_k_EIFFAGE" localSheetId="5">'Coefficient révision'!$A$2</definedName>
    <definedName name="_k_EIFFAGE" localSheetId="10">'Coefficient révision'!$A$2</definedName>
    <definedName name="_k_EIFFAGE" localSheetId="8">'Coefficient révision'!$A$2</definedName>
    <definedName name="_k_EIFFAGE" localSheetId="9">'Coefficient révision'!$A$2</definedName>
    <definedName name="_k_EIFFAGE" localSheetId="7">#REF!</definedName>
    <definedName name="_k_EIFFAGE" localSheetId="12">'Coefficient révision'!$A$2</definedName>
    <definedName name="_k_EIFFAGE">#REF!</definedName>
    <definedName name="_k_ERI" localSheetId="11">'Coefficient révision'!$B$2</definedName>
    <definedName name="_k_ERI" localSheetId="6">'Coefficient révision'!$B$2</definedName>
    <definedName name="_k_ERI" localSheetId="5">'Coefficient révision'!$B$2</definedName>
    <definedName name="_k_ERI" localSheetId="10">'Coefficient révision'!$B$2</definedName>
    <definedName name="_k_ERI" localSheetId="8">'Coefficient révision'!$B$2</definedName>
    <definedName name="_k_ERI" localSheetId="9">'Coefficient révision'!$B$2</definedName>
    <definedName name="_k_ERI" localSheetId="7">#REF!</definedName>
    <definedName name="_k_ERI" localSheetId="12">'Coefficient révision'!$B$2</definedName>
    <definedName name="_k_ERI">#REF!</definedName>
    <definedName name="_k_INEO" localSheetId="11">'Coefficient révision'!$C$2</definedName>
    <definedName name="_k_INEO" localSheetId="6">'Coefficient révision'!$C$2</definedName>
    <definedName name="_k_INEO" localSheetId="5">'Coefficient révision'!$C$2</definedName>
    <definedName name="_k_INEO" localSheetId="10">'Coefficient révision'!$C$2</definedName>
    <definedName name="_k_INEO" localSheetId="8">'Coefficient révision'!$C$2</definedName>
    <definedName name="_k_INEO" localSheetId="9">'Coefficient révision'!$C$2</definedName>
    <definedName name="_k_INEO" localSheetId="7">#REF!</definedName>
    <definedName name="_k_INEO" localSheetId="12">'Coefficient révision'!$C$2</definedName>
    <definedName name="_k_INEO">#REF!</definedName>
    <definedName name="_k_RévisionPrix">#REF!</definedName>
    <definedName name="_k_SDEL" localSheetId="11">'Coefficient révision'!$D$2</definedName>
    <definedName name="_k_SDEL" localSheetId="6">'Coefficient révision'!$D$2</definedName>
    <definedName name="_k_SDEL" localSheetId="5">'Coefficient révision'!$D$2</definedName>
    <definedName name="_k_SDEL" localSheetId="10">'Coefficient révision'!$D$2</definedName>
    <definedName name="_k_SDEL" localSheetId="8">'Coefficient révision'!$D$2</definedName>
    <definedName name="_k_SDEL" localSheetId="9">'Coefficient révision'!$D$2</definedName>
    <definedName name="_k_SDEL" localSheetId="7">#REF!</definedName>
    <definedName name="_k_SDEL" localSheetId="12">'Coefficient révision'!$D$2</definedName>
    <definedName name="_k_SDEL">#REF!</definedName>
    <definedName name="_k_SOGETREL" localSheetId="11">'Coefficient révision'!$E$2</definedName>
    <definedName name="_k_SOGETREL" localSheetId="6">'Coefficient révision'!$E$2</definedName>
    <definedName name="_k_SOGETREL" localSheetId="5">'Coefficient révision'!$E$2</definedName>
    <definedName name="_k_SOGETREL" localSheetId="10">'Coefficient révision'!$E$2</definedName>
    <definedName name="_k_SOGETREL" localSheetId="8">'Coefficient révision'!$E$2</definedName>
    <definedName name="_k_SOGETREL" localSheetId="9">'Coefficient révision'!$E$2</definedName>
    <definedName name="_k_SOGETREL" localSheetId="7">#REF!</definedName>
    <definedName name="_k_SOGETREL" localSheetId="12">'Coefficient révision'!$E$2</definedName>
    <definedName name="_k_SOGETREL">#REF!</definedName>
    <definedName name="Profil">#REF!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76" i="349" l="1" a="1"/>
  <c r="C76" i="349" s="1"/>
  <c r="H68" i="349"/>
  <c r="K68" i="349" s="1"/>
  <c r="G68" i="349"/>
  <c r="J68" i="349" s="1"/>
  <c r="J70" i="349" s="1"/>
  <c r="C68" i="349"/>
  <c r="B68" i="349"/>
  <c r="J67" i="349"/>
  <c r="I67" i="349"/>
  <c r="L67" i="349" s="1"/>
  <c r="H67" i="349"/>
  <c r="K67" i="349" s="1"/>
  <c r="G67" i="349"/>
  <c r="C67" i="349"/>
  <c r="B67" i="349"/>
  <c r="G61" i="349"/>
  <c r="H61" i="349" s="1"/>
  <c r="D61" i="349"/>
  <c r="C61" i="349"/>
  <c r="B61" i="349"/>
  <c r="G60" i="349"/>
  <c r="H60" i="349" s="1"/>
  <c r="H62" i="349" s="1"/>
  <c r="C80" i="349" s="1"/>
  <c r="D60" i="349"/>
  <c r="C60" i="349"/>
  <c r="B60" i="349"/>
  <c r="F54" i="349"/>
  <c r="G54" i="349" s="1"/>
  <c r="B54" i="349"/>
  <c r="F53" i="349"/>
  <c r="G53" i="349" s="1"/>
  <c r="G56" i="349" s="1"/>
  <c r="C81" i="349" s="1"/>
  <c r="B53" i="349"/>
  <c r="P42" i="349"/>
  <c r="O42" i="349"/>
  <c r="M42" i="349"/>
  <c r="N42" i="349" s="1"/>
  <c r="K42" i="349"/>
  <c r="L42" i="349" s="1"/>
  <c r="J42" i="349"/>
  <c r="I42" i="349"/>
  <c r="G42" i="349"/>
  <c r="H42" i="349" s="1"/>
  <c r="P41" i="349"/>
  <c r="O41" i="349"/>
  <c r="N41" i="349"/>
  <c r="M41" i="349"/>
  <c r="K41" i="349"/>
  <c r="L41" i="349" s="1"/>
  <c r="I41" i="349"/>
  <c r="J41" i="349" s="1"/>
  <c r="H41" i="349"/>
  <c r="G41" i="349"/>
  <c r="O38" i="349"/>
  <c r="P38" i="349" s="1"/>
  <c r="N38" i="349"/>
  <c r="M38" i="349"/>
  <c r="K38" i="349"/>
  <c r="L38" i="349" s="1"/>
  <c r="I38" i="349"/>
  <c r="J38" i="349" s="1"/>
  <c r="G38" i="349"/>
  <c r="H38" i="349" s="1"/>
  <c r="C38" i="349"/>
  <c r="B38" i="349"/>
  <c r="O37" i="349"/>
  <c r="P37" i="349" s="1"/>
  <c r="M37" i="349"/>
  <c r="N37" i="349" s="1"/>
  <c r="K37" i="349"/>
  <c r="L37" i="349" s="1"/>
  <c r="I37" i="349"/>
  <c r="J37" i="349" s="1"/>
  <c r="G37" i="349"/>
  <c r="H37" i="349" s="1"/>
  <c r="C37" i="349"/>
  <c r="B37" i="349"/>
  <c r="L30" i="349"/>
  <c r="P28" i="349"/>
  <c r="N28" i="349"/>
  <c r="L28" i="349"/>
  <c r="J28" i="349"/>
  <c r="H28" i="349"/>
  <c r="P27" i="349"/>
  <c r="N27" i="349"/>
  <c r="L27" i="349"/>
  <c r="J27" i="349"/>
  <c r="H27" i="349"/>
  <c r="P26" i="349"/>
  <c r="N26" i="349"/>
  <c r="L26" i="349"/>
  <c r="J26" i="349"/>
  <c r="H26" i="349"/>
  <c r="P25" i="349"/>
  <c r="N25" i="349"/>
  <c r="N30" i="349" s="1"/>
  <c r="L25" i="349"/>
  <c r="J25" i="349"/>
  <c r="H25" i="349"/>
  <c r="P24" i="349"/>
  <c r="N24" i="349"/>
  <c r="L24" i="349"/>
  <c r="J24" i="349"/>
  <c r="H24" i="349"/>
  <c r="P23" i="349"/>
  <c r="N23" i="349"/>
  <c r="L23" i="349"/>
  <c r="J23" i="349"/>
  <c r="H23" i="349"/>
  <c r="P22" i="349"/>
  <c r="N22" i="349"/>
  <c r="L22" i="349"/>
  <c r="J22" i="349"/>
  <c r="H22" i="349"/>
  <c r="H30" i="349" s="1"/>
  <c r="P21" i="349"/>
  <c r="N21" i="349"/>
  <c r="L21" i="349"/>
  <c r="J21" i="349"/>
  <c r="J30" i="349" s="1"/>
  <c r="H21" i="349"/>
  <c r="P20" i="349"/>
  <c r="P30" i="349" s="1"/>
  <c r="N20" i="349"/>
  <c r="L20" i="349"/>
  <c r="J20" i="349"/>
  <c r="H20" i="349"/>
  <c r="O10" i="349"/>
  <c r="P10" i="349" s="1"/>
  <c r="N10" i="349"/>
  <c r="M10" i="349"/>
  <c r="K10" i="349"/>
  <c r="L10" i="349" s="1"/>
  <c r="J10" i="349"/>
  <c r="I10" i="349"/>
  <c r="G10" i="349"/>
  <c r="H10" i="349" s="1"/>
  <c r="C10" i="349"/>
  <c r="B10" i="349"/>
  <c r="O9" i="349"/>
  <c r="P9" i="349" s="1"/>
  <c r="N9" i="349"/>
  <c r="M9" i="349"/>
  <c r="K9" i="349"/>
  <c r="L9" i="349" s="1"/>
  <c r="I9" i="349"/>
  <c r="J9" i="349" s="1"/>
  <c r="G9" i="349"/>
  <c r="H9" i="349" s="1"/>
  <c r="C9" i="349"/>
  <c r="B9" i="349"/>
  <c r="C76" i="348" a="1"/>
  <c r="C76" i="348" s="1"/>
  <c r="H68" i="348"/>
  <c r="K68" i="348" s="1"/>
  <c r="G68" i="348"/>
  <c r="J68" i="348" s="1"/>
  <c r="C68" i="348"/>
  <c r="B68" i="348"/>
  <c r="H67" i="348"/>
  <c r="K67" i="348" s="1"/>
  <c r="K70" i="348" s="1"/>
  <c r="G67" i="348"/>
  <c r="J67" i="348" s="1"/>
  <c r="J70" i="348" s="1"/>
  <c r="C67" i="348"/>
  <c r="B67" i="348"/>
  <c r="G61" i="348"/>
  <c r="H61" i="348" s="1"/>
  <c r="D61" i="348"/>
  <c r="C61" i="348"/>
  <c r="B61" i="348"/>
  <c r="G60" i="348"/>
  <c r="H60" i="348" s="1"/>
  <c r="D60" i="348"/>
  <c r="C60" i="348"/>
  <c r="B60" i="348"/>
  <c r="G54" i="348"/>
  <c r="F54" i="348"/>
  <c r="B54" i="348"/>
  <c r="F53" i="348"/>
  <c r="G53" i="348" s="1"/>
  <c r="G56" i="348" s="1"/>
  <c r="C81" i="348" s="1"/>
  <c r="B53" i="348"/>
  <c r="P42" i="348"/>
  <c r="O42" i="348"/>
  <c r="M42" i="348"/>
  <c r="N42" i="348" s="1"/>
  <c r="L42" i="348"/>
  <c r="K42" i="348"/>
  <c r="I42" i="348"/>
  <c r="J42" i="348" s="1"/>
  <c r="H42" i="348"/>
  <c r="G42" i="348"/>
  <c r="P41" i="348"/>
  <c r="O41" i="348"/>
  <c r="N41" i="348"/>
  <c r="M41" i="348"/>
  <c r="K41" i="348"/>
  <c r="L41" i="348" s="1"/>
  <c r="J41" i="348"/>
  <c r="I41" i="348"/>
  <c r="G41" i="348"/>
  <c r="H41" i="348" s="1"/>
  <c r="O38" i="348"/>
  <c r="P38" i="348" s="1"/>
  <c r="M38" i="348"/>
  <c r="N38" i="348" s="1"/>
  <c r="K38" i="348"/>
  <c r="L38" i="348" s="1"/>
  <c r="I38" i="348"/>
  <c r="J38" i="348" s="1"/>
  <c r="H38" i="348"/>
  <c r="G38" i="348"/>
  <c r="C38" i="348"/>
  <c r="B38" i="348"/>
  <c r="O37" i="348"/>
  <c r="P37" i="348" s="1"/>
  <c r="M37" i="348"/>
  <c r="N37" i="348" s="1"/>
  <c r="K37" i="348"/>
  <c r="L37" i="348" s="1"/>
  <c r="I37" i="348"/>
  <c r="J37" i="348" s="1"/>
  <c r="G37" i="348"/>
  <c r="H37" i="348" s="1"/>
  <c r="H44" i="348" s="1"/>
  <c r="C37" i="348"/>
  <c r="B37" i="348"/>
  <c r="P28" i="348"/>
  <c r="N28" i="348"/>
  <c r="L28" i="348"/>
  <c r="J28" i="348"/>
  <c r="H28" i="348"/>
  <c r="P27" i="348"/>
  <c r="N27" i="348"/>
  <c r="L27" i="348"/>
  <c r="J27" i="348"/>
  <c r="H27" i="348"/>
  <c r="P26" i="348"/>
  <c r="N26" i="348"/>
  <c r="L26" i="348"/>
  <c r="J26" i="348"/>
  <c r="H26" i="348"/>
  <c r="P25" i="348"/>
  <c r="N25" i="348"/>
  <c r="L25" i="348"/>
  <c r="J25" i="348"/>
  <c r="H25" i="348"/>
  <c r="P24" i="348"/>
  <c r="N24" i="348"/>
  <c r="L24" i="348"/>
  <c r="J24" i="348"/>
  <c r="H24" i="348"/>
  <c r="P23" i="348"/>
  <c r="N23" i="348"/>
  <c r="L23" i="348"/>
  <c r="J23" i="348"/>
  <c r="H23" i="348"/>
  <c r="P22" i="348"/>
  <c r="N22" i="348"/>
  <c r="L22" i="348"/>
  <c r="J22" i="348"/>
  <c r="H22" i="348"/>
  <c r="P21" i="348"/>
  <c r="N21" i="348"/>
  <c r="L21" i="348"/>
  <c r="J21" i="348"/>
  <c r="H21" i="348"/>
  <c r="P20" i="348"/>
  <c r="N20" i="348"/>
  <c r="L20" i="348"/>
  <c r="J20" i="348"/>
  <c r="J30" i="348" s="1"/>
  <c r="H20" i="348"/>
  <c r="P10" i="348"/>
  <c r="O10" i="348"/>
  <c r="M10" i="348"/>
  <c r="N10" i="348" s="1"/>
  <c r="K10" i="348"/>
  <c r="L10" i="348" s="1"/>
  <c r="I10" i="348"/>
  <c r="J10" i="348" s="1"/>
  <c r="G10" i="348"/>
  <c r="H10" i="348" s="1"/>
  <c r="C10" i="348"/>
  <c r="B10" i="348"/>
  <c r="O9" i="348"/>
  <c r="P9" i="348" s="1"/>
  <c r="M9" i="348"/>
  <c r="N9" i="348" s="1"/>
  <c r="K9" i="348"/>
  <c r="L9" i="348" s="1"/>
  <c r="I9" i="348"/>
  <c r="J9" i="348" s="1"/>
  <c r="G9" i="348"/>
  <c r="H9" i="348" s="1"/>
  <c r="C9" i="348"/>
  <c r="B9" i="348"/>
  <c r="I108" i="344"/>
  <c r="C60" i="347"/>
  <c r="B60" i="347"/>
  <c r="G60" i="347"/>
  <c r="D60" i="347"/>
  <c r="A1" i="347" a="1"/>
  <c r="A1" i="347" s="1"/>
  <c r="O9" i="347"/>
  <c r="P9" i="347" s="1"/>
  <c r="M9" i="347"/>
  <c r="N9" i="347" s="1"/>
  <c r="K9" i="347"/>
  <c r="L9" i="347" s="1"/>
  <c r="I9" i="347"/>
  <c r="J9" i="347" s="1"/>
  <c r="G9" i="347"/>
  <c r="H9" i="347" s="1"/>
  <c r="C9" i="347"/>
  <c r="B9" i="347"/>
  <c r="O41" i="347"/>
  <c r="P41" i="347" s="1"/>
  <c r="M41" i="347"/>
  <c r="N41" i="347" s="1"/>
  <c r="K41" i="347"/>
  <c r="L41" i="347" s="1"/>
  <c r="I41" i="347"/>
  <c r="J41" i="347" s="1"/>
  <c r="G41" i="347"/>
  <c r="H41" i="347" s="1"/>
  <c r="O42" i="347"/>
  <c r="M42" i="347"/>
  <c r="K42" i="347"/>
  <c r="I42" i="347"/>
  <c r="G42" i="347"/>
  <c r="P44" i="349" l="1"/>
  <c r="H44" i="349"/>
  <c r="J44" i="349"/>
  <c r="L44" i="349"/>
  <c r="N44" i="349"/>
  <c r="N44" i="348"/>
  <c r="K70" i="349"/>
  <c r="P44" i="348"/>
  <c r="P30" i="348"/>
  <c r="H30" i="348"/>
  <c r="I68" i="349"/>
  <c r="L68" i="349" s="1"/>
  <c r="L70" i="349" s="1"/>
  <c r="C83" i="349" s="1"/>
  <c r="L30" i="348"/>
  <c r="N30" i="348"/>
  <c r="H62" i="348"/>
  <c r="C80" i="348" s="1"/>
  <c r="J44" i="348"/>
  <c r="L44" i="348"/>
  <c r="I67" i="348"/>
  <c r="L67" i="348" s="1"/>
  <c r="I68" i="348"/>
  <c r="L68" i="348" s="1"/>
  <c r="H67" i="347"/>
  <c r="K67" i="347" s="1"/>
  <c r="G67" i="347"/>
  <c r="J67" i="347" s="1"/>
  <c r="C67" i="347"/>
  <c r="B67" i="347"/>
  <c r="H68" i="347"/>
  <c r="K68" i="347" s="1"/>
  <c r="G68" i="347"/>
  <c r="C68" i="347"/>
  <c r="B68" i="347"/>
  <c r="L70" i="348" l="1"/>
  <c r="C83" i="348" s="1"/>
  <c r="I67" i="347"/>
  <c r="L67" i="347" s="1"/>
  <c r="K70" i="347"/>
  <c r="J68" i="347"/>
  <c r="I68" i="347"/>
  <c r="L68" i="347" s="1"/>
  <c r="J70" i="347" l="1"/>
  <c r="L70" i="347"/>
  <c r="C83" i="347" s="1"/>
  <c r="F29" i="290" l="1"/>
  <c r="C76" i="347" a="1"/>
  <c r="C76" i="347" s="1"/>
  <c r="F54" i="347"/>
  <c r="F53" i="347"/>
  <c r="P28" i="347" l="1"/>
  <c r="P27" i="347"/>
  <c r="P26" i="347"/>
  <c r="P25" i="347"/>
  <c r="P24" i="347"/>
  <c r="P22" i="347"/>
  <c r="P21" i="347"/>
  <c r="N28" i="347"/>
  <c r="N27" i="347"/>
  <c r="N26" i="347"/>
  <c r="N25" i="347"/>
  <c r="N24" i="347"/>
  <c r="N22" i="347"/>
  <c r="N21" i="347"/>
  <c r="L28" i="347"/>
  <c r="L27" i="347"/>
  <c r="L26" i="347"/>
  <c r="L25" i="347"/>
  <c r="L24" i="347"/>
  <c r="L22" i="347"/>
  <c r="L21" i="347"/>
  <c r="J28" i="347"/>
  <c r="J27" i="347"/>
  <c r="J26" i="347"/>
  <c r="J25" i="347"/>
  <c r="J24" i="347"/>
  <c r="J22" i="347"/>
  <c r="J21" i="347"/>
  <c r="G53" i="347"/>
  <c r="B53" i="347"/>
  <c r="H28" i="347"/>
  <c r="H27" i="347"/>
  <c r="H26" i="347"/>
  <c r="H25" i="347"/>
  <c r="H24" i="347"/>
  <c r="H22" i="347"/>
  <c r="G61" i="347" l="1"/>
  <c r="H61" i="347" s="1"/>
  <c r="D61" i="347"/>
  <c r="C61" i="347"/>
  <c r="B61" i="347"/>
  <c r="H60" i="347"/>
  <c r="G54" i="347"/>
  <c r="G56" i="347" s="1"/>
  <c r="B54" i="347"/>
  <c r="P42" i="347"/>
  <c r="N42" i="347"/>
  <c r="L42" i="347"/>
  <c r="J42" i="347"/>
  <c r="H42" i="347"/>
  <c r="O38" i="347"/>
  <c r="P38" i="347" s="1"/>
  <c r="M38" i="347"/>
  <c r="N38" i="347" s="1"/>
  <c r="K38" i="347"/>
  <c r="L38" i="347" s="1"/>
  <c r="I38" i="347"/>
  <c r="J38" i="347" s="1"/>
  <c r="G38" i="347"/>
  <c r="H38" i="347" s="1"/>
  <c r="C38" i="347"/>
  <c r="B38" i="347"/>
  <c r="C37" i="347"/>
  <c r="B37" i="347"/>
  <c r="P23" i="347"/>
  <c r="N23" i="347"/>
  <c r="L23" i="347"/>
  <c r="J23" i="347"/>
  <c r="H23" i="347"/>
  <c r="P20" i="347"/>
  <c r="N20" i="347"/>
  <c r="L20" i="347"/>
  <c r="J20" i="347"/>
  <c r="H20" i="347"/>
  <c r="O10" i="347"/>
  <c r="P10" i="347" s="1"/>
  <c r="M10" i="347"/>
  <c r="N10" i="347" s="1"/>
  <c r="K10" i="347"/>
  <c r="L10" i="347" s="1"/>
  <c r="I10" i="347"/>
  <c r="J10" i="347" s="1"/>
  <c r="G10" i="347"/>
  <c r="H10" i="347" s="1"/>
  <c r="C10" i="347"/>
  <c r="B10" i="347"/>
  <c r="H62" i="347" l="1"/>
  <c r="C80" i="347" s="1"/>
  <c r="C81" i="347"/>
  <c r="I4" i="345" l="1"/>
  <c r="K4" i="345"/>
  <c r="M4" i="345"/>
  <c r="O4" i="345"/>
  <c r="Q4" i="345"/>
  <c r="I5" i="345"/>
  <c r="K5" i="345"/>
  <c r="M5" i="345"/>
  <c r="O5" i="345"/>
  <c r="Q5" i="345"/>
  <c r="I6" i="345"/>
  <c r="K6" i="345"/>
  <c r="M6" i="345"/>
  <c r="O6" i="345"/>
  <c r="Q6" i="345"/>
  <c r="I7" i="345"/>
  <c r="K7" i="345"/>
  <c r="M7" i="345"/>
  <c r="O7" i="345"/>
  <c r="Q7" i="345"/>
  <c r="I8" i="345"/>
  <c r="K8" i="345"/>
  <c r="M8" i="345"/>
  <c r="O8" i="345"/>
  <c r="Q8" i="345"/>
  <c r="I9" i="345"/>
  <c r="K9" i="345"/>
  <c r="M9" i="345"/>
  <c r="O9" i="345"/>
  <c r="Q9" i="345"/>
  <c r="I10" i="345"/>
  <c r="K10" i="345"/>
  <c r="M10" i="345"/>
  <c r="O10" i="345"/>
  <c r="Q10" i="345"/>
  <c r="I11" i="345"/>
  <c r="K11" i="345"/>
  <c r="M11" i="345"/>
  <c r="O11" i="345"/>
  <c r="Q11" i="345"/>
  <c r="I12" i="345"/>
  <c r="K12" i="345"/>
  <c r="M12" i="345"/>
  <c r="O12" i="345"/>
  <c r="Q12" i="345"/>
  <c r="I13" i="345"/>
  <c r="K13" i="345"/>
  <c r="M13" i="345"/>
  <c r="O13" i="345"/>
  <c r="Q13" i="345"/>
  <c r="I14" i="345"/>
  <c r="K14" i="345"/>
  <c r="M14" i="345"/>
  <c r="O14" i="345"/>
  <c r="Q14" i="345"/>
  <c r="I15" i="345"/>
  <c r="K15" i="345"/>
  <c r="M15" i="345"/>
  <c r="O15" i="345"/>
  <c r="Q15" i="345"/>
  <c r="I16" i="345"/>
  <c r="K16" i="345"/>
  <c r="M16" i="345"/>
  <c r="O16" i="345"/>
  <c r="Q16" i="345"/>
  <c r="I17" i="345"/>
  <c r="K17" i="345"/>
  <c r="M17" i="345"/>
  <c r="O17" i="345"/>
  <c r="Q17" i="345"/>
  <c r="I18" i="345"/>
  <c r="K18" i="345"/>
  <c r="M18" i="345"/>
  <c r="O18" i="345"/>
  <c r="Q18" i="345"/>
  <c r="I19" i="345"/>
  <c r="K19" i="345"/>
  <c r="M19" i="345"/>
  <c r="O19" i="345"/>
  <c r="Q19" i="345"/>
  <c r="I20" i="345"/>
  <c r="K20" i="345"/>
  <c r="M20" i="345"/>
  <c r="O20" i="345"/>
  <c r="Q20" i="345"/>
  <c r="I21" i="345"/>
  <c r="K21" i="345"/>
  <c r="M21" i="345"/>
  <c r="O21" i="345"/>
  <c r="Q21" i="345"/>
  <c r="I22" i="345"/>
  <c r="K22" i="345"/>
  <c r="M22" i="345"/>
  <c r="O22" i="345"/>
  <c r="Q22" i="345"/>
  <c r="I23" i="345"/>
  <c r="K23" i="345"/>
  <c r="M23" i="345"/>
  <c r="O23" i="345"/>
  <c r="Q23" i="345"/>
  <c r="I24" i="345"/>
  <c r="K24" i="345"/>
  <c r="M24" i="345"/>
  <c r="O24" i="345"/>
  <c r="Q24" i="345"/>
  <c r="I25" i="345"/>
  <c r="K25" i="345"/>
  <c r="M25" i="345"/>
  <c r="O25" i="345"/>
  <c r="Q25" i="345"/>
  <c r="I26" i="345"/>
  <c r="K26" i="345"/>
  <c r="M26" i="345"/>
  <c r="O26" i="345"/>
  <c r="Q26" i="345"/>
  <c r="I27" i="345"/>
  <c r="K27" i="345"/>
  <c r="M27" i="345"/>
  <c r="O27" i="345"/>
  <c r="Q27" i="345"/>
  <c r="I28" i="345"/>
  <c r="K28" i="345"/>
  <c r="M28" i="345"/>
  <c r="O28" i="345"/>
  <c r="Q28" i="345"/>
  <c r="I29" i="345"/>
  <c r="K29" i="345"/>
  <c r="M29" i="345"/>
  <c r="O29" i="345"/>
  <c r="Q29" i="345"/>
  <c r="I30" i="345"/>
  <c r="K30" i="345"/>
  <c r="M30" i="345"/>
  <c r="O30" i="345"/>
  <c r="Q30" i="345"/>
  <c r="I31" i="345"/>
  <c r="K31" i="345"/>
  <c r="M31" i="345"/>
  <c r="O31" i="345"/>
  <c r="Q31" i="345"/>
  <c r="I32" i="345"/>
  <c r="K32" i="345"/>
  <c r="M32" i="345"/>
  <c r="O32" i="345"/>
  <c r="Q32" i="345"/>
  <c r="I33" i="345"/>
  <c r="K33" i="345"/>
  <c r="M33" i="345"/>
  <c r="O33" i="345"/>
  <c r="Q33" i="345"/>
  <c r="I34" i="345"/>
  <c r="K34" i="345"/>
  <c r="M34" i="345"/>
  <c r="O34" i="345"/>
  <c r="Q34" i="345"/>
  <c r="I35" i="345"/>
  <c r="K35" i="345"/>
  <c r="M35" i="345"/>
  <c r="O35" i="345"/>
  <c r="Q35" i="345"/>
  <c r="I36" i="345"/>
  <c r="K36" i="345"/>
  <c r="M36" i="345"/>
  <c r="O36" i="345"/>
  <c r="Q36" i="345"/>
  <c r="I37" i="345"/>
  <c r="K37" i="345"/>
  <c r="M37" i="345"/>
  <c r="O37" i="345"/>
  <c r="Q37" i="345"/>
  <c r="I38" i="345"/>
  <c r="K38" i="345"/>
  <c r="M38" i="345"/>
  <c r="O38" i="345"/>
  <c r="Q38" i="345"/>
  <c r="I39" i="345"/>
  <c r="K39" i="345"/>
  <c r="M39" i="345"/>
  <c r="O39" i="345"/>
  <c r="Q39" i="345"/>
  <c r="I40" i="345"/>
  <c r="K40" i="345"/>
  <c r="M40" i="345"/>
  <c r="O40" i="345"/>
  <c r="Q40" i="345"/>
  <c r="I41" i="345"/>
  <c r="K41" i="345"/>
  <c r="M41" i="345"/>
  <c r="O41" i="345"/>
  <c r="Q41" i="345"/>
  <c r="I42" i="345"/>
  <c r="K42" i="345"/>
  <c r="M42" i="345"/>
  <c r="O42" i="345"/>
  <c r="Q42" i="345"/>
  <c r="I43" i="345"/>
  <c r="K43" i="345"/>
  <c r="M43" i="345"/>
  <c r="O43" i="345"/>
  <c r="Q43" i="345"/>
  <c r="I44" i="345"/>
  <c r="K44" i="345"/>
  <c r="M44" i="345"/>
  <c r="O44" i="345"/>
  <c r="Q44" i="345"/>
  <c r="I45" i="345"/>
  <c r="K45" i="345"/>
  <c r="M45" i="345"/>
  <c r="O45" i="345"/>
  <c r="Q45" i="345"/>
  <c r="I46" i="345"/>
  <c r="K46" i="345"/>
  <c r="M46" i="345"/>
  <c r="O46" i="345"/>
  <c r="Q46" i="345"/>
  <c r="I47" i="345"/>
  <c r="K47" i="345"/>
  <c r="M47" i="345"/>
  <c r="O47" i="345"/>
  <c r="Q47" i="345"/>
  <c r="I48" i="345"/>
  <c r="K48" i="345"/>
  <c r="M48" i="345"/>
  <c r="O48" i="345"/>
  <c r="Q48" i="345"/>
  <c r="I49" i="345"/>
  <c r="K49" i="345"/>
  <c r="M49" i="345"/>
  <c r="O49" i="345"/>
  <c r="Q49" i="345"/>
  <c r="I50" i="345"/>
  <c r="K50" i="345"/>
  <c r="M50" i="345"/>
  <c r="O50" i="345"/>
  <c r="Q50" i="345"/>
  <c r="I51" i="345"/>
  <c r="K51" i="345"/>
  <c r="M51" i="345"/>
  <c r="O51" i="345"/>
  <c r="Q51" i="345"/>
  <c r="I52" i="345"/>
  <c r="K52" i="345"/>
  <c r="M52" i="345"/>
  <c r="O52" i="345"/>
  <c r="Q52" i="345"/>
  <c r="I53" i="345"/>
  <c r="K53" i="345"/>
  <c r="M53" i="345"/>
  <c r="O53" i="345"/>
  <c r="Q53" i="345"/>
  <c r="I54" i="345"/>
  <c r="K54" i="345"/>
  <c r="M54" i="345"/>
  <c r="O54" i="345"/>
  <c r="Q54" i="345"/>
  <c r="I55" i="345"/>
  <c r="K55" i="345"/>
  <c r="M55" i="345"/>
  <c r="O55" i="345"/>
  <c r="Q55" i="345"/>
  <c r="I56" i="345"/>
  <c r="K56" i="345"/>
  <c r="M56" i="345"/>
  <c r="O56" i="345"/>
  <c r="Q56" i="345"/>
  <c r="I57" i="345"/>
  <c r="K57" i="345"/>
  <c r="M57" i="345"/>
  <c r="O57" i="345"/>
  <c r="Q57" i="345"/>
  <c r="I58" i="345"/>
  <c r="K58" i="345"/>
  <c r="M58" i="345"/>
  <c r="O58" i="345"/>
  <c r="Q58" i="345"/>
  <c r="I59" i="345"/>
  <c r="K59" i="345"/>
  <c r="M59" i="345"/>
  <c r="O59" i="345"/>
  <c r="Q59" i="345"/>
  <c r="I60" i="345"/>
  <c r="K60" i="345"/>
  <c r="M60" i="345"/>
  <c r="O60" i="345"/>
  <c r="Q60" i="345"/>
  <c r="I61" i="345"/>
  <c r="K61" i="345"/>
  <c r="M61" i="345"/>
  <c r="O61" i="345"/>
  <c r="Q61" i="345"/>
  <c r="I62" i="345"/>
  <c r="K62" i="345"/>
  <c r="M62" i="345"/>
  <c r="O62" i="345"/>
  <c r="Q62" i="345"/>
  <c r="I63" i="345"/>
  <c r="K63" i="345"/>
  <c r="M63" i="345"/>
  <c r="O63" i="345"/>
  <c r="Q63" i="345"/>
  <c r="I64" i="345"/>
  <c r="K64" i="345"/>
  <c r="M64" i="345"/>
  <c r="O64" i="345"/>
  <c r="Q64" i="345"/>
  <c r="I65" i="345"/>
  <c r="K65" i="345"/>
  <c r="M65" i="345"/>
  <c r="O65" i="345"/>
  <c r="Q65" i="345"/>
  <c r="I66" i="345"/>
  <c r="K66" i="345"/>
  <c r="M66" i="345"/>
  <c r="O66" i="345"/>
  <c r="Q66" i="345"/>
  <c r="I67" i="345"/>
  <c r="K67" i="345"/>
  <c r="M67" i="345"/>
  <c r="O67" i="345"/>
  <c r="Q67" i="345"/>
  <c r="I68" i="345"/>
  <c r="K68" i="345"/>
  <c r="M68" i="345"/>
  <c r="O68" i="345"/>
  <c r="Q68" i="345"/>
  <c r="I69" i="345"/>
  <c r="K69" i="345"/>
  <c r="M69" i="345"/>
  <c r="O69" i="345"/>
  <c r="Q69" i="345"/>
  <c r="I70" i="345"/>
  <c r="K70" i="345"/>
  <c r="M70" i="345"/>
  <c r="O70" i="345"/>
  <c r="Q70" i="345"/>
  <c r="I71" i="345"/>
  <c r="K71" i="345"/>
  <c r="M71" i="345"/>
  <c r="O71" i="345"/>
  <c r="Q71" i="345"/>
  <c r="I72" i="345"/>
  <c r="K72" i="345"/>
  <c r="M72" i="345"/>
  <c r="O72" i="345"/>
  <c r="Q72" i="345"/>
  <c r="I73" i="345"/>
  <c r="K73" i="345"/>
  <c r="M73" i="345"/>
  <c r="O73" i="345"/>
  <c r="Q73" i="345"/>
  <c r="I74" i="345"/>
  <c r="K74" i="345"/>
  <c r="M74" i="345"/>
  <c r="O74" i="345"/>
  <c r="Q74" i="345"/>
  <c r="I75" i="345"/>
  <c r="K75" i="345"/>
  <c r="M75" i="345"/>
  <c r="O75" i="345"/>
  <c r="Q75" i="345"/>
  <c r="I76" i="345"/>
  <c r="K76" i="345"/>
  <c r="M76" i="345"/>
  <c r="O76" i="345"/>
  <c r="Q76" i="345"/>
  <c r="I77" i="345"/>
  <c r="K77" i="345"/>
  <c r="M77" i="345"/>
  <c r="O77" i="345"/>
  <c r="Q77" i="345"/>
  <c r="I78" i="345"/>
  <c r="K78" i="345"/>
  <c r="M78" i="345"/>
  <c r="O78" i="345"/>
  <c r="Q78" i="345"/>
  <c r="I79" i="345"/>
  <c r="K79" i="345"/>
  <c r="M79" i="345"/>
  <c r="O79" i="345"/>
  <c r="Q79" i="345"/>
  <c r="I80" i="345"/>
  <c r="K80" i="345"/>
  <c r="M80" i="345"/>
  <c r="O80" i="345"/>
  <c r="Q80" i="345"/>
  <c r="I81" i="345"/>
  <c r="K81" i="345"/>
  <c r="M81" i="345"/>
  <c r="O81" i="345"/>
  <c r="Q81" i="345"/>
  <c r="I82" i="345"/>
  <c r="K82" i="345"/>
  <c r="M82" i="345"/>
  <c r="O82" i="345"/>
  <c r="Q82" i="345"/>
  <c r="I83" i="345"/>
  <c r="K83" i="345"/>
  <c r="M83" i="345"/>
  <c r="O83" i="345"/>
  <c r="Q83" i="345"/>
  <c r="I84" i="345"/>
  <c r="K84" i="345"/>
  <c r="M84" i="345"/>
  <c r="O84" i="345"/>
  <c r="Q84" i="345"/>
  <c r="I85" i="345"/>
  <c r="K85" i="345"/>
  <c r="M85" i="345"/>
  <c r="O85" i="345"/>
  <c r="Q85" i="345"/>
  <c r="I86" i="345"/>
  <c r="K86" i="345"/>
  <c r="M86" i="345"/>
  <c r="O86" i="345"/>
  <c r="Q86" i="345"/>
  <c r="I87" i="345"/>
  <c r="K87" i="345"/>
  <c r="M87" i="345"/>
  <c r="O87" i="345"/>
  <c r="Q87" i="345"/>
  <c r="I88" i="345"/>
  <c r="K88" i="345"/>
  <c r="M88" i="345"/>
  <c r="O88" i="345"/>
  <c r="Q88" i="345"/>
  <c r="I89" i="345"/>
  <c r="K89" i="345"/>
  <c r="M89" i="345"/>
  <c r="O89" i="345"/>
  <c r="Q89" i="345"/>
  <c r="I90" i="345"/>
  <c r="K90" i="345"/>
  <c r="M90" i="345"/>
  <c r="O90" i="345"/>
  <c r="Q90" i="345"/>
  <c r="I91" i="345"/>
  <c r="K91" i="345"/>
  <c r="M91" i="345"/>
  <c r="O91" i="345"/>
  <c r="Q91" i="345"/>
  <c r="I92" i="345"/>
  <c r="K92" i="345"/>
  <c r="M92" i="345"/>
  <c r="O92" i="345"/>
  <c r="Q92" i="345"/>
  <c r="I93" i="345"/>
  <c r="K93" i="345"/>
  <c r="M93" i="345"/>
  <c r="O93" i="345"/>
  <c r="Q93" i="345"/>
  <c r="I94" i="345"/>
  <c r="K94" i="345"/>
  <c r="M94" i="345"/>
  <c r="O94" i="345"/>
  <c r="Q94" i="345"/>
  <c r="I95" i="345"/>
  <c r="K95" i="345"/>
  <c r="M95" i="345"/>
  <c r="O95" i="345"/>
  <c r="Q95" i="345"/>
  <c r="I96" i="345"/>
  <c r="K96" i="345"/>
  <c r="M96" i="345"/>
  <c r="O96" i="345"/>
  <c r="Q96" i="345"/>
  <c r="I97" i="345"/>
  <c r="K97" i="345"/>
  <c r="M97" i="345"/>
  <c r="O97" i="345"/>
  <c r="Q97" i="345"/>
  <c r="I98" i="345"/>
  <c r="K98" i="345"/>
  <c r="M98" i="345"/>
  <c r="O98" i="345"/>
  <c r="Q98" i="345"/>
  <c r="I99" i="345"/>
  <c r="K99" i="345"/>
  <c r="M99" i="345"/>
  <c r="O99" i="345"/>
  <c r="Q99" i="345"/>
  <c r="I100" i="345"/>
  <c r="K100" i="345"/>
  <c r="M100" i="345"/>
  <c r="O100" i="345"/>
  <c r="Q100" i="345"/>
  <c r="I101" i="345"/>
  <c r="K101" i="345"/>
  <c r="M101" i="345"/>
  <c r="O101" i="345"/>
  <c r="Q101" i="345"/>
  <c r="I102" i="345"/>
  <c r="K102" i="345"/>
  <c r="M102" i="345"/>
  <c r="O102" i="345"/>
  <c r="Q102" i="345"/>
  <c r="I103" i="345"/>
  <c r="K103" i="345"/>
  <c r="M103" i="345"/>
  <c r="O103" i="345"/>
  <c r="Q103" i="345"/>
  <c r="I104" i="345"/>
  <c r="K104" i="345"/>
  <c r="M104" i="345"/>
  <c r="O104" i="345"/>
  <c r="Q104" i="345"/>
  <c r="I105" i="345"/>
  <c r="K105" i="345"/>
  <c r="M105" i="345"/>
  <c r="O105" i="345"/>
  <c r="Q105" i="345"/>
  <c r="I106" i="345"/>
  <c r="K106" i="345"/>
  <c r="M106" i="345"/>
  <c r="O106" i="345"/>
  <c r="Q106" i="345"/>
  <c r="I107" i="345"/>
  <c r="K107" i="345"/>
  <c r="M107" i="345"/>
  <c r="O107" i="345"/>
  <c r="Q107" i="345"/>
  <c r="I108" i="345"/>
  <c r="K108" i="345"/>
  <c r="M108" i="345"/>
  <c r="O108" i="345"/>
  <c r="Q108" i="345"/>
  <c r="I109" i="345"/>
  <c r="K109" i="345"/>
  <c r="M109" i="345"/>
  <c r="O109" i="345"/>
  <c r="Q109" i="345"/>
  <c r="I110" i="345"/>
  <c r="K110" i="345"/>
  <c r="M110" i="345"/>
  <c r="O110" i="345"/>
  <c r="Q110" i="345"/>
  <c r="I111" i="345"/>
  <c r="K111" i="345"/>
  <c r="M111" i="345"/>
  <c r="O111" i="345"/>
  <c r="Q111" i="345"/>
  <c r="I112" i="345"/>
  <c r="K112" i="345"/>
  <c r="M112" i="345"/>
  <c r="O112" i="345"/>
  <c r="Q112" i="345"/>
  <c r="I113" i="345"/>
  <c r="K113" i="345"/>
  <c r="M113" i="345"/>
  <c r="O113" i="345"/>
  <c r="Q113" i="345"/>
  <c r="I114" i="345"/>
  <c r="K114" i="345"/>
  <c r="M114" i="345"/>
  <c r="O114" i="345"/>
  <c r="Q114" i="345"/>
  <c r="I115" i="345"/>
  <c r="K115" i="345"/>
  <c r="M115" i="345"/>
  <c r="O115" i="345"/>
  <c r="Q115" i="345"/>
  <c r="I116" i="345"/>
  <c r="K116" i="345"/>
  <c r="M116" i="345"/>
  <c r="O116" i="345"/>
  <c r="Q116" i="345"/>
  <c r="I117" i="345"/>
  <c r="K117" i="345"/>
  <c r="M117" i="345"/>
  <c r="O117" i="345"/>
  <c r="Q117" i="345"/>
  <c r="I118" i="345"/>
  <c r="K118" i="345"/>
  <c r="M118" i="345"/>
  <c r="O118" i="345"/>
  <c r="Q118" i="345"/>
  <c r="I119" i="345"/>
  <c r="K119" i="345"/>
  <c r="M119" i="345"/>
  <c r="O119" i="345"/>
  <c r="Q119" i="345"/>
  <c r="I120" i="345"/>
  <c r="K120" i="345"/>
  <c r="M120" i="345"/>
  <c r="O120" i="345"/>
  <c r="Q120" i="345"/>
  <c r="I121" i="345"/>
  <c r="K121" i="345"/>
  <c r="M121" i="345"/>
  <c r="O121" i="345"/>
  <c r="Q121" i="345"/>
  <c r="I122" i="345"/>
  <c r="K122" i="345"/>
  <c r="M122" i="345"/>
  <c r="O122" i="345"/>
  <c r="Q122" i="345"/>
  <c r="I123" i="345"/>
  <c r="K123" i="345"/>
  <c r="M123" i="345"/>
  <c r="O123" i="345"/>
  <c r="Q123" i="345"/>
  <c r="I124" i="345"/>
  <c r="K124" i="345"/>
  <c r="M124" i="345"/>
  <c r="O124" i="345"/>
  <c r="Q124" i="345"/>
  <c r="I125" i="345"/>
  <c r="K125" i="345"/>
  <c r="M125" i="345"/>
  <c r="O125" i="345"/>
  <c r="Q125" i="345"/>
  <c r="I126" i="345"/>
  <c r="K126" i="345"/>
  <c r="M126" i="345"/>
  <c r="O126" i="345"/>
  <c r="Q126" i="345"/>
  <c r="I127" i="345"/>
  <c r="K127" i="345"/>
  <c r="M127" i="345"/>
  <c r="O127" i="345"/>
  <c r="Q127" i="345"/>
  <c r="I128" i="345"/>
  <c r="K128" i="345"/>
  <c r="M128" i="345"/>
  <c r="O128" i="345"/>
  <c r="Q128" i="345"/>
  <c r="I129" i="345"/>
  <c r="K129" i="345"/>
  <c r="M129" i="345"/>
  <c r="O129" i="345"/>
  <c r="Q129" i="345"/>
  <c r="I130" i="345"/>
  <c r="K130" i="345"/>
  <c r="M130" i="345"/>
  <c r="O130" i="345"/>
  <c r="Q130" i="345"/>
  <c r="I131" i="345"/>
  <c r="K131" i="345"/>
  <c r="M131" i="345"/>
  <c r="O131" i="345"/>
  <c r="Q131" i="345"/>
  <c r="I132" i="345"/>
  <c r="K132" i="345"/>
  <c r="M132" i="345"/>
  <c r="O132" i="345"/>
  <c r="Q132" i="345"/>
  <c r="I133" i="345"/>
  <c r="K133" i="345"/>
  <c r="M133" i="345"/>
  <c r="O133" i="345"/>
  <c r="Q133" i="345"/>
  <c r="I134" i="345"/>
  <c r="K134" i="345"/>
  <c r="M134" i="345"/>
  <c r="O134" i="345"/>
  <c r="Q134" i="345"/>
  <c r="I135" i="345"/>
  <c r="K135" i="345"/>
  <c r="M135" i="345"/>
  <c r="O135" i="345"/>
  <c r="Q135" i="345"/>
  <c r="I136" i="345"/>
  <c r="K136" i="345"/>
  <c r="M136" i="345"/>
  <c r="O136" i="345"/>
  <c r="Q136" i="345"/>
  <c r="I137" i="345"/>
  <c r="K137" i="345"/>
  <c r="M137" i="345"/>
  <c r="O137" i="345"/>
  <c r="Q137" i="345"/>
  <c r="I138" i="345"/>
  <c r="K138" i="345"/>
  <c r="M138" i="345"/>
  <c r="O138" i="345"/>
  <c r="Q138" i="345"/>
  <c r="I139" i="345"/>
  <c r="K139" i="345"/>
  <c r="M139" i="345"/>
  <c r="O139" i="345"/>
  <c r="Q139" i="345"/>
  <c r="I140" i="345"/>
  <c r="K140" i="345"/>
  <c r="M140" i="345"/>
  <c r="O140" i="345"/>
  <c r="Q140" i="345"/>
  <c r="I141" i="345"/>
  <c r="K141" i="345"/>
  <c r="M141" i="345"/>
  <c r="O141" i="345"/>
  <c r="Q141" i="345"/>
  <c r="I142" i="345"/>
  <c r="K142" i="345"/>
  <c r="M142" i="345"/>
  <c r="O142" i="345"/>
  <c r="Q142" i="345"/>
  <c r="I143" i="345"/>
  <c r="K143" i="345"/>
  <c r="M143" i="345"/>
  <c r="O143" i="345"/>
  <c r="Q143" i="345"/>
  <c r="I144" i="345"/>
  <c r="K144" i="345"/>
  <c r="M144" i="345"/>
  <c r="O144" i="345"/>
  <c r="Q144" i="345"/>
  <c r="I145" i="345"/>
  <c r="K145" i="345"/>
  <c r="M145" i="345"/>
  <c r="O145" i="345"/>
  <c r="Q145" i="345"/>
  <c r="I146" i="345"/>
  <c r="K146" i="345"/>
  <c r="M146" i="345"/>
  <c r="O146" i="345"/>
  <c r="Q146" i="345"/>
  <c r="I147" i="345"/>
  <c r="K147" i="345"/>
  <c r="M147" i="345"/>
  <c r="O147" i="345"/>
  <c r="Q147" i="345"/>
  <c r="I148" i="345"/>
  <c r="K148" i="345"/>
  <c r="M148" i="345"/>
  <c r="O148" i="345"/>
  <c r="Q148" i="345"/>
  <c r="I149" i="345"/>
  <c r="K149" i="345"/>
  <c r="M149" i="345"/>
  <c r="O149" i="345"/>
  <c r="Q149" i="345"/>
  <c r="I150" i="345"/>
  <c r="K150" i="345"/>
  <c r="M150" i="345"/>
  <c r="O150" i="345"/>
  <c r="Q150" i="345"/>
  <c r="I151" i="345"/>
  <c r="K151" i="345"/>
  <c r="M151" i="345"/>
  <c r="O151" i="345"/>
  <c r="Q151" i="345"/>
  <c r="I152" i="345"/>
  <c r="K152" i="345"/>
  <c r="M152" i="345"/>
  <c r="O152" i="345"/>
  <c r="Q152" i="345"/>
  <c r="I153" i="345"/>
  <c r="K153" i="345"/>
  <c r="M153" i="345"/>
  <c r="O153" i="345"/>
  <c r="Q153" i="345"/>
  <c r="I154" i="345"/>
  <c r="K154" i="345"/>
  <c r="M154" i="345"/>
  <c r="O154" i="345"/>
  <c r="Q154" i="345"/>
  <c r="I155" i="345"/>
  <c r="K155" i="345"/>
  <c r="M155" i="345"/>
  <c r="O155" i="345"/>
  <c r="Q155" i="345"/>
  <c r="I156" i="345"/>
  <c r="K156" i="345"/>
  <c r="M156" i="345"/>
  <c r="O156" i="345"/>
  <c r="Q156" i="345"/>
  <c r="I157" i="345"/>
  <c r="K157" i="345"/>
  <c r="M157" i="345"/>
  <c r="O157" i="345"/>
  <c r="Q157" i="345"/>
  <c r="I158" i="345"/>
  <c r="K158" i="345"/>
  <c r="M158" i="345"/>
  <c r="O158" i="345"/>
  <c r="Q158" i="345"/>
  <c r="I159" i="345"/>
  <c r="K159" i="345"/>
  <c r="M159" i="345"/>
  <c r="O159" i="345"/>
  <c r="Q159" i="345"/>
  <c r="I160" i="345"/>
  <c r="K160" i="345"/>
  <c r="M160" i="345"/>
  <c r="O160" i="345"/>
  <c r="Q160" i="345"/>
  <c r="I161" i="345"/>
  <c r="K161" i="345"/>
  <c r="M161" i="345"/>
  <c r="O161" i="345"/>
  <c r="Q161" i="345"/>
  <c r="I162" i="345"/>
  <c r="K162" i="345"/>
  <c r="M162" i="345"/>
  <c r="O162" i="345"/>
  <c r="Q162" i="345"/>
  <c r="I163" i="345"/>
  <c r="K163" i="345"/>
  <c r="M163" i="345"/>
  <c r="O163" i="345"/>
  <c r="Q163" i="345"/>
  <c r="I164" i="345"/>
  <c r="K164" i="345"/>
  <c r="M164" i="345"/>
  <c r="O164" i="345"/>
  <c r="Q164" i="345"/>
  <c r="I165" i="345"/>
  <c r="K165" i="345"/>
  <c r="M165" i="345"/>
  <c r="O165" i="345"/>
  <c r="Q165" i="345"/>
  <c r="I166" i="345"/>
  <c r="K166" i="345"/>
  <c r="M166" i="345"/>
  <c r="O166" i="345"/>
  <c r="Q166" i="345"/>
  <c r="I167" i="345"/>
  <c r="K167" i="345"/>
  <c r="M167" i="345"/>
  <c r="O167" i="345"/>
  <c r="Q167" i="345"/>
  <c r="I168" i="345"/>
  <c r="K168" i="345"/>
  <c r="M168" i="345"/>
  <c r="O168" i="345"/>
  <c r="Q168" i="345"/>
  <c r="I169" i="345"/>
  <c r="K169" i="345"/>
  <c r="M169" i="345"/>
  <c r="O169" i="345"/>
  <c r="Q169" i="345"/>
  <c r="I170" i="345"/>
  <c r="K170" i="345"/>
  <c r="M170" i="345"/>
  <c r="O170" i="345"/>
  <c r="Q170" i="345"/>
  <c r="I171" i="345"/>
  <c r="K171" i="345"/>
  <c r="M171" i="345"/>
  <c r="O171" i="345"/>
  <c r="Q171" i="345"/>
  <c r="I172" i="345"/>
  <c r="K172" i="345"/>
  <c r="M172" i="345"/>
  <c r="O172" i="345"/>
  <c r="Q172" i="345"/>
  <c r="I173" i="345"/>
  <c r="K173" i="345"/>
  <c r="M173" i="345"/>
  <c r="O173" i="345"/>
  <c r="Q173" i="345"/>
  <c r="I174" i="345"/>
  <c r="K174" i="345"/>
  <c r="M174" i="345"/>
  <c r="O174" i="345"/>
  <c r="Q174" i="345"/>
  <c r="I175" i="345"/>
  <c r="K175" i="345"/>
  <c r="M175" i="345"/>
  <c r="O175" i="345"/>
  <c r="Q175" i="345"/>
  <c r="I176" i="345"/>
  <c r="K176" i="345"/>
  <c r="M176" i="345"/>
  <c r="O176" i="345"/>
  <c r="Q176" i="345"/>
  <c r="I177" i="345"/>
  <c r="K177" i="345"/>
  <c r="M177" i="345"/>
  <c r="O177" i="345"/>
  <c r="Q177" i="345"/>
  <c r="I178" i="345"/>
  <c r="K178" i="345"/>
  <c r="M178" i="345"/>
  <c r="O178" i="345"/>
  <c r="Q178" i="345"/>
  <c r="I179" i="345"/>
  <c r="K179" i="345"/>
  <c r="M179" i="345"/>
  <c r="O179" i="345"/>
  <c r="Q179" i="345"/>
  <c r="I180" i="345"/>
  <c r="K180" i="345"/>
  <c r="M180" i="345"/>
  <c r="O180" i="345"/>
  <c r="Q180" i="345"/>
  <c r="I181" i="345"/>
  <c r="K181" i="345"/>
  <c r="M181" i="345"/>
  <c r="O181" i="345"/>
  <c r="Q181" i="345"/>
  <c r="I182" i="345"/>
  <c r="K182" i="345"/>
  <c r="M182" i="345"/>
  <c r="O182" i="345"/>
  <c r="Q182" i="345"/>
  <c r="I183" i="345"/>
  <c r="K183" i="345"/>
  <c r="M183" i="345"/>
  <c r="O183" i="345"/>
  <c r="Q183" i="345"/>
  <c r="I184" i="345"/>
  <c r="K184" i="345"/>
  <c r="M184" i="345"/>
  <c r="O184" i="345"/>
  <c r="Q184" i="345"/>
  <c r="I185" i="345"/>
  <c r="K185" i="345"/>
  <c r="M185" i="345"/>
  <c r="O185" i="345"/>
  <c r="Q185" i="345"/>
  <c r="I186" i="345"/>
  <c r="K186" i="345"/>
  <c r="M186" i="345"/>
  <c r="O186" i="345"/>
  <c r="Q186" i="345"/>
  <c r="I187" i="345"/>
  <c r="K187" i="345"/>
  <c r="M187" i="345"/>
  <c r="O187" i="345"/>
  <c r="Q187" i="345"/>
  <c r="I188" i="345"/>
  <c r="K188" i="345"/>
  <c r="M188" i="345"/>
  <c r="O188" i="345"/>
  <c r="Q188" i="345"/>
  <c r="I189" i="345"/>
  <c r="K189" i="345"/>
  <c r="M189" i="345"/>
  <c r="O189" i="345"/>
  <c r="Q189" i="345"/>
  <c r="I190" i="345"/>
  <c r="K190" i="345"/>
  <c r="M190" i="345"/>
  <c r="O190" i="345"/>
  <c r="Q190" i="345"/>
  <c r="I191" i="345"/>
  <c r="K191" i="345"/>
  <c r="M191" i="345"/>
  <c r="O191" i="345"/>
  <c r="Q191" i="345"/>
  <c r="I192" i="345"/>
  <c r="K192" i="345"/>
  <c r="M192" i="345"/>
  <c r="O192" i="345"/>
  <c r="Q192" i="345"/>
  <c r="I193" i="345"/>
  <c r="K193" i="345"/>
  <c r="M193" i="345"/>
  <c r="O193" i="345"/>
  <c r="Q193" i="345"/>
  <c r="I194" i="345"/>
  <c r="K194" i="345"/>
  <c r="M194" i="345"/>
  <c r="O194" i="345"/>
  <c r="Q194" i="345"/>
  <c r="I195" i="345"/>
  <c r="K195" i="345"/>
  <c r="M195" i="345"/>
  <c r="O195" i="345"/>
  <c r="Q195" i="345"/>
  <c r="I196" i="345"/>
  <c r="K196" i="345"/>
  <c r="M196" i="345"/>
  <c r="O196" i="345"/>
  <c r="Q196" i="345"/>
  <c r="I197" i="345"/>
  <c r="K197" i="345"/>
  <c r="M197" i="345"/>
  <c r="O197" i="345"/>
  <c r="Q197" i="345"/>
  <c r="I198" i="345"/>
  <c r="K198" i="345"/>
  <c r="M198" i="345"/>
  <c r="O198" i="345"/>
  <c r="Q198" i="345"/>
  <c r="I199" i="345"/>
  <c r="K199" i="345"/>
  <c r="M199" i="345"/>
  <c r="O199" i="345"/>
  <c r="Q199" i="345"/>
  <c r="I200" i="345"/>
  <c r="K200" i="345"/>
  <c r="M200" i="345"/>
  <c r="O200" i="345"/>
  <c r="Q200" i="345"/>
  <c r="I201" i="345"/>
  <c r="K201" i="345"/>
  <c r="M201" i="345"/>
  <c r="O201" i="345"/>
  <c r="Q201" i="345"/>
  <c r="I202" i="345"/>
  <c r="K202" i="345"/>
  <c r="M202" i="345"/>
  <c r="O202" i="345"/>
  <c r="Q202" i="345"/>
  <c r="I203" i="345"/>
  <c r="K203" i="345"/>
  <c r="M203" i="345"/>
  <c r="O203" i="345"/>
  <c r="Q203" i="345"/>
  <c r="I204" i="345"/>
  <c r="K204" i="345"/>
  <c r="M204" i="345"/>
  <c r="O204" i="345"/>
  <c r="Q204" i="345"/>
  <c r="I205" i="345"/>
  <c r="K205" i="345"/>
  <c r="M205" i="345"/>
  <c r="O205" i="345"/>
  <c r="Q205" i="345"/>
  <c r="I206" i="345"/>
  <c r="K206" i="345"/>
  <c r="M206" i="345"/>
  <c r="O206" i="345"/>
  <c r="Q206" i="345"/>
  <c r="I207" i="345"/>
  <c r="K207" i="345"/>
  <c r="M207" i="345"/>
  <c r="O207" i="345"/>
  <c r="Q207" i="345"/>
  <c r="I208" i="345"/>
  <c r="K208" i="345"/>
  <c r="M208" i="345"/>
  <c r="O208" i="345"/>
  <c r="Q208" i="345"/>
  <c r="I209" i="345"/>
  <c r="K209" i="345"/>
  <c r="M209" i="345"/>
  <c r="O209" i="345"/>
  <c r="Q209" i="345"/>
  <c r="I210" i="345"/>
  <c r="K210" i="345"/>
  <c r="M210" i="345"/>
  <c r="O210" i="345"/>
  <c r="Q210" i="345"/>
  <c r="I211" i="345"/>
  <c r="K211" i="345"/>
  <c r="M211" i="345"/>
  <c r="O211" i="345"/>
  <c r="Q211" i="345"/>
  <c r="I212" i="345"/>
  <c r="K212" i="345"/>
  <c r="M212" i="345"/>
  <c r="O212" i="345"/>
  <c r="Q212" i="345"/>
  <c r="I213" i="345"/>
  <c r="K213" i="345"/>
  <c r="M213" i="345"/>
  <c r="O213" i="345"/>
  <c r="Q213" i="345"/>
  <c r="I214" i="345"/>
  <c r="K214" i="345"/>
  <c r="M214" i="345"/>
  <c r="O214" i="345"/>
  <c r="Q214" i="345"/>
  <c r="I215" i="345"/>
  <c r="K215" i="345"/>
  <c r="M215" i="345"/>
  <c r="O215" i="345"/>
  <c r="Q215" i="345"/>
  <c r="I216" i="345"/>
  <c r="K216" i="345"/>
  <c r="M216" i="345"/>
  <c r="O216" i="345"/>
  <c r="Q216" i="345"/>
  <c r="I217" i="345"/>
  <c r="K217" i="345"/>
  <c r="M217" i="345"/>
  <c r="O217" i="345"/>
  <c r="Q217" i="345"/>
  <c r="I218" i="345"/>
  <c r="K218" i="345"/>
  <c r="M218" i="345"/>
  <c r="O218" i="345"/>
  <c r="Q218" i="345"/>
  <c r="I219" i="345"/>
  <c r="K219" i="345"/>
  <c r="M219" i="345"/>
  <c r="O219" i="345"/>
  <c r="Q219" i="345"/>
  <c r="I220" i="345"/>
  <c r="K220" i="345"/>
  <c r="M220" i="345"/>
  <c r="O220" i="345"/>
  <c r="Q220" i="345"/>
  <c r="I221" i="345"/>
  <c r="K221" i="345"/>
  <c r="M221" i="345"/>
  <c r="O221" i="345"/>
  <c r="Q221" i="345"/>
  <c r="I222" i="345"/>
  <c r="K222" i="345"/>
  <c r="M222" i="345"/>
  <c r="O222" i="345"/>
  <c r="Q222" i="345"/>
  <c r="I223" i="345"/>
  <c r="K223" i="345"/>
  <c r="M223" i="345"/>
  <c r="O223" i="345"/>
  <c r="Q223" i="345"/>
  <c r="I224" i="345"/>
  <c r="K224" i="345"/>
  <c r="M224" i="345"/>
  <c r="O224" i="345"/>
  <c r="Q224" i="345"/>
  <c r="I225" i="345"/>
  <c r="K225" i="345"/>
  <c r="M225" i="345"/>
  <c r="O225" i="345"/>
  <c r="Q225" i="345"/>
  <c r="I226" i="345"/>
  <c r="K226" i="345"/>
  <c r="M226" i="345"/>
  <c r="O226" i="345"/>
  <c r="Q226" i="345"/>
  <c r="I227" i="345"/>
  <c r="K227" i="345"/>
  <c r="M227" i="345"/>
  <c r="O227" i="345"/>
  <c r="Q227" i="345"/>
  <c r="I228" i="345"/>
  <c r="K228" i="345"/>
  <c r="M228" i="345"/>
  <c r="O228" i="345"/>
  <c r="Q228" i="345"/>
  <c r="I229" i="345"/>
  <c r="K229" i="345"/>
  <c r="M229" i="345"/>
  <c r="O229" i="345"/>
  <c r="Q229" i="345"/>
  <c r="I230" i="345"/>
  <c r="K230" i="345"/>
  <c r="M230" i="345"/>
  <c r="O230" i="345"/>
  <c r="Q230" i="345"/>
  <c r="I231" i="345"/>
  <c r="K231" i="345"/>
  <c r="M231" i="345"/>
  <c r="O231" i="345"/>
  <c r="Q231" i="345"/>
  <c r="I232" i="345"/>
  <c r="K232" i="345"/>
  <c r="M232" i="345"/>
  <c r="O232" i="345"/>
  <c r="Q232" i="345"/>
  <c r="I233" i="345"/>
  <c r="K233" i="345"/>
  <c r="M233" i="345"/>
  <c r="O233" i="345"/>
  <c r="Q233" i="345"/>
  <c r="I234" i="345"/>
  <c r="K234" i="345"/>
  <c r="M234" i="345"/>
  <c r="O234" i="345"/>
  <c r="Q234" i="345"/>
  <c r="I235" i="345"/>
  <c r="K235" i="345"/>
  <c r="M235" i="345"/>
  <c r="O235" i="345"/>
  <c r="Q235" i="345"/>
  <c r="I236" i="345"/>
  <c r="K236" i="345"/>
  <c r="M236" i="345"/>
  <c r="O236" i="345"/>
  <c r="Q236" i="345"/>
  <c r="I237" i="345"/>
  <c r="K237" i="345"/>
  <c r="M237" i="345"/>
  <c r="O237" i="345"/>
  <c r="Q237" i="345"/>
  <c r="I238" i="345"/>
  <c r="K238" i="345"/>
  <c r="M238" i="345"/>
  <c r="O238" i="345"/>
  <c r="Q238" i="345"/>
  <c r="I239" i="345"/>
  <c r="K239" i="345"/>
  <c r="M239" i="345"/>
  <c r="O239" i="345"/>
  <c r="Q239" i="345"/>
  <c r="I240" i="345"/>
  <c r="K240" i="345"/>
  <c r="M240" i="345"/>
  <c r="O240" i="345"/>
  <c r="Q240" i="345"/>
  <c r="I241" i="345"/>
  <c r="K241" i="345"/>
  <c r="M241" i="345"/>
  <c r="O241" i="345"/>
  <c r="Q241" i="345"/>
  <c r="I242" i="345"/>
  <c r="K242" i="345"/>
  <c r="M242" i="345"/>
  <c r="O242" i="345"/>
  <c r="Q242" i="345"/>
  <c r="I243" i="345"/>
  <c r="K243" i="345"/>
  <c r="M243" i="345"/>
  <c r="O243" i="345"/>
  <c r="Q243" i="345"/>
  <c r="I244" i="345"/>
  <c r="K244" i="345"/>
  <c r="M244" i="345"/>
  <c r="O244" i="345"/>
  <c r="Q244" i="345"/>
  <c r="I245" i="345"/>
  <c r="K245" i="345"/>
  <c r="M245" i="345"/>
  <c r="O245" i="345"/>
  <c r="Q245" i="345"/>
  <c r="I246" i="345"/>
  <c r="K246" i="345"/>
  <c r="M246" i="345"/>
  <c r="O246" i="345"/>
  <c r="Q246" i="345"/>
  <c r="I247" i="345"/>
  <c r="K247" i="345"/>
  <c r="M247" i="345"/>
  <c r="O247" i="345"/>
  <c r="Q247" i="345"/>
  <c r="I248" i="345"/>
  <c r="K248" i="345"/>
  <c r="M248" i="345"/>
  <c r="O248" i="345"/>
  <c r="Q248" i="345"/>
  <c r="I249" i="345"/>
  <c r="K249" i="345"/>
  <c r="M249" i="345"/>
  <c r="O249" i="345"/>
  <c r="Q249" i="345"/>
  <c r="I250" i="345"/>
  <c r="K250" i="345"/>
  <c r="M250" i="345"/>
  <c r="O250" i="345"/>
  <c r="Q250" i="345"/>
  <c r="I251" i="345"/>
  <c r="K251" i="345"/>
  <c r="M251" i="345"/>
  <c r="O251" i="345"/>
  <c r="Q251" i="345"/>
  <c r="I252" i="345"/>
  <c r="K252" i="345"/>
  <c r="M252" i="345"/>
  <c r="O252" i="345"/>
  <c r="Q252" i="345"/>
  <c r="I253" i="345"/>
  <c r="K253" i="345"/>
  <c r="M253" i="345"/>
  <c r="O253" i="345"/>
  <c r="Q253" i="345"/>
  <c r="I254" i="345"/>
  <c r="K254" i="345"/>
  <c r="M254" i="345"/>
  <c r="O254" i="345"/>
  <c r="Q254" i="345"/>
  <c r="I255" i="345"/>
  <c r="K255" i="345"/>
  <c r="M255" i="345"/>
  <c r="O255" i="345"/>
  <c r="Q255" i="345"/>
  <c r="I256" i="345"/>
  <c r="K256" i="345"/>
  <c r="M256" i="345"/>
  <c r="O256" i="345"/>
  <c r="Q256" i="345"/>
  <c r="I257" i="345"/>
  <c r="K257" i="345"/>
  <c r="M257" i="345"/>
  <c r="O257" i="345"/>
  <c r="Q257" i="345"/>
  <c r="I258" i="345"/>
  <c r="K258" i="345"/>
  <c r="M258" i="345"/>
  <c r="O258" i="345"/>
  <c r="Q258" i="345"/>
  <c r="I259" i="345"/>
  <c r="K259" i="345"/>
  <c r="M259" i="345"/>
  <c r="O259" i="345"/>
  <c r="Q259" i="345"/>
  <c r="I260" i="345"/>
  <c r="K260" i="345"/>
  <c r="M260" i="345"/>
  <c r="O260" i="345"/>
  <c r="Q260" i="345"/>
  <c r="I261" i="345"/>
  <c r="K261" i="345"/>
  <c r="M261" i="345"/>
  <c r="O261" i="345"/>
  <c r="Q261" i="345"/>
  <c r="I262" i="345"/>
  <c r="K262" i="345"/>
  <c r="M262" i="345"/>
  <c r="O262" i="345"/>
  <c r="Q262" i="345"/>
  <c r="I263" i="345"/>
  <c r="K263" i="345"/>
  <c r="M263" i="345"/>
  <c r="O263" i="345"/>
  <c r="Q263" i="345"/>
  <c r="I264" i="345"/>
  <c r="K264" i="345"/>
  <c r="M264" i="345"/>
  <c r="O264" i="345"/>
  <c r="Q264" i="345"/>
  <c r="I265" i="345"/>
  <c r="K265" i="345"/>
  <c r="M265" i="345"/>
  <c r="O265" i="345"/>
  <c r="Q265" i="345"/>
  <c r="I266" i="345"/>
  <c r="K266" i="345"/>
  <c r="M266" i="345"/>
  <c r="O266" i="345"/>
  <c r="Q266" i="345"/>
  <c r="I267" i="345"/>
  <c r="K267" i="345"/>
  <c r="M267" i="345"/>
  <c r="O267" i="345"/>
  <c r="Q267" i="345"/>
  <c r="I268" i="345"/>
  <c r="K268" i="345"/>
  <c r="M268" i="345"/>
  <c r="O268" i="345"/>
  <c r="Q268" i="345"/>
  <c r="I269" i="345"/>
  <c r="K269" i="345"/>
  <c r="M269" i="345"/>
  <c r="O269" i="345"/>
  <c r="Q269" i="345"/>
  <c r="I270" i="345"/>
  <c r="K270" i="345"/>
  <c r="M270" i="345"/>
  <c r="O270" i="345"/>
  <c r="Q270" i="345"/>
  <c r="I271" i="345"/>
  <c r="K271" i="345"/>
  <c r="M271" i="345"/>
  <c r="O271" i="345"/>
  <c r="Q271" i="345"/>
  <c r="I272" i="345"/>
  <c r="K272" i="345"/>
  <c r="M272" i="345"/>
  <c r="O272" i="345"/>
  <c r="Q272" i="345"/>
  <c r="I273" i="345"/>
  <c r="K273" i="345"/>
  <c r="M273" i="345"/>
  <c r="O273" i="345"/>
  <c r="Q273" i="345"/>
  <c r="I274" i="345"/>
  <c r="K274" i="345"/>
  <c r="M274" i="345"/>
  <c r="O274" i="345"/>
  <c r="Q274" i="345"/>
  <c r="I275" i="345"/>
  <c r="K275" i="345"/>
  <c r="M275" i="345"/>
  <c r="O275" i="345"/>
  <c r="Q275" i="345"/>
  <c r="I276" i="345"/>
  <c r="K276" i="345"/>
  <c r="M276" i="345"/>
  <c r="O276" i="345"/>
  <c r="Q276" i="345"/>
  <c r="I277" i="345"/>
  <c r="K277" i="345"/>
  <c r="M277" i="345"/>
  <c r="O277" i="345"/>
  <c r="Q277" i="345"/>
  <c r="I278" i="345"/>
  <c r="K278" i="345"/>
  <c r="M278" i="345"/>
  <c r="O278" i="345"/>
  <c r="Q278" i="345"/>
  <c r="I279" i="345"/>
  <c r="K279" i="345"/>
  <c r="M279" i="345"/>
  <c r="O279" i="345"/>
  <c r="Q279" i="345"/>
  <c r="I280" i="345"/>
  <c r="K280" i="345"/>
  <c r="M280" i="345"/>
  <c r="O280" i="345"/>
  <c r="Q280" i="345"/>
  <c r="I281" i="345"/>
  <c r="K281" i="345"/>
  <c r="M281" i="345"/>
  <c r="O281" i="345"/>
  <c r="Q281" i="345"/>
  <c r="I282" i="345"/>
  <c r="K282" i="345"/>
  <c r="M282" i="345"/>
  <c r="O282" i="345"/>
  <c r="Q282" i="345"/>
  <c r="I283" i="345"/>
  <c r="K283" i="345"/>
  <c r="M283" i="345"/>
  <c r="O283" i="345"/>
  <c r="Q283" i="345"/>
  <c r="I284" i="345"/>
  <c r="K284" i="345"/>
  <c r="M284" i="345"/>
  <c r="O284" i="345"/>
  <c r="Q284" i="345"/>
  <c r="I285" i="345"/>
  <c r="K285" i="345"/>
  <c r="M285" i="345"/>
  <c r="O285" i="345"/>
  <c r="Q285" i="345"/>
  <c r="I286" i="345"/>
  <c r="K286" i="345"/>
  <c r="M286" i="345"/>
  <c r="O286" i="345"/>
  <c r="Q286" i="345"/>
  <c r="I287" i="345"/>
  <c r="K287" i="345"/>
  <c r="M287" i="345"/>
  <c r="O287" i="345"/>
  <c r="Q287" i="345"/>
  <c r="I288" i="345"/>
  <c r="K288" i="345"/>
  <c r="M288" i="345"/>
  <c r="O288" i="345"/>
  <c r="Q288" i="345"/>
  <c r="I289" i="345"/>
  <c r="K289" i="345"/>
  <c r="M289" i="345"/>
  <c r="O289" i="345"/>
  <c r="Q289" i="345"/>
  <c r="I290" i="345"/>
  <c r="K290" i="345"/>
  <c r="M290" i="345"/>
  <c r="O290" i="345"/>
  <c r="Q290" i="345"/>
  <c r="I291" i="345"/>
  <c r="K291" i="345"/>
  <c r="M291" i="345"/>
  <c r="O291" i="345"/>
  <c r="Q291" i="345"/>
  <c r="I292" i="345"/>
  <c r="K292" i="345"/>
  <c r="M292" i="345"/>
  <c r="O292" i="345"/>
  <c r="Q292" i="345"/>
  <c r="I293" i="345"/>
  <c r="K293" i="345"/>
  <c r="M293" i="345"/>
  <c r="O293" i="345"/>
  <c r="Q293" i="345"/>
  <c r="I294" i="345"/>
  <c r="K294" i="345"/>
  <c r="M294" i="345"/>
  <c r="O294" i="345"/>
  <c r="Q294" i="345"/>
  <c r="I295" i="345"/>
  <c r="K295" i="345"/>
  <c r="M295" i="345"/>
  <c r="O295" i="345"/>
  <c r="Q295" i="345"/>
  <c r="I296" i="345"/>
  <c r="K296" i="345"/>
  <c r="M296" i="345"/>
  <c r="O296" i="345"/>
  <c r="Q296" i="345"/>
  <c r="I297" i="345"/>
  <c r="K297" i="345"/>
  <c r="M297" i="345"/>
  <c r="O297" i="345"/>
  <c r="Q297" i="345"/>
  <c r="I298" i="345"/>
  <c r="K298" i="345"/>
  <c r="M298" i="345"/>
  <c r="O298" i="345"/>
  <c r="Q298" i="345"/>
  <c r="I299" i="345"/>
  <c r="K299" i="345"/>
  <c r="M299" i="345"/>
  <c r="O299" i="345"/>
  <c r="Q299" i="345"/>
  <c r="I300" i="345"/>
  <c r="K300" i="345"/>
  <c r="M300" i="345"/>
  <c r="O300" i="345"/>
  <c r="Q300" i="345"/>
  <c r="I301" i="345"/>
  <c r="K301" i="345"/>
  <c r="M301" i="345"/>
  <c r="O301" i="345"/>
  <c r="Q301" i="345"/>
  <c r="I302" i="345"/>
  <c r="K302" i="345"/>
  <c r="M302" i="345"/>
  <c r="O302" i="345"/>
  <c r="Q302" i="345"/>
  <c r="I303" i="345"/>
  <c r="K303" i="345"/>
  <c r="M303" i="345"/>
  <c r="O303" i="345"/>
  <c r="Q303" i="345"/>
  <c r="I304" i="345"/>
  <c r="K304" i="345"/>
  <c r="M304" i="345"/>
  <c r="O304" i="345"/>
  <c r="Q304" i="345"/>
  <c r="I305" i="345"/>
  <c r="K305" i="345"/>
  <c r="M305" i="345"/>
  <c r="O305" i="345"/>
  <c r="Q305" i="345"/>
  <c r="I306" i="345"/>
  <c r="K306" i="345"/>
  <c r="M306" i="345"/>
  <c r="O306" i="345"/>
  <c r="Q306" i="345"/>
  <c r="I307" i="345"/>
  <c r="K307" i="345"/>
  <c r="M307" i="345"/>
  <c r="O307" i="345"/>
  <c r="Q307" i="345"/>
  <c r="I308" i="345"/>
  <c r="K308" i="345"/>
  <c r="M308" i="345"/>
  <c r="O308" i="345"/>
  <c r="Q308" i="345"/>
  <c r="I309" i="345"/>
  <c r="K309" i="345"/>
  <c r="M309" i="345"/>
  <c r="O309" i="345"/>
  <c r="Q309" i="345"/>
  <c r="I310" i="345"/>
  <c r="K310" i="345"/>
  <c r="M310" i="345"/>
  <c r="O310" i="345"/>
  <c r="Q310" i="345"/>
  <c r="I311" i="345"/>
  <c r="K311" i="345"/>
  <c r="M311" i="345"/>
  <c r="O311" i="345"/>
  <c r="Q311" i="345"/>
  <c r="I312" i="345"/>
  <c r="K312" i="345"/>
  <c r="M312" i="345"/>
  <c r="O312" i="345"/>
  <c r="Q312" i="345"/>
  <c r="I313" i="345"/>
  <c r="K313" i="345"/>
  <c r="M313" i="345"/>
  <c r="O313" i="345"/>
  <c r="Q313" i="345"/>
  <c r="I314" i="345"/>
  <c r="K314" i="345"/>
  <c r="M314" i="345"/>
  <c r="O314" i="345"/>
  <c r="Q314" i="345"/>
  <c r="I315" i="345"/>
  <c r="K315" i="345"/>
  <c r="M315" i="345"/>
  <c r="O315" i="345"/>
  <c r="Q315" i="345"/>
  <c r="I316" i="345"/>
  <c r="K316" i="345"/>
  <c r="M316" i="345"/>
  <c r="O316" i="345"/>
  <c r="Q316" i="345"/>
  <c r="I317" i="345"/>
  <c r="K317" i="345"/>
  <c r="M317" i="345"/>
  <c r="O317" i="345"/>
  <c r="Q317" i="345"/>
  <c r="I318" i="345"/>
  <c r="K318" i="345"/>
  <c r="M318" i="345"/>
  <c r="O318" i="345"/>
  <c r="Q318" i="345"/>
  <c r="I319" i="345"/>
  <c r="K319" i="345"/>
  <c r="M319" i="345"/>
  <c r="O319" i="345"/>
  <c r="Q319" i="345"/>
  <c r="I320" i="345"/>
  <c r="K320" i="345"/>
  <c r="M320" i="345"/>
  <c r="O320" i="345"/>
  <c r="Q320" i="345"/>
  <c r="I321" i="345"/>
  <c r="K321" i="345"/>
  <c r="M321" i="345"/>
  <c r="O321" i="345"/>
  <c r="Q321" i="345"/>
  <c r="I322" i="345"/>
  <c r="K322" i="345"/>
  <c r="M322" i="345"/>
  <c r="O322" i="345"/>
  <c r="Q322" i="345"/>
  <c r="I323" i="345"/>
  <c r="K323" i="345"/>
  <c r="M323" i="345"/>
  <c r="O323" i="345"/>
  <c r="Q323" i="345"/>
  <c r="I324" i="345"/>
  <c r="K324" i="345"/>
  <c r="M324" i="345"/>
  <c r="O324" i="345"/>
  <c r="Q324" i="345"/>
  <c r="I325" i="345"/>
  <c r="K325" i="345"/>
  <c r="M325" i="345"/>
  <c r="O325" i="345"/>
  <c r="Q325" i="345"/>
  <c r="I326" i="345"/>
  <c r="K326" i="345"/>
  <c r="M326" i="345"/>
  <c r="O326" i="345"/>
  <c r="Q326" i="345"/>
  <c r="I327" i="345"/>
  <c r="K327" i="345"/>
  <c r="M327" i="345"/>
  <c r="O327" i="345"/>
  <c r="Q327" i="345"/>
  <c r="I328" i="345"/>
  <c r="K328" i="345"/>
  <c r="M328" i="345"/>
  <c r="O328" i="345"/>
  <c r="Q328" i="345"/>
  <c r="I329" i="345"/>
  <c r="K329" i="345"/>
  <c r="M329" i="345"/>
  <c r="O329" i="345"/>
  <c r="Q329" i="345"/>
  <c r="I330" i="345"/>
  <c r="K330" i="345"/>
  <c r="M330" i="345"/>
  <c r="O330" i="345"/>
  <c r="Q330" i="345"/>
  <c r="I331" i="345"/>
  <c r="K331" i="345"/>
  <c r="M331" i="345"/>
  <c r="O331" i="345"/>
  <c r="Q331" i="345"/>
  <c r="I332" i="345"/>
  <c r="K332" i="345"/>
  <c r="M332" i="345"/>
  <c r="O332" i="345"/>
  <c r="Q332" i="345"/>
  <c r="I333" i="345"/>
  <c r="K333" i="345"/>
  <c r="M333" i="345"/>
  <c r="O333" i="345"/>
  <c r="Q333" i="345"/>
  <c r="I334" i="345"/>
  <c r="K334" i="345"/>
  <c r="M334" i="345"/>
  <c r="O334" i="345"/>
  <c r="Q334" i="345"/>
  <c r="I335" i="345"/>
  <c r="K335" i="345"/>
  <c r="M335" i="345"/>
  <c r="O335" i="345"/>
  <c r="Q335" i="345"/>
  <c r="I336" i="345"/>
  <c r="K336" i="345"/>
  <c r="M336" i="345"/>
  <c r="O336" i="345"/>
  <c r="Q336" i="345"/>
  <c r="I337" i="345"/>
  <c r="K337" i="345"/>
  <c r="M337" i="345"/>
  <c r="O337" i="345"/>
  <c r="Q337" i="345"/>
  <c r="I338" i="345"/>
  <c r="K338" i="345"/>
  <c r="M338" i="345"/>
  <c r="O338" i="345"/>
  <c r="Q338" i="345"/>
  <c r="I339" i="345"/>
  <c r="K339" i="345"/>
  <c r="M339" i="345"/>
  <c r="O339" i="345"/>
  <c r="Q339" i="345"/>
  <c r="I340" i="345"/>
  <c r="K340" i="345"/>
  <c r="M340" i="345"/>
  <c r="O340" i="345"/>
  <c r="Q340" i="345"/>
  <c r="I341" i="345"/>
  <c r="K341" i="345"/>
  <c r="M341" i="345"/>
  <c r="O341" i="345"/>
  <c r="Q341" i="345"/>
  <c r="I342" i="345"/>
  <c r="K342" i="345"/>
  <c r="M342" i="345"/>
  <c r="O342" i="345"/>
  <c r="Q342" i="345"/>
  <c r="I343" i="345"/>
  <c r="K343" i="345"/>
  <c r="M343" i="345"/>
  <c r="O343" i="345"/>
  <c r="Q343" i="345"/>
  <c r="I344" i="345"/>
  <c r="K344" i="345"/>
  <c r="M344" i="345"/>
  <c r="O344" i="345"/>
  <c r="Q344" i="345"/>
  <c r="I345" i="345"/>
  <c r="K345" i="345"/>
  <c r="M345" i="345"/>
  <c r="O345" i="345"/>
  <c r="Q345" i="345"/>
  <c r="I346" i="345"/>
  <c r="K346" i="345"/>
  <c r="M346" i="345"/>
  <c r="O346" i="345"/>
  <c r="Q346" i="345"/>
  <c r="I347" i="345"/>
  <c r="K347" i="345"/>
  <c r="M347" i="345"/>
  <c r="O347" i="345"/>
  <c r="Q347" i="345"/>
  <c r="I348" i="345"/>
  <c r="K348" i="345"/>
  <c r="M348" i="345"/>
  <c r="O348" i="345"/>
  <c r="Q348" i="345"/>
  <c r="I349" i="345"/>
  <c r="K349" i="345"/>
  <c r="M349" i="345"/>
  <c r="O349" i="345"/>
  <c r="Q349" i="345"/>
  <c r="I350" i="345"/>
  <c r="K350" i="345"/>
  <c r="M350" i="345"/>
  <c r="O350" i="345"/>
  <c r="Q350" i="345"/>
  <c r="I351" i="345"/>
  <c r="K351" i="345"/>
  <c r="M351" i="345"/>
  <c r="O351" i="345"/>
  <c r="Q351" i="345"/>
  <c r="I352" i="345"/>
  <c r="K352" i="345"/>
  <c r="M352" i="345"/>
  <c r="O352" i="345"/>
  <c r="Q352" i="345"/>
  <c r="I353" i="345"/>
  <c r="K353" i="345"/>
  <c r="M353" i="345"/>
  <c r="O353" i="345"/>
  <c r="Q353" i="345"/>
  <c r="I354" i="345"/>
  <c r="K354" i="345"/>
  <c r="M354" i="345"/>
  <c r="O354" i="345"/>
  <c r="Q354" i="345"/>
  <c r="I355" i="345"/>
  <c r="K355" i="345"/>
  <c r="M355" i="345"/>
  <c r="O355" i="345"/>
  <c r="Q355" i="345"/>
  <c r="I356" i="345"/>
  <c r="K356" i="345"/>
  <c r="M356" i="345"/>
  <c r="O356" i="345"/>
  <c r="Q356" i="345"/>
  <c r="I357" i="345"/>
  <c r="K357" i="345"/>
  <c r="M357" i="345"/>
  <c r="O357" i="345"/>
  <c r="Q357" i="345"/>
  <c r="I358" i="345"/>
  <c r="K358" i="345"/>
  <c r="M358" i="345"/>
  <c r="O358" i="345"/>
  <c r="Q358" i="345"/>
  <c r="I359" i="345"/>
  <c r="K359" i="345"/>
  <c r="M359" i="345"/>
  <c r="O359" i="345"/>
  <c r="Q359" i="345"/>
  <c r="I360" i="345"/>
  <c r="K360" i="345"/>
  <c r="M360" i="345"/>
  <c r="O360" i="345"/>
  <c r="Q360" i="345"/>
  <c r="I361" i="345"/>
  <c r="K361" i="345"/>
  <c r="M361" i="345"/>
  <c r="O361" i="345"/>
  <c r="Q361" i="345"/>
  <c r="I362" i="345"/>
  <c r="K362" i="345"/>
  <c r="M362" i="345"/>
  <c r="O362" i="345"/>
  <c r="Q362" i="345"/>
  <c r="I363" i="345"/>
  <c r="K363" i="345"/>
  <c r="M363" i="345"/>
  <c r="O363" i="345"/>
  <c r="Q363" i="345"/>
  <c r="I364" i="345"/>
  <c r="K364" i="345"/>
  <c r="M364" i="345"/>
  <c r="O364" i="345"/>
  <c r="Q364" i="345"/>
  <c r="I365" i="345"/>
  <c r="K365" i="345"/>
  <c r="M365" i="345"/>
  <c r="O365" i="345"/>
  <c r="Q365" i="345"/>
  <c r="I366" i="345"/>
  <c r="K366" i="345"/>
  <c r="M366" i="345"/>
  <c r="O366" i="345"/>
  <c r="Q366" i="345"/>
  <c r="I367" i="345"/>
  <c r="K367" i="345"/>
  <c r="M367" i="345"/>
  <c r="O367" i="345"/>
  <c r="Q367" i="345"/>
  <c r="I368" i="345"/>
  <c r="K368" i="345"/>
  <c r="M368" i="345"/>
  <c r="O368" i="345"/>
  <c r="Q368" i="345"/>
  <c r="I369" i="345"/>
  <c r="K369" i="345"/>
  <c r="M369" i="345"/>
  <c r="O369" i="345"/>
  <c r="Q369" i="345"/>
  <c r="I370" i="345"/>
  <c r="K370" i="345"/>
  <c r="M370" i="345"/>
  <c r="O370" i="345"/>
  <c r="Q370" i="345"/>
  <c r="I371" i="345"/>
  <c r="K371" i="345"/>
  <c r="M371" i="345"/>
  <c r="O371" i="345"/>
  <c r="Q371" i="345"/>
  <c r="I372" i="345"/>
  <c r="K372" i="345"/>
  <c r="M372" i="345"/>
  <c r="O372" i="345"/>
  <c r="Q372" i="345"/>
  <c r="I373" i="345"/>
  <c r="K373" i="345"/>
  <c r="M373" i="345"/>
  <c r="O373" i="345"/>
  <c r="Q373" i="345"/>
  <c r="I374" i="345"/>
  <c r="K374" i="345"/>
  <c r="M374" i="345"/>
  <c r="O374" i="345"/>
  <c r="Q374" i="345"/>
  <c r="I375" i="345"/>
  <c r="K375" i="345"/>
  <c r="M375" i="345"/>
  <c r="O375" i="345"/>
  <c r="Q375" i="345"/>
  <c r="I376" i="345"/>
  <c r="K376" i="345"/>
  <c r="M376" i="345"/>
  <c r="O376" i="345"/>
  <c r="Q376" i="345"/>
  <c r="I377" i="345"/>
  <c r="K377" i="345"/>
  <c r="M377" i="345"/>
  <c r="O377" i="345"/>
  <c r="Q377" i="345"/>
  <c r="I378" i="345"/>
  <c r="K378" i="345"/>
  <c r="M378" i="345"/>
  <c r="O378" i="345"/>
  <c r="Q378" i="345"/>
  <c r="I379" i="345"/>
  <c r="K379" i="345"/>
  <c r="M379" i="345"/>
  <c r="O379" i="345"/>
  <c r="Q379" i="345"/>
  <c r="I380" i="345"/>
  <c r="K380" i="345"/>
  <c r="M380" i="345"/>
  <c r="O380" i="345"/>
  <c r="Q380" i="345"/>
  <c r="I381" i="345"/>
  <c r="K381" i="345"/>
  <c r="M381" i="345"/>
  <c r="O381" i="345"/>
  <c r="Q381" i="345"/>
  <c r="I382" i="345"/>
  <c r="K382" i="345"/>
  <c r="M382" i="345"/>
  <c r="O382" i="345"/>
  <c r="Q382" i="345"/>
  <c r="I383" i="345"/>
  <c r="K383" i="345"/>
  <c r="M383" i="345"/>
  <c r="O383" i="345"/>
  <c r="Q383" i="345"/>
  <c r="I384" i="345"/>
  <c r="K384" i="345"/>
  <c r="M384" i="345"/>
  <c r="O384" i="345"/>
  <c r="Q384" i="345"/>
  <c r="I385" i="345"/>
  <c r="K385" i="345"/>
  <c r="M385" i="345"/>
  <c r="O385" i="345"/>
  <c r="Q385" i="345"/>
  <c r="I386" i="345"/>
  <c r="K386" i="345"/>
  <c r="M386" i="345"/>
  <c r="O386" i="345"/>
  <c r="Q386" i="345"/>
  <c r="I387" i="345"/>
  <c r="K387" i="345"/>
  <c r="M387" i="345"/>
  <c r="O387" i="345"/>
  <c r="Q387" i="345"/>
  <c r="I388" i="345"/>
  <c r="K388" i="345"/>
  <c r="M388" i="345"/>
  <c r="O388" i="345"/>
  <c r="Q388" i="345"/>
  <c r="I389" i="345"/>
  <c r="K389" i="345"/>
  <c r="M389" i="345"/>
  <c r="O389" i="345"/>
  <c r="Q389" i="345"/>
  <c r="I390" i="345"/>
  <c r="K390" i="345"/>
  <c r="M390" i="345"/>
  <c r="O390" i="345"/>
  <c r="Q390" i="345"/>
  <c r="I391" i="345"/>
  <c r="K391" i="345"/>
  <c r="M391" i="345"/>
  <c r="O391" i="345"/>
  <c r="Q391" i="345"/>
  <c r="I392" i="345"/>
  <c r="K392" i="345"/>
  <c r="M392" i="345"/>
  <c r="O392" i="345"/>
  <c r="Q392" i="345"/>
  <c r="I393" i="345"/>
  <c r="K393" i="345"/>
  <c r="M393" i="345"/>
  <c r="O393" i="345"/>
  <c r="Q393" i="345"/>
  <c r="I394" i="345"/>
  <c r="K394" i="345"/>
  <c r="M394" i="345"/>
  <c r="O394" i="345"/>
  <c r="Q394" i="345"/>
  <c r="I395" i="345"/>
  <c r="K395" i="345"/>
  <c r="M395" i="345"/>
  <c r="O395" i="345"/>
  <c r="Q395" i="345"/>
  <c r="I396" i="345"/>
  <c r="K396" i="345"/>
  <c r="M396" i="345"/>
  <c r="O396" i="345"/>
  <c r="Q396" i="345"/>
  <c r="I397" i="345"/>
  <c r="K397" i="345"/>
  <c r="M397" i="345"/>
  <c r="O397" i="345"/>
  <c r="Q397" i="345"/>
  <c r="I398" i="345"/>
  <c r="K398" i="345"/>
  <c r="M398" i="345"/>
  <c r="O398" i="345"/>
  <c r="Q398" i="345"/>
  <c r="I399" i="345"/>
  <c r="K399" i="345"/>
  <c r="M399" i="345"/>
  <c r="O399" i="345"/>
  <c r="Q399" i="345"/>
  <c r="I400" i="345"/>
  <c r="K400" i="345"/>
  <c r="M400" i="345"/>
  <c r="O400" i="345"/>
  <c r="Q400" i="345"/>
  <c r="I401" i="345"/>
  <c r="K401" i="345"/>
  <c r="M401" i="345"/>
  <c r="O401" i="345"/>
  <c r="Q401" i="345"/>
  <c r="I402" i="345"/>
  <c r="K402" i="345"/>
  <c r="M402" i="345"/>
  <c r="O402" i="345"/>
  <c r="Q402" i="345"/>
  <c r="I403" i="345"/>
  <c r="K403" i="345"/>
  <c r="M403" i="345"/>
  <c r="O403" i="345"/>
  <c r="Q403" i="345"/>
  <c r="I404" i="345"/>
  <c r="K404" i="345"/>
  <c r="M404" i="345"/>
  <c r="O404" i="345"/>
  <c r="Q404" i="345"/>
  <c r="I405" i="345"/>
  <c r="K405" i="345"/>
  <c r="M405" i="345"/>
  <c r="O405" i="345"/>
  <c r="Q405" i="345"/>
  <c r="I406" i="345"/>
  <c r="K406" i="345"/>
  <c r="M406" i="345"/>
  <c r="O406" i="345"/>
  <c r="Q406" i="345"/>
  <c r="I407" i="345"/>
  <c r="K407" i="345"/>
  <c r="M407" i="345"/>
  <c r="O407" i="345"/>
  <c r="Q407" i="345"/>
  <c r="I408" i="345"/>
  <c r="K408" i="345"/>
  <c r="M408" i="345"/>
  <c r="O408" i="345"/>
  <c r="Q408" i="345"/>
  <c r="I409" i="345"/>
  <c r="K409" i="345"/>
  <c r="M409" i="345"/>
  <c r="O409" i="345"/>
  <c r="Q409" i="345"/>
  <c r="I410" i="345"/>
  <c r="K410" i="345"/>
  <c r="M410" i="345"/>
  <c r="O410" i="345"/>
  <c r="Q410" i="345"/>
  <c r="I411" i="345"/>
  <c r="K411" i="345"/>
  <c r="M411" i="345"/>
  <c r="O411" i="345"/>
  <c r="Q411" i="345"/>
  <c r="I412" i="345"/>
  <c r="K412" i="345"/>
  <c r="M412" i="345"/>
  <c r="O412" i="345"/>
  <c r="Q412" i="345"/>
  <c r="I413" i="345"/>
  <c r="K413" i="345"/>
  <c r="M413" i="345"/>
  <c r="O413" i="345"/>
  <c r="Q413" i="345"/>
  <c r="I414" i="345"/>
  <c r="K414" i="345"/>
  <c r="M414" i="345"/>
  <c r="O414" i="345"/>
  <c r="Q414" i="345"/>
  <c r="I415" i="345"/>
  <c r="K415" i="345"/>
  <c r="M415" i="345"/>
  <c r="O415" i="345"/>
  <c r="Q415" i="345"/>
  <c r="I416" i="345"/>
  <c r="K416" i="345"/>
  <c r="M416" i="345"/>
  <c r="O416" i="345"/>
  <c r="Q416" i="345"/>
  <c r="I417" i="345"/>
  <c r="K417" i="345"/>
  <c r="M417" i="345"/>
  <c r="O417" i="345"/>
  <c r="Q417" i="345"/>
  <c r="I418" i="345"/>
  <c r="K418" i="345"/>
  <c r="M418" i="345"/>
  <c r="O418" i="345"/>
  <c r="Q418" i="345"/>
  <c r="I419" i="345"/>
  <c r="K419" i="345"/>
  <c r="M419" i="345"/>
  <c r="O419" i="345"/>
  <c r="Q419" i="345"/>
  <c r="I420" i="345"/>
  <c r="K420" i="345"/>
  <c r="M420" i="345"/>
  <c r="O420" i="345"/>
  <c r="Q420" i="345"/>
  <c r="I421" i="345"/>
  <c r="K421" i="345"/>
  <c r="M421" i="345"/>
  <c r="O421" i="345"/>
  <c r="Q421" i="345"/>
  <c r="I422" i="345"/>
  <c r="K422" i="345"/>
  <c r="M422" i="345"/>
  <c r="O422" i="345"/>
  <c r="Q422" i="345"/>
  <c r="I423" i="345"/>
  <c r="K423" i="345"/>
  <c r="M423" i="345"/>
  <c r="O423" i="345"/>
  <c r="Q423" i="345"/>
  <c r="I424" i="345"/>
  <c r="K424" i="345"/>
  <c r="M424" i="345"/>
  <c r="O424" i="345"/>
  <c r="Q424" i="345"/>
  <c r="I425" i="345"/>
  <c r="K425" i="345"/>
  <c r="M425" i="345"/>
  <c r="O425" i="345"/>
  <c r="Q425" i="345"/>
  <c r="I426" i="345"/>
  <c r="K426" i="345"/>
  <c r="M426" i="345"/>
  <c r="O426" i="345"/>
  <c r="Q426" i="345"/>
  <c r="I427" i="345"/>
  <c r="K427" i="345"/>
  <c r="M427" i="345"/>
  <c r="O427" i="345"/>
  <c r="Q427" i="345"/>
  <c r="I428" i="345"/>
  <c r="K428" i="345"/>
  <c r="M428" i="345"/>
  <c r="O428" i="345"/>
  <c r="Q428" i="345"/>
  <c r="I429" i="345"/>
  <c r="K429" i="345"/>
  <c r="M429" i="345"/>
  <c r="O429" i="345"/>
  <c r="Q429" i="345"/>
  <c r="I430" i="345"/>
  <c r="K430" i="345"/>
  <c r="M430" i="345"/>
  <c r="O430" i="345"/>
  <c r="Q430" i="345"/>
  <c r="I431" i="345"/>
  <c r="K431" i="345"/>
  <c r="M431" i="345"/>
  <c r="O431" i="345"/>
  <c r="Q431" i="345"/>
  <c r="I432" i="345"/>
  <c r="K432" i="345"/>
  <c r="M432" i="345"/>
  <c r="O432" i="345"/>
  <c r="Q432" i="345"/>
  <c r="I433" i="345"/>
  <c r="K433" i="345"/>
  <c r="M433" i="345"/>
  <c r="O433" i="345"/>
  <c r="Q433" i="345"/>
  <c r="I434" i="345"/>
  <c r="K434" i="345"/>
  <c r="M434" i="345"/>
  <c r="O434" i="345"/>
  <c r="Q434" i="345"/>
  <c r="I435" i="345"/>
  <c r="K435" i="345"/>
  <c r="M435" i="345"/>
  <c r="O435" i="345"/>
  <c r="Q435" i="345"/>
  <c r="I436" i="345"/>
  <c r="K436" i="345"/>
  <c r="M436" i="345"/>
  <c r="O436" i="345"/>
  <c r="Q436" i="345"/>
  <c r="I437" i="345"/>
  <c r="K437" i="345"/>
  <c r="M437" i="345"/>
  <c r="O437" i="345"/>
  <c r="Q437" i="345"/>
  <c r="I438" i="345"/>
  <c r="K438" i="345"/>
  <c r="M438" i="345"/>
  <c r="O438" i="345"/>
  <c r="Q438" i="345"/>
  <c r="I439" i="345"/>
  <c r="K439" i="345"/>
  <c r="M439" i="345"/>
  <c r="O439" i="345"/>
  <c r="Q439" i="345"/>
  <c r="I440" i="345"/>
  <c r="K440" i="345"/>
  <c r="M440" i="345"/>
  <c r="O440" i="345"/>
  <c r="Q440" i="345"/>
  <c r="I441" i="345"/>
  <c r="K441" i="345"/>
  <c r="M441" i="345"/>
  <c r="O441" i="345"/>
  <c r="Q441" i="345"/>
  <c r="I442" i="345"/>
  <c r="K442" i="345"/>
  <c r="M442" i="345"/>
  <c r="O442" i="345"/>
  <c r="Q442" i="345"/>
  <c r="I443" i="345"/>
  <c r="K443" i="345"/>
  <c r="M443" i="345"/>
  <c r="O443" i="345"/>
  <c r="Q443" i="345"/>
  <c r="I444" i="345"/>
  <c r="K444" i="345"/>
  <c r="M444" i="345"/>
  <c r="O444" i="345"/>
  <c r="Q444" i="345"/>
  <c r="I445" i="345"/>
  <c r="K445" i="345"/>
  <c r="M445" i="345"/>
  <c r="O445" i="345"/>
  <c r="Q445" i="345"/>
  <c r="I446" i="345"/>
  <c r="K446" i="345"/>
  <c r="M446" i="345"/>
  <c r="O446" i="345"/>
  <c r="Q446" i="345"/>
  <c r="I447" i="345"/>
  <c r="K447" i="345"/>
  <c r="M447" i="345"/>
  <c r="O447" i="345"/>
  <c r="Q447" i="345"/>
  <c r="I448" i="345"/>
  <c r="K448" i="345"/>
  <c r="M448" i="345"/>
  <c r="O448" i="345"/>
  <c r="Q448" i="345"/>
  <c r="I449" i="345"/>
  <c r="K449" i="345"/>
  <c r="M449" i="345"/>
  <c r="O449" i="345"/>
  <c r="Q449" i="345"/>
  <c r="I450" i="345"/>
  <c r="K450" i="345"/>
  <c r="M450" i="345"/>
  <c r="O450" i="345"/>
  <c r="Q450" i="345"/>
  <c r="I451" i="345"/>
  <c r="K451" i="345"/>
  <c r="M451" i="345"/>
  <c r="O451" i="345"/>
  <c r="Q451" i="345"/>
  <c r="I452" i="345"/>
  <c r="K452" i="345"/>
  <c r="M452" i="345"/>
  <c r="O452" i="345"/>
  <c r="Q452" i="345"/>
  <c r="I453" i="345"/>
  <c r="K453" i="345"/>
  <c r="M453" i="345"/>
  <c r="O453" i="345"/>
  <c r="Q453" i="345"/>
  <c r="I454" i="345"/>
  <c r="K454" i="345"/>
  <c r="M454" i="345"/>
  <c r="O454" i="345"/>
  <c r="Q454" i="345"/>
  <c r="I455" i="345"/>
  <c r="K455" i="345"/>
  <c r="M455" i="345"/>
  <c r="O455" i="345"/>
  <c r="Q455" i="345"/>
  <c r="I456" i="345"/>
  <c r="K456" i="345"/>
  <c r="M456" i="345"/>
  <c r="O456" i="345"/>
  <c r="Q456" i="345"/>
  <c r="I457" i="345"/>
  <c r="K457" i="345"/>
  <c r="M457" i="345"/>
  <c r="O457" i="345"/>
  <c r="Q457" i="345"/>
  <c r="I458" i="345"/>
  <c r="K458" i="345"/>
  <c r="M458" i="345"/>
  <c r="O458" i="345"/>
  <c r="Q458" i="345"/>
  <c r="I459" i="345"/>
  <c r="K459" i="345"/>
  <c r="M459" i="345"/>
  <c r="O459" i="345"/>
  <c r="Q459" i="345"/>
  <c r="I460" i="345"/>
  <c r="K460" i="345"/>
  <c r="M460" i="345"/>
  <c r="O460" i="345"/>
  <c r="Q460" i="345"/>
  <c r="I461" i="345"/>
  <c r="K461" i="345"/>
  <c r="M461" i="345"/>
  <c r="O461" i="345"/>
  <c r="Q461" i="345"/>
  <c r="I462" i="345"/>
  <c r="K462" i="345"/>
  <c r="M462" i="345"/>
  <c r="O462" i="345"/>
  <c r="Q462" i="345"/>
  <c r="I463" i="345"/>
  <c r="K463" i="345"/>
  <c r="M463" i="345"/>
  <c r="O463" i="345"/>
  <c r="Q463" i="345"/>
  <c r="I464" i="345"/>
  <c r="K464" i="345"/>
  <c r="M464" i="345"/>
  <c r="O464" i="345"/>
  <c r="Q464" i="345"/>
  <c r="I465" i="345"/>
  <c r="K465" i="345"/>
  <c r="M465" i="345"/>
  <c r="O465" i="345"/>
  <c r="Q465" i="345"/>
  <c r="I466" i="345"/>
  <c r="K466" i="345"/>
  <c r="M466" i="345"/>
  <c r="O466" i="345"/>
  <c r="Q466" i="345"/>
  <c r="I467" i="345"/>
  <c r="K467" i="345"/>
  <c r="M467" i="345"/>
  <c r="O467" i="345"/>
  <c r="Q467" i="345"/>
  <c r="I468" i="345"/>
  <c r="K468" i="345"/>
  <c r="M468" i="345"/>
  <c r="O468" i="345"/>
  <c r="Q468" i="345"/>
  <c r="I469" i="345"/>
  <c r="K469" i="345"/>
  <c r="M469" i="345"/>
  <c r="O469" i="345"/>
  <c r="Q469" i="345"/>
  <c r="I470" i="345"/>
  <c r="K470" i="345"/>
  <c r="M470" i="345"/>
  <c r="O470" i="345"/>
  <c r="Q470" i="345"/>
  <c r="I471" i="345"/>
  <c r="K471" i="345"/>
  <c r="M471" i="345"/>
  <c r="O471" i="345"/>
  <c r="Q471" i="345"/>
  <c r="I472" i="345"/>
  <c r="K472" i="345"/>
  <c r="M472" i="345"/>
  <c r="O472" i="345"/>
  <c r="Q472" i="345"/>
  <c r="I473" i="345"/>
  <c r="K473" i="345"/>
  <c r="M473" i="345"/>
  <c r="O473" i="345"/>
  <c r="Q473" i="345"/>
  <c r="H12" i="344"/>
  <c r="J12" i="344" s="1"/>
  <c r="I12" i="344"/>
  <c r="H13" i="344"/>
  <c r="J13" i="344" s="1"/>
  <c r="I13" i="344"/>
  <c r="H14" i="344"/>
  <c r="J14" i="344" s="1"/>
  <c r="I14" i="344"/>
  <c r="H15" i="344"/>
  <c r="J15" i="344" s="1"/>
  <c r="I15" i="344"/>
  <c r="H16" i="344"/>
  <c r="J16" i="344" s="1"/>
  <c r="I16" i="344"/>
  <c r="H17" i="344"/>
  <c r="J17" i="344" s="1"/>
  <c r="I17" i="344"/>
  <c r="H18" i="344"/>
  <c r="J18" i="344" s="1"/>
  <c r="I18" i="344"/>
  <c r="H19" i="344"/>
  <c r="J19" i="344" s="1"/>
  <c r="I19" i="344"/>
  <c r="H20" i="344"/>
  <c r="I20" i="344"/>
  <c r="J20" i="344"/>
  <c r="H21" i="344"/>
  <c r="J21" i="344" s="1"/>
  <c r="I21" i="344"/>
  <c r="I22" i="344"/>
  <c r="J22" i="344"/>
  <c r="I23" i="344"/>
  <c r="J23" i="344"/>
  <c r="H24" i="344"/>
  <c r="J24" i="344" s="1"/>
  <c r="I24" i="344"/>
  <c r="H25" i="344"/>
  <c r="J25" i="344" s="1"/>
  <c r="I25" i="344"/>
  <c r="H26" i="344"/>
  <c r="J26" i="344" s="1"/>
  <c r="I26" i="344"/>
  <c r="H27" i="344"/>
  <c r="J27" i="344" s="1"/>
  <c r="I27" i="344"/>
  <c r="H28" i="344"/>
  <c r="J28" i="344" s="1"/>
  <c r="I28" i="344"/>
  <c r="H29" i="344"/>
  <c r="J29" i="344" s="1"/>
  <c r="I29" i="344"/>
  <c r="H30" i="344"/>
  <c r="J30" i="344" s="1"/>
  <c r="I30" i="344"/>
  <c r="H31" i="344"/>
  <c r="J31" i="344" s="1"/>
  <c r="I31" i="344"/>
  <c r="H32" i="344"/>
  <c r="J32" i="344" s="1"/>
  <c r="I32" i="344"/>
  <c r="H33" i="344"/>
  <c r="J33" i="344" s="1"/>
  <c r="I33" i="344"/>
  <c r="H34" i="344"/>
  <c r="J34" i="344" s="1"/>
  <c r="I34" i="344"/>
  <c r="H35" i="344"/>
  <c r="I35" i="344"/>
  <c r="J35" i="344"/>
  <c r="H36" i="344"/>
  <c r="J36" i="344" s="1"/>
  <c r="I36" i="344"/>
  <c r="H37" i="344"/>
  <c r="J37" i="344" s="1"/>
  <c r="I37" i="344"/>
  <c r="H41" i="344"/>
  <c r="J41" i="344" s="1"/>
  <c r="I41" i="344"/>
  <c r="H42" i="344"/>
  <c r="J42" i="344" s="1"/>
  <c r="I42" i="344"/>
  <c r="H43" i="344"/>
  <c r="J43" i="344" s="1"/>
  <c r="I43" i="344"/>
  <c r="H44" i="344"/>
  <c r="J44" i="344" s="1"/>
  <c r="I44" i="344"/>
  <c r="H45" i="344"/>
  <c r="J45" i="344" s="1"/>
  <c r="I45" i="344"/>
  <c r="H46" i="344"/>
  <c r="J46" i="344" s="1"/>
  <c r="I46" i="344"/>
  <c r="H47" i="344"/>
  <c r="J47" i="344" s="1"/>
  <c r="I47" i="344"/>
  <c r="H48" i="344"/>
  <c r="I48" i="344"/>
  <c r="J48" i="344"/>
  <c r="H49" i="344"/>
  <c r="J49" i="344" s="1"/>
  <c r="I49" i="344"/>
  <c r="H50" i="344"/>
  <c r="J50" i="344" s="1"/>
  <c r="I50" i="344"/>
  <c r="H51" i="344"/>
  <c r="J51" i="344" s="1"/>
  <c r="I51" i="344"/>
  <c r="H52" i="344"/>
  <c r="J52" i="344" s="1"/>
  <c r="I52" i="344"/>
  <c r="H53" i="344"/>
  <c r="J53" i="344" s="1"/>
  <c r="I53" i="344"/>
  <c r="H54" i="344"/>
  <c r="J54" i="344" s="1"/>
  <c r="I54" i="344"/>
  <c r="H55" i="344"/>
  <c r="J55" i="344" s="1"/>
  <c r="I55" i="344"/>
  <c r="H56" i="344"/>
  <c r="J56" i="344" s="1"/>
  <c r="I56" i="344"/>
  <c r="H57" i="344"/>
  <c r="J57" i="344" s="1"/>
  <c r="I57" i="344"/>
  <c r="H58" i="344"/>
  <c r="J58" i="344" s="1"/>
  <c r="I58" i="344"/>
  <c r="H59" i="344"/>
  <c r="J59" i="344" s="1"/>
  <c r="I59" i="344"/>
  <c r="H60" i="344"/>
  <c r="J60" i="344" s="1"/>
  <c r="I60" i="344"/>
  <c r="H61" i="344"/>
  <c r="J61" i="344" s="1"/>
  <c r="I61" i="344"/>
  <c r="H62" i="344"/>
  <c r="I62" i="344"/>
  <c r="J62" i="344"/>
  <c r="H63" i="344"/>
  <c r="J63" i="344" s="1"/>
  <c r="I63" i="344"/>
  <c r="H64" i="344"/>
  <c r="J64" i="344" s="1"/>
  <c r="I64" i="344"/>
  <c r="H65" i="344"/>
  <c r="J65" i="344" s="1"/>
  <c r="I65" i="344"/>
  <c r="H66" i="344"/>
  <c r="J66" i="344" s="1"/>
  <c r="I66" i="344"/>
  <c r="H67" i="344"/>
  <c r="J67" i="344" s="1"/>
  <c r="I67" i="344"/>
  <c r="H68" i="344"/>
  <c r="J68" i="344" s="1"/>
  <c r="I68" i="344"/>
  <c r="H69" i="344"/>
  <c r="J69" i="344" s="1"/>
  <c r="I69" i="344"/>
  <c r="H70" i="344"/>
  <c r="J70" i="344" s="1"/>
  <c r="I70" i="344"/>
  <c r="H71" i="344"/>
  <c r="J71" i="344" s="1"/>
  <c r="I71" i="344"/>
  <c r="H72" i="344"/>
  <c r="I72" i="344"/>
  <c r="J72" i="344"/>
  <c r="H73" i="344"/>
  <c r="J73" i="344" s="1"/>
  <c r="I73" i="344"/>
  <c r="H74" i="344"/>
  <c r="J74" i="344" s="1"/>
  <c r="I74" i="344"/>
  <c r="H75" i="344"/>
  <c r="J75" i="344" s="1"/>
  <c r="I75" i="344"/>
  <c r="H76" i="344"/>
  <c r="J76" i="344" s="1"/>
  <c r="I76" i="344"/>
  <c r="H80" i="344"/>
  <c r="J80" i="344" s="1"/>
  <c r="I80" i="344"/>
  <c r="H81" i="344"/>
  <c r="J81" i="344" s="1"/>
  <c r="I81" i="344"/>
  <c r="H82" i="344"/>
  <c r="J82" i="344" s="1"/>
  <c r="I82" i="344"/>
  <c r="H83" i="344"/>
  <c r="J83" i="344" s="1"/>
  <c r="I83" i="344"/>
  <c r="H84" i="344"/>
  <c r="J84" i="344" s="1"/>
  <c r="I84" i="344"/>
  <c r="H85" i="344"/>
  <c r="J85" i="344" s="1"/>
  <c r="I85" i="344"/>
  <c r="H86" i="344"/>
  <c r="J86" i="344" s="1"/>
  <c r="I86" i="344"/>
  <c r="H87" i="344"/>
  <c r="J87" i="344" s="1"/>
  <c r="I87" i="344"/>
  <c r="I88" i="344"/>
  <c r="J88" i="344"/>
  <c r="H89" i="344"/>
  <c r="I89" i="344"/>
  <c r="J89" i="344"/>
  <c r="H90" i="344"/>
  <c r="J90" i="344" s="1"/>
  <c r="I90" i="344"/>
  <c r="H91" i="344"/>
  <c r="J91" i="344" s="1"/>
  <c r="I91" i="344"/>
  <c r="H92" i="344"/>
  <c r="J92" i="344" s="1"/>
  <c r="I92" i="344"/>
  <c r="H93" i="344"/>
  <c r="J93" i="344" s="1"/>
  <c r="I93" i="344"/>
  <c r="H94" i="344"/>
  <c r="J94" i="344" s="1"/>
  <c r="I94" i="344"/>
  <c r="H95" i="344"/>
  <c r="J95" i="344" s="1"/>
  <c r="I95" i="344"/>
  <c r="H96" i="344"/>
  <c r="J96" i="344" s="1"/>
  <c r="I96" i="344"/>
  <c r="I97" i="344"/>
  <c r="J97" i="344"/>
  <c r="H98" i="344"/>
  <c r="J98" i="344" s="1"/>
  <c r="I98" i="344"/>
  <c r="I102" i="344"/>
  <c r="J102" i="344"/>
  <c r="I103" i="344"/>
  <c r="J103" i="344"/>
  <c r="I104" i="344"/>
  <c r="J104" i="344"/>
  <c r="I105" i="344"/>
  <c r="J105" i="344"/>
  <c r="I106" i="344"/>
  <c r="J106" i="344"/>
  <c r="I107" i="344"/>
  <c r="J107" i="344"/>
  <c r="J108" i="344"/>
  <c r="I109" i="344"/>
  <c r="J109" i="344"/>
  <c r="I110" i="344"/>
  <c r="J110" i="344"/>
  <c r="I111" i="344"/>
  <c r="J111" i="344"/>
  <c r="I112" i="344"/>
  <c r="J112" i="344"/>
  <c r="I116" i="344"/>
  <c r="J116" i="344"/>
  <c r="I120" i="344"/>
  <c r="J120" i="344"/>
  <c r="I124" i="344"/>
  <c r="J124" i="344"/>
  <c r="I125" i="344"/>
  <c r="J125" i="344"/>
  <c r="H126" i="344"/>
  <c r="J126" i="344" s="1"/>
  <c r="I126" i="344"/>
  <c r="H127" i="344"/>
  <c r="J127" i="344" s="1"/>
  <c r="I127" i="344"/>
  <c r="H128" i="344"/>
  <c r="I128" i="344"/>
  <c r="J128" i="344"/>
  <c r="I132" i="344"/>
  <c r="J132" i="344"/>
  <c r="I133" i="344"/>
  <c r="J133" i="344"/>
  <c r="I134" i="344"/>
  <c r="J134" i="344"/>
  <c r="I135" i="344"/>
  <c r="J135" i="344"/>
  <c r="I136" i="344"/>
  <c r="J136" i="344"/>
  <c r="H137" i="344"/>
  <c r="I137" i="344"/>
  <c r="J137" i="344"/>
  <c r="H138" i="344"/>
  <c r="J138" i="344" s="1"/>
  <c r="I138" i="344"/>
  <c r="I139" i="344"/>
  <c r="J139" i="344"/>
  <c r="I140" i="344"/>
  <c r="J140" i="344"/>
  <c r="H141" i="344"/>
  <c r="J141" i="344" s="1"/>
  <c r="I141" i="344"/>
  <c r="H142" i="344"/>
  <c r="I142" i="344"/>
  <c r="J142" i="344"/>
  <c r="I143" i="344"/>
  <c r="J143" i="344"/>
  <c r="I144" i="344"/>
  <c r="J144" i="344"/>
  <c r="I145" i="344"/>
  <c r="J145" i="344"/>
  <c r="I146" i="344"/>
  <c r="J146" i="344"/>
  <c r="I147" i="344"/>
  <c r="J147" i="344"/>
  <c r="H148" i="344"/>
  <c r="J148" i="344" s="1"/>
  <c r="I148" i="344"/>
  <c r="H149" i="344"/>
  <c r="J149" i="344" s="1"/>
  <c r="I149" i="344"/>
  <c r="I153" i="344"/>
  <c r="J153" i="344"/>
  <c r="I154" i="344"/>
  <c r="J154" i="344"/>
  <c r="I155" i="344"/>
  <c r="J155" i="344"/>
  <c r="I156" i="344"/>
  <c r="J156" i="344"/>
  <c r="I157" i="344"/>
  <c r="J157" i="344"/>
  <c r="I158" i="344"/>
  <c r="J158" i="344"/>
  <c r="I159" i="344"/>
  <c r="J159" i="344"/>
  <c r="I160" i="344"/>
  <c r="J160" i="344"/>
  <c r="I161" i="344"/>
  <c r="J161" i="344"/>
  <c r="I162" i="344"/>
  <c r="J162" i="344"/>
  <c r="H163" i="344"/>
  <c r="J163" i="344" s="1"/>
  <c r="I163" i="344"/>
  <c r="H164" i="344"/>
  <c r="J164" i="344" s="1"/>
  <c r="I164" i="344"/>
  <c r="H165" i="344"/>
  <c r="J165" i="344" s="1"/>
  <c r="I165" i="344"/>
  <c r="I166" i="344"/>
  <c r="J166" i="344"/>
  <c r="I167" i="344"/>
  <c r="J167" i="344"/>
  <c r="I168" i="344"/>
  <c r="J168" i="344"/>
  <c r="I169" i="344"/>
  <c r="J169" i="344"/>
  <c r="I173" i="344"/>
  <c r="J173" i="344"/>
  <c r="I174" i="344"/>
  <c r="J174" i="344"/>
  <c r="I175" i="344"/>
  <c r="J175" i="344"/>
  <c r="I176" i="344"/>
  <c r="J176" i="344"/>
  <c r="I177" i="344"/>
  <c r="J177" i="344"/>
  <c r="I178" i="344"/>
  <c r="J178" i="344"/>
  <c r="I179" i="344"/>
  <c r="J179" i="344"/>
  <c r="I180" i="344"/>
  <c r="J180" i="344"/>
  <c r="I181" i="344"/>
  <c r="J181" i="344"/>
  <c r="I182" i="344"/>
  <c r="J182" i="344"/>
  <c r="I183" i="344"/>
  <c r="J183" i="344"/>
  <c r="I184" i="344"/>
  <c r="J184" i="344"/>
  <c r="I185" i="344"/>
  <c r="J185" i="344"/>
  <c r="I186" i="344"/>
  <c r="J186" i="344"/>
  <c r="I187" i="344"/>
  <c r="J187" i="344"/>
  <c r="I188" i="344"/>
  <c r="J188" i="344"/>
  <c r="I189" i="344"/>
  <c r="J189" i="344"/>
  <c r="I190" i="344"/>
  <c r="J190" i="344"/>
  <c r="I191" i="344"/>
  <c r="J191" i="344"/>
  <c r="I192" i="344"/>
  <c r="J192" i="344"/>
  <c r="I193" i="344"/>
  <c r="J193" i="344"/>
  <c r="I194" i="344"/>
  <c r="J194" i="344"/>
  <c r="I198" i="344"/>
  <c r="J198" i="344"/>
  <c r="I199" i="344"/>
  <c r="J199" i="344"/>
  <c r="I200" i="344"/>
  <c r="J200" i="344"/>
  <c r="I201" i="344"/>
  <c r="J201" i="344"/>
  <c r="I205" i="344"/>
  <c r="J205" i="344"/>
  <c r="I206" i="344"/>
  <c r="J206" i="344"/>
  <c r="I207" i="344"/>
  <c r="J207" i="344"/>
  <c r="H211" i="344"/>
  <c r="I211" i="344"/>
  <c r="H212" i="344"/>
  <c r="I212" i="344"/>
  <c r="I213" i="344"/>
  <c r="J213" i="344"/>
  <c r="H214" i="344"/>
  <c r="I214" i="344"/>
  <c r="I215" i="344"/>
  <c r="J215" i="344"/>
  <c r="I216" i="344"/>
  <c r="J216" i="344"/>
  <c r="I217" i="344"/>
  <c r="J217" i="344"/>
  <c r="I218" i="344"/>
  <c r="J218" i="344"/>
  <c r="I219" i="344"/>
  <c r="J219" i="344"/>
  <c r="I220" i="344"/>
  <c r="J220" i="344"/>
  <c r="I221" i="344"/>
  <c r="J221" i="344"/>
  <c r="I222" i="344"/>
  <c r="J222" i="344"/>
  <c r="I223" i="344"/>
  <c r="J223" i="344"/>
  <c r="K4" i="342"/>
  <c r="L4" i="342"/>
  <c r="N4" i="342"/>
  <c r="O4" i="342"/>
  <c r="Q4" i="342"/>
  <c r="R4" i="342"/>
  <c r="T4" i="342"/>
  <c r="U4" i="342"/>
  <c r="W4" i="342"/>
  <c r="X4" i="342"/>
  <c r="K5" i="342"/>
  <c r="L5" i="342"/>
  <c r="N5" i="342"/>
  <c r="O5" i="342"/>
  <c r="Q5" i="342"/>
  <c r="R5" i="342"/>
  <c r="T5" i="342"/>
  <c r="U5" i="342"/>
  <c r="W5" i="342"/>
  <c r="X5" i="342"/>
  <c r="K6" i="342"/>
  <c r="L6" i="342"/>
  <c r="N6" i="342"/>
  <c r="O6" i="342"/>
  <c r="Q6" i="342"/>
  <c r="R6" i="342"/>
  <c r="T6" i="342"/>
  <c r="U6" i="342"/>
  <c r="W6" i="342"/>
  <c r="X6" i="342"/>
  <c r="K7" i="342"/>
  <c r="L7" i="342"/>
  <c r="N7" i="342"/>
  <c r="O7" i="342"/>
  <c r="Q7" i="342"/>
  <c r="R7" i="342"/>
  <c r="T7" i="342"/>
  <c r="U7" i="342"/>
  <c r="W7" i="342"/>
  <c r="X7" i="342"/>
  <c r="K8" i="342"/>
  <c r="L8" i="342"/>
  <c r="N8" i="342"/>
  <c r="O8" i="342"/>
  <c r="Q8" i="342"/>
  <c r="R8" i="342"/>
  <c r="T8" i="342"/>
  <c r="U8" i="342"/>
  <c r="W8" i="342"/>
  <c r="X8" i="342"/>
  <c r="K9" i="342"/>
  <c r="L9" i="342"/>
  <c r="N9" i="342"/>
  <c r="O9" i="342"/>
  <c r="Q9" i="342"/>
  <c r="R9" i="342"/>
  <c r="T9" i="342"/>
  <c r="U9" i="342"/>
  <c r="W9" i="342"/>
  <c r="X9" i="342"/>
  <c r="K10" i="342"/>
  <c r="L10" i="342"/>
  <c r="N10" i="342"/>
  <c r="O10" i="342"/>
  <c r="Q10" i="342"/>
  <c r="R10" i="342"/>
  <c r="T10" i="342"/>
  <c r="U10" i="342"/>
  <c r="W10" i="342"/>
  <c r="X10" i="342"/>
  <c r="N4" i="340"/>
  <c r="O4" i="340"/>
  <c r="P4" i="340"/>
  <c r="R4" i="340"/>
  <c r="S4" i="340"/>
  <c r="T4" i="340"/>
  <c r="V4" i="340"/>
  <c r="W4" i="340"/>
  <c r="X4" i="340"/>
  <c r="Z4" i="340"/>
  <c r="AA4" i="340"/>
  <c r="AB4" i="340"/>
  <c r="AD4" i="340"/>
  <c r="AE4" i="340"/>
  <c r="AF4" i="340"/>
  <c r="N5" i="340"/>
  <c r="O5" i="340"/>
  <c r="P5" i="340"/>
  <c r="R5" i="340"/>
  <c r="S5" i="340"/>
  <c r="T5" i="340"/>
  <c r="V5" i="340"/>
  <c r="W5" i="340"/>
  <c r="X5" i="340"/>
  <c r="Z5" i="340"/>
  <c r="AA5" i="340"/>
  <c r="AB5" i="340"/>
  <c r="AD5" i="340"/>
  <c r="AE5" i="340"/>
  <c r="AF5" i="340"/>
  <c r="N7" i="340"/>
  <c r="O7" i="340"/>
  <c r="P7" i="340"/>
  <c r="R7" i="340"/>
  <c r="S7" i="340"/>
  <c r="T7" i="340"/>
  <c r="V7" i="340"/>
  <c r="W7" i="340"/>
  <c r="X7" i="340"/>
  <c r="Z7" i="340"/>
  <c r="AA7" i="340"/>
  <c r="AB7" i="340"/>
  <c r="AD7" i="340"/>
  <c r="AE7" i="340"/>
  <c r="AF7" i="340"/>
  <c r="N9" i="340"/>
  <c r="O9" i="340"/>
  <c r="P9" i="340"/>
  <c r="R9" i="340"/>
  <c r="S9" i="340"/>
  <c r="T9" i="340"/>
  <c r="V9" i="340"/>
  <c r="W9" i="340"/>
  <c r="X9" i="340"/>
  <c r="Z9" i="340"/>
  <c r="AA9" i="340"/>
  <c r="AB9" i="340"/>
  <c r="AD9" i="340"/>
  <c r="AE9" i="340"/>
  <c r="AF9" i="340"/>
  <c r="N10" i="340"/>
  <c r="O10" i="340"/>
  <c r="P10" i="340"/>
  <c r="R10" i="340"/>
  <c r="S10" i="340"/>
  <c r="T10" i="340"/>
  <c r="V10" i="340"/>
  <c r="W10" i="340"/>
  <c r="X10" i="340"/>
  <c r="Z10" i="340"/>
  <c r="AA10" i="340"/>
  <c r="AB10" i="340"/>
  <c r="AD10" i="340"/>
  <c r="AE10" i="340"/>
  <c r="AF10" i="340"/>
  <c r="N22" i="340"/>
  <c r="O22" i="340"/>
  <c r="P22" i="340"/>
  <c r="R22" i="340"/>
  <c r="S22" i="340"/>
  <c r="T22" i="340"/>
  <c r="V22" i="340"/>
  <c r="W22" i="340"/>
  <c r="X22" i="340"/>
  <c r="Z22" i="340"/>
  <c r="AA22" i="340"/>
  <c r="AB22" i="340"/>
  <c r="AD22" i="340"/>
  <c r="AE22" i="340"/>
  <c r="AF22" i="340"/>
  <c r="N24" i="340"/>
  <c r="O24" i="340"/>
  <c r="P24" i="340"/>
  <c r="R24" i="340"/>
  <c r="S24" i="340"/>
  <c r="T24" i="340"/>
  <c r="V24" i="340"/>
  <c r="W24" i="340"/>
  <c r="X24" i="340"/>
  <c r="Z24" i="340"/>
  <c r="AA24" i="340"/>
  <c r="AB24" i="340"/>
  <c r="AD24" i="340"/>
  <c r="AE24" i="340"/>
  <c r="AF24" i="340"/>
  <c r="N25" i="340"/>
  <c r="O25" i="340"/>
  <c r="P25" i="340"/>
  <c r="R25" i="340"/>
  <c r="S25" i="340"/>
  <c r="T25" i="340"/>
  <c r="V25" i="340"/>
  <c r="W25" i="340"/>
  <c r="X25" i="340"/>
  <c r="Z25" i="340"/>
  <c r="AA25" i="340"/>
  <c r="AB25" i="340"/>
  <c r="AD25" i="340"/>
  <c r="AE25" i="340"/>
  <c r="AF25" i="340"/>
  <c r="N27" i="340"/>
  <c r="O27" i="340"/>
  <c r="P27" i="340"/>
  <c r="R27" i="340"/>
  <c r="S27" i="340"/>
  <c r="T27" i="340"/>
  <c r="V27" i="340"/>
  <c r="W27" i="340"/>
  <c r="X27" i="340"/>
  <c r="Z27" i="340"/>
  <c r="AA27" i="340"/>
  <c r="AB27" i="340"/>
  <c r="AD27" i="340"/>
  <c r="AE27" i="340"/>
  <c r="AF27" i="340"/>
  <c r="N32" i="340"/>
  <c r="O32" i="340"/>
  <c r="P32" i="340"/>
  <c r="R32" i="340"/>
  <c r="S32" i="340"/>
  <c r="T32" i="340"/>
  <c r="V32" i="340"/>
  <c r="W32" i="340"/>
  <c r="X32" i="340"/>
  <c r="Z32" i="340"/>
  <c r="AA32" i="340"/>
  <c r="AB32" i="340"/>
  <c r="AD32" i="340"/>
  <c r="AE32" i="340"/>
  <c r="AF32" i="340"/>
  <c r="N35" i="340"/>
  <c r="O35" i="340"/>
  <c r="P35" i="340"/>
  <c r="R35" i="340"/>
  <c r="S35" i="340"/>
  <c r="T35" i="340"/>
  <c r="V35" i="340"/>
  <c r="W35" i="340"/>
  <c r="X35" i="340"/>
  <c r="Z35" i="340"/>
  <c r="AA35" i="340"/>
  <c r="AB35" i="340"/>
  <c r="AD35" i="340"/>
  <c r="AE35" i="340"/>
  <c r="AF35" i="340"/>
  <c r="N38" i="340"/>
  <c r="O38" i="340"/>
  <c r="P38" i="340"/>
  <c r="R38" i="340"/>
  <c r="S38" i="340"/>
  <c r="T38" i="340"/>
  <c r="V38" i="340"/>
  <c r="W38" i="340"/>
  <c r="X38" i="340"/>
  <c r="Z38" i="340"/>
  <c r="AA38" i="340"/>
  <c r="AB38" i="340"/>
  <c r="AD38" i="340"/>
  <c r="AE38" i="340"/>
  <c r="AF38" i="340"/>
  <c r="N42" i="340"/>
  <c r="O42" i="340"/>
  <c r="P42" i="340"/>
  <c r="R42" i="340"/>
  <c r="S42" i="340"/>
  <c r="T42" i="340"/>
  <c r="V42" i="340"/>
  <c r="W42" i="340"/>
  <c r="X42" i="340"/>
  <c r="Z42" i="340"/>
  <c r="AA42" i="340"/>
  <c r="AB42" i="340"/>
  <c r="AD42" i="340"/>
  <c r="AE42" i="340"/>
  <c r="AF42" i="340"/>
  <c r="N46" i="340"/>
  <c r="O46" i="340"/>
  <c r="P46" i="340"/>
  <c r="R46" i="340"/>
  <c r="S46" i="340"/>
  <c r="T46" i="340"/>
  <c r="V46" i="340"/>
  <c r="W46" i="340"/>
  <c r="X46" i="340"/>
  <c r="Z46" i="340"/>
  <c r="AA46" i="340"/>
  <c r="AB46" i="340"/>
  <c r="AD46" i="340"/>
  <c r="AE46" i="340"/>
  <c r="AF46" i="340"/>
  <c r="N53" i="340"/>
  <c r="O53" i="340"/>
  <c r="P53" i="340"/>
  <c r="R53" i="340"/>
  <c r="S53" i="340"/>
  <c r="T53" i="340"/>
  <c r="V53" i="340"/>
  <c r="W53" i="340"/>
  <c r="X53" i="340"/>
  <c r="Z53" i="340"/>
  <c r="AA53" i="340"/>
  <c r="AB53" i="340"/>
  <c r="AD53" i="340"/>
  <c r="AE53" i="340"/>
  <c r="AF53" i="340"/>
  <c r="N58" i="340"/>
  <c r="O58" i="340"/>
  <c r="P58" i="340"/>
  <c r="R58" i="340"/>
  <c r="S58" i="340"/>
  <c r="T58" i="340"/>
  <c r="V58" i="340"/>
  <c r="W58" i="340"/>
  <c r="X58" i="340"/>
  <c r="Z58" i="340"/>
  <c r="AA58" i="340"/>
  <c r="AB58" i="340"/>
  <c r="AD58" i="340"/>
  <c r="AE58" i="340"/>
  <c r="AF58" i="340"/>
  <c r="N62" i="340"/>
  <c r="O62" i="340"/>
  <c r="P62" i="340"/>
  <c r="R62" i="340"/>
  <c r="S62" i="340"/>
  <c r="T62" i="340"/>
  <c r="V62" i="340"/>
  <c r="W62" i="340"/>
  <c r="X62" i="340"/>
  <c r="Z62" i="340"/>
  <c r="AA62" i="340"/>
  <c r="AB62" i="340"/>
  <c r="AD62" i="340"/>
  <c r="AE62" i="340"/>
  <c r="AF62" i="340"/>
  <c r="N64" i="340"/>
  <c r="O64" i="340"/>
  <c r="P64" i="340"/>
  <c r="R64" i="340"/>
  <c r="S64" i="340"/>
  <c r="T64" i="340"/>
  <c r="V64" i="340"/>
  <c r="W64" i="340"/>
  <c r="X64" i="340"/>
  <c r="Z64" i="340"/>
  <c r="AA64" i="340"/>
  <c r="AB64" i="340"/>
  <c r="AD64" i="340"/>
  <c r="AE64" i="340"/>
  <c r="AF64" i="340"/>
  <c r="N69" i="340"/>
  <c r="O69" i="340"/>
  <c r="P69" i="340"/>
  <c r="R69" i="340"/>
  <c r="S69" i="340"/>
  <c r="T69" i="340"/>
  <c r="V69" i="340"/>
  <c r="W69" i="340"/>
  <c r="X69" i="340"/>
  <c r="Z69" i="340"/>
  <c r="AA69" i="340"/>
  <c r="AB69" i="340"/>
  <c r="AD69" i="340"/>
  <c r="AE69" i="340"/>
  <c r="AF69" i="340"/>
  <c r="N73" i="340"/>
  <c r="O73" i="340"/>
  <c r="P73" i="340"/>
  <c r="R73" i="340"/>
  <c r="S73" i="340"/>
  <c r="T73" i="340"/>
  <c r="V73" i="340"/>
  <c r="W73" i="340"/>
  <c r="X73" i="340"/>
  <c r="Z73" i="340"/>
  <c r="AA73" i="340"/>
  <c r="AB73" i="340"/>
  <c r="AD73" i="340"/>
  <c r="AE73" i="340"/>
  <c r="AF73" i="340"/>
  <c r="N79" i="340"/>
  <c r="O79" i="340"/>
  <c r="P79" i="340"/>
  <c r="R79" i="340"/>
  <c r="S79" i="340"/>
  <c r="T79" i="340"/>
  <c r="V79" i="340"/>
  <c r="W79" i="340"/>
  <c r="X79" i="340"/>
  <c r="Z79" i="340"/>
  <c r="AA79" i="340"/>
  <c r="AB79" i="340"/>
  <c r="AD79" i="340"/>
  <c r="AE79" i="340"/>
  <c r="AF79" i="340"/>
  <c r="N81" i="340"/>
  <c r="O81" i="340"/>
  <c r="P81" i="340"/>
  <c r="R81" i="340"/>
  <c r="S81" i="340"/>
  <c r="T81" i="340"/>
  <c r="V81" i="340"/>
  <c r="W81" i="340"/>
  <c r="X81" i="340"/>
  <c r="Z81" i="340"/>
  <c r="AA81" i="340"/>
  <c r="AB81" i="340"/>
  <c r="AD81" i="340"/>
  <c r="AE81" i="340"/>
  <c r="AF81" i="340"/>
  <c r="N87" i="340"/>
  <c r="O87" i="340"/>
  <c r="P87" i="340"/>
  <c r="R87" i="340"/>
  <c r="S87" i="340"/>
  <c r="T87" i="340"/>
  <c r="V87" i="340"/>
  <c r="W87" i="340"/>
  <c r="X87" i="340"/>
  <c r="Z87" i="340"/>
  <c r="AA87" i="340"/>
  <c r="AB87" i="340"/>
  <c r="AD87" i="340"/>
  <c r="AE87" i="340"/>
  <c r="AF87" i="340"/>
  <c r="N92" i="340"/>
  <c r="O92" i="340"/>
  <c r="P92" i="340"/>
  <c r="R92" i="340"/>
  <c r="S92" i="340"/>
  <c r="T92" i="340"/>
  <c r="V92" i="340"/>
  <c r="W92" i="340"/>
  <c r="X92" i="340"/>
  <c r="Z92" i="340"/>
  <c r="AA92" i="340"/>
  <c r="AB92" i="340"/>
  <c r="AD92" i="340"/>
  <c r="AE92" i="340"/>
  <c r="AF92" i="340"/>
  <c r="N94" i="340"/>
  <c r="O94" i="340"/>
  <c r="P94" i="340"/>
  <c r="R94" i="340"/>
  <c r="S94" i="340"/>
  <c r="T94" i="340"/>
  <c r="V94" i="340"/>
  <c r="W94" i="340"/>
  <c r="X94" i="340"/>
  <c r="Z94" i="340"/>
  <c r="AA94" i="340"/>
  <c r="AB94" i="340"/>
  <c r="AD94" i="340"/>
  <c r="AE94" i="340"/>
  <c r="AF94" i="340"/>
  <c r="N99" i="340"/>
  <c r="O99" i="340"/>
  <c r="P99" i="340"/>
  <c r="R99" i="340"/>
  <c r="S99" i="340"/>
  <c r="T99" i="340"/>
  <c r="V99" i="340"/>
  <c r="W99" i="340"/>
  <c r="X99" i="340"/>
  <c r="Z99" i="340"/>
  <c r="AA99" i="340"/>
  <c r="AB99" i="340"/>
  <c r="AD99" i="340"/>
  <c r="AE99" i="340"/>
  <c r="AF99" i="340"/>
  <c r="N102" i="340"/>
  <c r="O102" i="340"/>
  <c r="P102" i="340"/>
  <c r="R102" i="340"/>
  <c r="S102" i="340"/>
  <c r="T102" i="340"/>
  <c r="V102" i="340"/>
  <c r="W102" i="340"/>
  <c r="X102" i="340"/>
  <c r="Z102" i="340"/>
  <c r="AA102" i="340"/>
  <c r="AB102" i="340"/>
  <c r="AD102" i="340"/>
  <c r="AE102" i="340"/>
  <c r="AF102" i="340"/>
  <c r="N105" i="340"/>
  <c r="O105" i="340"/>
  <c r="P105" i="340"/>
  <c r="R105" i="340"/>
  <c r="S105" i="340"/>
  <c r="T105" i="340"/>
  <c r="V105" i="340"/>
  <c r="W105" i="340"/>
  <c r="X105" i="340"/>
  <c r="Z105" i="340"/>
  <c r="AA105" i="340"/>
  <c r="AB105" i="340"/>
  <c r="AD105" i="340"/>
  <c r="AE105" i="340"/>
  <c r="AF105" i="340"/>
  <c r="N109" i="340"/>
  <c r="O109" i="340"/>
  <c r="P109" i="340"/>
  <c r="R109" i="340"/>
  <c r="S109" i="340"/>
  <c r="T109" i="340"/>
  <c r="V109" i="340"/>
  <c r="W109" i="340"/>
  <c r="X109" i="340"/>
  <c r="Z109" i="340"/>
  <c r="AA109" i="340"/>
  <c r="AB109" i="340"/>
  <c r="AD109" i="340"/>
  <c r="AE109" i="340"/>
  <c r="AF109" i="340"/>
  <c r="N113" i="340"/>
  <c r="O113" i="340"/>
  <c r="P113" i="340"/>
  <c r="R113" i="340"/>
  <c r="S113" i="340"/>
  <c r="T113" i="340"/>
  <c r="V113" i="340"/>
  <c r="W113" i="340"/>
  <c r="X113" i="340"/>
  <c r="Z113" i="340"/>
  <c r="AA113" i="340"/>
  <c r="AB113" i="340"/>
  <c r="AD113" i="340"/>
  <c r="AE113" i="340"/>
  <c r="AF113" i="340"/>
  <c r="N120" i="340"/>
  <c r="O120" i="340"/>
  <c r="P120" i="340"/>
  <c r="R120" i="340"/>
  <c r="S120" i="340"/>
  <c r="T120" i="340"/>
  <c r="V120" i="340"/>
  <c r="W120" i="340"/>
  <c r="X120" i="340"/>
  <c r="Z120" i="340"/>
  <c r="AA120" i="340"/>
  <c r="AB120" i="340"/>
  <c r="AD120" i="340"/>
  <c r="AE120" i="340"/>
  <c r="AF120" i="340"/>
  <c r="N125" i="340"/>
  <c r="O125" i="340"/>
  <c r="P125" i="340"/>
  <c r="R125" i="340"/>
  <c r="S125" i="340"/>
  <c r="T125" i="340"/>
  <c r="V125" i="340"/>
  <c r="W125" i="340"/>
  <c r="X125" i="340"/>
  <c r="Z125" i="340"/>
  <c r="AA125" i="340"/>
  <c r="AB125" i="340"/>
  <c r="AD125" i="340"/>
  <c r="AE125" i="340"/>
  <c r="AF125" i="340"/>
  <c r="N126" i="340"/>
  <c r="O126" i="340"/>
  <c r="P126" i="340"/>
  <c r="R126" i="340"/>
  <c r="S126" i="340"/>
  <c r="T126" i="340"/>
  <c r="V126" i="340"/>
  <c r="W126" i="340"/>
  <c r="X126" i="340"/>
  <c r="Z126" i="340"/>
  <c r="AA126" i="340"/>
  <c r="AB126" i="340"/>
  <c r="AD126" i="340"/>
  <c r="AE126" i="340"/>
  <c r="AF126" i="340"/>
  <c r="N130" i="340"/>
  <c r="O130" i="340"/>
  <c r="P130" i="340"/>
  <c r="R130" i="340"/>
  <c r="S130" i="340"/>
  <c r="T130" i="340"/>
  <c r="V130" i="340"/>
  <c r="W130" i="340"/>
  <c r="X130" i="340"/>
  <c r="Z130" i="340"/>
  <c r="AA130" i="340"/>
  <c r="AB130" i="340"/>
  <c r="AD130" i="340"/>
  <c r="AE130" i="340"/>
  <c r="AF130" i="340"/>
  <c r="N132" i="340"/>
  <c r="O132" i="340"/>
  <c r="P132" i="340"/>
  <c r="R132" i="340"/>
  <c r="S132" i="340"/>
  <c r="T132" i="340"/>
  <c r="V132" i="340"/>
  <c r="W132" i="340"/>
  <c r="X132" i="340"/>
  <c r="Z132" i="340"/>
  <c r="AA132" i="340"/>
  <c r="AB132" i="340"/>
  <c r="AD132" i="340"/>
  <c r="AE132" i="340"/>
  <c r="AF132" i="340"/>
  <c r="N133" i="340"/>
  <c r="O133" i="340"/>
  <c r="P133" i="340"/>
  <c r="R133" i="340"/>
  <c r="S133" i="340"/>
  <c r="T133" i="340"/>
  <c r="V133" i="340"/>
  <c r="W133" i="340"/>
  <c r="X133" i="340"/>
  <c r="Z133" i="340"/>
  <c r="AA133" i="340"/>
  <c r="AB133" i="340"/>
  <c r="AD133" i="340"/>
  <c r="AE133" i="340"/>
  <c r="AF133" i="340"/>
  <c r="N139" i="340"/>
  <c r="O139" i="340"/>
  <c r="P139" i="340"/>
  <c r="R139" i="340"/>
  <c r="S139" i="340"/>
  <c r="T139" i="340"/>
  <c r="V139" i="340"/>
  <c r="W139" i="340"/>
  <c r="X139" i="340"/>
  <c r="Z139" i="340"/>
  <c r="AA139" i="340"/>
  <c r="AB139" i="340"/>
  <c r="AD139" i="340"/>
  <c r="AE139" i="340"/>
  <c r="AF139" i="340"/>
  <c r="N144" i="340"/>
  <c r="O144" i="340"/>
  <c r="P144" i="340"/>
  <c r="R144" i="340"/>
  <c r="S144" i="340"/>
  <c r="T144" i="340"/>
  <c r="V144" i="340"/>
  <c r="W144" i="340"/>
  <c r="X144" i="340"/>
  <c r="Z144" i="340"/>
  <c r="AA144" i="340"/>
  <c r="AB144" i="340"/>
  <c r="AD144" i="340"/>
  <c r="AE144" i="340"/>
  <c r="AF144" i="340"/>
  <c r="N150" i="340"/>
  <c r="O150" i="340"/>
  <c r="P150" i="340"/>
  <c r="R150" i="340"/>
  <c r="S150" i="340"/>
  <c r="T150" i="340"/>
  <c r="V150" i="340"/>
  <c r="W150" i="340"/>
  <c r="X150" i="340"/>
  <c r="Z150" i="340"/>
  <c r="AA150" i="340"/>
  <c r="AB150" i="340"/>
  <c r="AD150" i="340"/>
  <c r="AE150" i="340"/>
  <c r="AF150" i="340"/>
  <c r="N155" i="340"/>
  <c r="O155" i="340"/>
  <c r="P155" i="340"/>
  <c r="R155" i="340"/>
  <c r="S155" i="340"/>
  <c r="T155" i="340"/>
  <c r="V155" i="340"/>
  <c r="W155" i="340"/>
  <c r="X155" i="340"/>
  <c r="Z155" i="340"/>
  <c r="AA155" i="340"/>
  <c r="AB155" i="340"/>
  <c r="AD155" i="340"/>
  <c r="AE155" i="340"/>
  <c r="AF155" i="340"/>
  <c r="N161" i="340"/>
  <c r="O161" i="340"/>
  <c r="P161" i="340"/>
  <c r="R161" i="340"/>
  <c r="S161" i="340"/>
  <c r="T161" i="340"/>
  <c r="V161" i="340"/>
  <c r="W161" i="340"/>
  <c r="X161" i="340"/>
  <c r="Z161" i="340"/>
  <c r="AA161" i="340"/>
  <c r="AB161" i="340"/>
  <c r="AD161" i="340"/>
  <c r="AE161" i="340"/>
  <c r="AF161" i="340"/>
  <c r="N162" i="340"/>
  <c r="O162" i="340"/>
  <c r="P162" i="340"/>
  <c r="R162" i="340"/>
  <c r="S162" i="340"/>
  <c r="T162" i="340"/>
  <c r="V162" i="340"/>
  <c r="W162" i="340"/>
  <c r="X162" i="340"/>
  <c r="Z162" i="340"/>
  <c r="AA162" i="340"/>
  <c r="AB162" i="340"/>
  <c r="AD162" i="340"/>
  <c r="AE162" i="340"/>
  <c r="AF162" i="340"/>
  <c r="N165" i="340"/>
  <c r="O165" i="340"/>
  <c r="P165" i="340"/>
  <c r="R165" i="340"/>
  <c r="S165" i="340"/>
  <c r="T165" i="340"/>
  <c r="V165" i="340"/>
  <c r="W165" i="340"/>
  <c r="X165" i="340"/>
  <c r="Z165" i="340"/>
  <c r="AA165" i="340"/>
  <c r="AB165" i="340"/>
  <c r="AD165" i="340"/>
  <c r="AE165" i="340"/>
  <c r="AF165" i="340"/>
  <c r="N167" i="340"/>
  <c r="O167" i="340"/>
  <c r="P167" i="340"/>
  <c r="R167" i="340"/>
  <c r="S167" i="340"/>
  <c r="T167" i="340"/>
  <c r="V167" i="340"/>
  <c r="W167" i="340"/>
  <c r="X167" i="340"/>
  <c r="Z167" i="340"/>
  <c r="AA167" i="340"/>
  <c r="AB167" i="340"/>
  <c r="AD167" i="340"/>
  <c r="AE167" i="340"/>
  <c r="AF167" i="340"/>
  <c r="N168" i="340"/>
  <c r="O168" i="340"/>
  <c r="P168" i="340"/>
  <c r="R168" i="340"/>
  <c r="S168" i="340"/>
  <c r="T168" i="340"/>
  <c r="V168" i="340"/>
  <c r="W168" i="340"/>
  <c r="X168" i="340"/>
  <c r="Z168" i="340"/>
  <c r="AA168" i="340"/>
  <c r="AB168" i="340"/>
  <c r="AD168" i="340"/>
  <c r="AE168" i="340"/>
  <c r="AF168" i="340"/>
  <c r="N173" i="340"/>
  <c r="O173" i="340"/>
  <c r="P173" i="340"/>
  <c r="R173" i="340"/>
  <c r="S173" i="340"/>
  <c r="T173" i="340"/>
  <c r="V173" i="340"/>
  <c r="W173" i="340"/>
  <c r="X173" i="340"/>
  <c r="Z173" i="340"/>
  <c r="AA173" i="340"/>
  <c r="AB173" i="340"/>
  <c r="AD173" i="340"/>
  <c r="AE173" i="340"/>
  <c r="AF173" i="340"/>
  <c r="N177" i="340"/>
  <c r="O177" i="340"/>
  <c r="P177" i="340"/>
  <c r="R177" i="340"/>
  <c r="S177" i="340"/>
  <c r="T177" i="340"/>
  <c r="V177" i="340"/>
  <c r="W177" i="340"/>
  <c r="X177" i="340"/>
  <c r="Z177" i="340"/>
  <c r="AA177" i="340"/>
  <c r="AB177" i="340"/>
  <c r="AD177" i="340"/>
  <c r="AE177" i="340"/>
  <c r="AF177" i="340"/>
  <c r="N183" i="340"/>
  <c r="O183" i="340"/>
  <c r="P183" i="340"/>
  <c r="R183" i="340"/>
  <c r="S183" i="340"/>
  <c r="T183" i="340"/>
  <c r="V183" i="340"/>
  <c r="W183" i="340"/>
  <c r="X183" i="340"/>
  <c r="Z183" i="340"/>
  <c r="AA183" i="340"/>
  <c r="AB183" i="340"/>
  <c r="AD183" i="340"/>
  <c r="AE183" i="340"/>
  <c r="AF183" i="340"/>
  <c r="N186" i="340"/>
  <c r="O186" i="340"/>
  <c r="P186" i="340"/>
  <c r="R186" i="340"/>
  <c r="S186" i="340"/>
  <c r="T186" i="340"/>
  <c r="V186" i="340"/>
  <c r="W186" i="340"/>
  <c r="X186" i="340"/>
  <c r="Z186" i="340"/>
  <c r="AA186" i="340"/>
  <c r="AB186" i="340"/>
  <c r="AD186" i="340"/>
  <c r="AE186" i="340"/>
  <c r="AF186" i="340"/>
  <c r="N188" i="340"/>
  <c r="O188" i="340"/>
  <c r="P188" i="340"/>
  <c r="R188" i="340"/>
  <c r="S188" i="340"/>
  <c r="T188" i="340"/>
  <c r="V188" i="340"/>
  <c r="W188" i="340"/>
  <c r="X188" i="340"/>
  <c r="Z188" i="340"/>
  <c r="AA188" i="340"/>
  <c r="AB188" i="340"/>
  <c r="AD188" i="340"/>
  <c r="AE188" i="340"/>
  <c r="AF188" i="340"/>
  <c r="N189" i="340"/>
  <c r="O189" i="340"/>
  <c r="P189" i="340"/>
  <c r="R189" i="340"/>
  <c r="S189" i="340"/>
  <c r="T189" i="340"/>
  <c r="V189" i="340"/>
  <c r="W189" i="340"/>
  <c r="X189" i="340"/>
  <c r="Z189" i="340"/>
  <c r="AA189" i="340"/>
  <c r="AB189" i="340"/>
  <c r="AD189" i="340"/>
  <c r="AE189" i="340"/>
  <c r="AF189" i="340"/>
  <c r="N195" i="340"/>
  <c r="O195" i="340"/>
  <c r="P195" i="340"/>
  <c r="R195" i="340"/>
  <c r="S195" i="340"/>
  <c r="T195" i="340"/>
  <c r="V195" i="340"/>
  <c r="W195" i="340"/>
  <c r="X195" i="340"/>
  <c r="Z195" i="340"/>
  <c r="AA195" i="340"/>
  <c r="AB195" i="340"/>
  <c r="AD195" i="340"/>
  <c r="AE195" i="340"/>
  <c r="AF195" i="340"/>
  <c r="N202" i="340"/>
  <c r="O202" i="340"/>
  <c r="P202" i="340"/>
  <c r="R202" i="340"/>
  <c r="S202" i="340"/>
  <c r="T202" i="340"/>
  <c r="V202" i="340"/>
  <c r="W202" i="340"/>
  <c r="X202" i="340"/>
  <c r="Z202" i="340"/>
  <c r="AA202" i="340"/>
  <c r="AB202" i="340"/>
  <c r="AD202" i="340"/>
  <c r="AE202" i="340"/>
  <c r="AF202" i="340"/>
  <c r="N208" i="340"/>
  <c r="O208" i="340"/>
  <c r="P208" i="340"/>
  <c r="R208" i="340"/>
  <c r="S208" i="340"/>
  <c r="T208" i="340"/>
  <c r="V208" i="340"/>
  <c r="W208" i="340"/>
  <c r="X208" i="340"/>
  <c r="Z208" i="340"/>
  <c r="AA208" i="340"/>
  <c r="AB208" i="340"/>
  <c r="AD208" i="340"/>
  <c r="AE208" i="340"/>
  <c r="AF208" i="340"/>
  <c r="N214" i="340"/>
  <c r="O214" i="340"/>
  <c r="P214" i="340"/>
  <c r="R214" i="340"/>
  <c r="S214" i="340"/>
  <c r="T214" i="340"/>
  <c r="V214" i="340"/>
  <c r="W214" i="340"/>
  <c r="X214" i="340"/>
  <c r="Z214" i="340"/>
  <c r="AA214" i="340"/>
  <c r="AB214" i="340"/>
  <c r="AD214" i="340"/>
  <c r="AE214" i="340"/>
  <c r="AF214" i="340"/>
  <c r="N220" i="340"/>
  <c r="O220" i="340"/>
  <c r="P220" i="340"/>
  <c r="R220" i="340"/>
  <c r="S220" i="340"/>
  <c r="T220" i="340"/>
  <c r="V220" i="340"/>
  <c r="W220" i="340"/>
  <c r="X220" i="340"/>
  <c r="Z220" i="340"/>
  <c r="AA220" i="340"/>
  <c r="AB220" i="340"/>
  <c r="AD220" i="340"/>
  <c r="AE220" i="340"/>
  <c r="AF220" i="340"/>
  <c r="N226" i="340"/>
  <c r="O226" i="340"/>
  <c r="P226" i="340"/>
  <c r="R226" i="340"/>
  <c r="S226" i="340"/>
  <c r="T226" i="340"/>
  <c r="V226" i="340"/>
  <c r="W226" i="340"/>
  <c r="X226" i="340"/>
  <c r="Z226" i="340"/>
  <c r="AA226" i="340"/>
  <c r="AB226" i="340"/>
  <c r="AD226" i="340"/>
  <c r="AE226" i="340"/>
  <c r="AF226" i="340"/>
  <c r="N229" i="340"/>
  <c r="O229" i="340"/>
  <c r="P229" i="340"/>
  <c r="R229" i="340"/>
  <c r="S229" i="340"/>
  <c r="T229" i="340"/>
  <c r="V229" i="340"/>
  <c r="W229" i="340"/>
  <c r="X229" i="340"/>
  <c r="Z229" i="340"/>
  <c r="AA229" i="340"/>
  <c r="AB229" i="340"/>
  <c r="AD229" i="340"/>
  <c r="AE229" i="340"/>
  <c r="AF229" i="340"/>
  <c r="N232" i="340"/>
  <c r="O232" i="340"/>
  <c r="P232" i="340"/>
  <c r="R232" i="340"/>
  <c r="S232" i="340"/>
  <c r="T232" i="340"/>
  <c r="V232" i="340"/>
  <c r="W232" i="340"/>
  <c r="X232" i="340"/>
  <c r="Z232" i="340"/>
  <c r="AA232" i="340"/>
  <c r="AB232" i="340"/>
  <c r="AD232" i="340"/>
  <c r="AE232" i="340"/>
  <c r="AF232" i="340"/>
  <c r="N233" i="340"/>
  <c r="O233" i="340"/>
  <c r="P233" i="340"/>
  <c r="R233" i="340"/>
  <c r="S233" i="340"/>
  <c r="T233" i="340"/>
  <c r="V233" i="340"/>
  <c r="W233" i="340"/>
  <c r="X233" i="340"/>
  <c r="Z233" i="340"/>
  <c r="AA233" i="340"/>
  <c r="AB233" i="340"/>
  <c r="AD233" i="340"/>
  <c r="AE233" i="340"/>
  <c r="AF233" i="340"/>
  <c r="N238" i="340"/>
  <c r="O238" i="340"/>
  <c r="P238" i="340"/>
  <c r="R238" i="340"/>
  <c r="S238" i="340"/>
  <c r="T238" i="340"/>
  <c r="V238" i="340"/>
  <c r="W238" i="340"/>
  <c r="X238" i="340"/>
  <c r="Z238" i="340"/>
  <c r="AA238" i="340"/>
  <c r="AB238" i="340"/>
  <c r="AD238" i="340"/>
  <c r="AE238" i="340"/>
  <c r="AF238" i="340"/>
  <c r="N245" i="340"/>
  <c r="O245" i="340"/>
  <c r="P245" i="340"/>
  <c r="R245" i="340"/>
  <c r="S245" i="340"/>
  <c r="T245" i="340"/>
  <c r="V245" i="340"/>
  <c r="W245" i="340"/>
  <c r="X245" i="340"/>
  <c r="Z245" i="340"/>
  <c r="AA245" i="340"/>
  <c r="AB245" i="340"/>
  <c r="AD245" i="340"/>
  <c r="AE245" i="340"/>
  <c r="AF245" i="340"/>
  <c r="N248" i="340"/>
  <c r="O248" i="340"/>
  <c r="P248" i="340"/>
  <c r="R248" i="340"/>
  <c r="S248" i="340"/>
  <c r="T248" i="340"/>
  <c r="V248" i="340"/>
  <c r="W248" i="340"/>
  <c r="X248" i="340"/>
  <c r="Z248" i="340"/>
  <c r="AA248" i="340"/>
  <c r="AB248" i="340"/>
  <c r="AD248" i="340"/>
  <c r="AE248" i="340"/>
  <c r="AF248" i="340"/>
  <c r="N251" i="340"/>
  <c r="O251" i="340"/>
  <c r="P251" i="340"/>
  <c r="R251" i="340"/>
  <c r="S251" i="340"/>
  <c r="T251" i="340"/>
  <c r="V251" i="340"/>
  <c r="W251" i="340"/>
  <c r="X251" i="340"/>
  <c r="Z251" i="340"/>
  <c r="AA251" i="340"/>
  <c r="AB251" i="340"/>
  <c r="AD251" i="340"/>
  <c r="AE251" i="340"/>
  <c r="AF251" i="340"/>
  <c r="N255" i="340"/>
  <c r="O255" i="340"/>
  <c r="P255" i="340"/>
  <c r="R255" i="340"/>
  <c r="S255" i="340"/>
  <c r="T255" i="340"/>
  <c r="V255" i="340"/>
  <c r="W255" i="340"/>
  <c r="X255" i="340"/>
  <c r="Z255" i="340"/>
  <c r="AA255" i="340"/>
  <c r="AB255" i="340"/>
  <c r="AD255" i="340"/>
  <c r="AE255" i="340"/>
  <c r="AF255" i="340"/>
  <c r="N262" i="340"/>
  <c r="O262" i="340"/>
  <c r="P262" i="340"/>
  <c r="R262" i="340"/>
  <c r="S262" i="340"/>
  <c r="T262" i="340"/>
  <c r="V262" i="340"/>
  <c r="W262" i="340"/>
  <c r="X262" i="340"/>
  <c r="Z262" i="340"/>
  <c r="AA262" i="340"/>
  <c r="AB262" i="340"/>
  <c r="AD262" i="340"/>
  <c r="AE262" i="340"/>
  <c r="AF262" i="340"/>
  <c r="N267" i="340"/>
  <c r="O267" i="340"/>
  <c r="P267" i="340"/>
  <c r="R267" i="340"/>
  <c r="S267" i="340"/>
  <c r="T267" i="340"/>
  <c r="V267" i="340"/>
  <c r="W267" i="340"/>
  <c r="X267" i="340"/>
  <c r="Z267" i="340"/>
  <c r="AA267" i="340"/>
  <c r="AB267" i="340"/>
  <c r="AD267" i="340"/>
  <c r="AE267" i="340"/>
  <c r="AF267" i="340"/>
  <c r="N268" i="340"/>
  <c r="O268" i="340"/>
  <c r="P268" i="340"/>
  <c r="R268" i="340"/>
  <c r="S268" i="340"/>
  <c r="T268" i="340"/>
  <c r="V268" i="340"/>
  <c r="W268" i="340"/>
  <c r="X268" i="340"/>
  <c r="Z268" i="340"/>
  <c r="AA268" i="340"/>
  <c r="AB268" i="340"/>
  <c r="AD268" i="340"/>
  <c r="AE268" i="340"/>
  <c r="AF268" i="340"/>
  <c r="N271" i="340"/>
  <c r="O271" i="340"/>
  <c r="P271" i="340"/>
  <c r="R271" i="340"/>
  <c r="S271" i="340"/>
  <c r="T271" i="340"/>
  <c r="V271" i="340"/>
  <c r="W271" i="340"/>
  <c r="X271" i="340"/>
  <c r="Z271" i="340"/>
  <c r="AA271" i="340"/>
  <c r="AB271" i="340"/>
  <c r="AD271" i="340"/>
  <c r="AE271" i="340"/>
  <c r="AF271" i="340"/>
  <c r="N273" i="340"/>
  <c r="O273" i="340"/>
  <c r="P273" i="340"/>
  <c r="R273" i="340"/>
  <c r="S273" i="340"/>
  <c r="T273" i="340"/>
  <c r="V273" i="340"/>
  <c r="W273" i="340"/>
  <c r="X273" i="340"/>
  <c r="Z273" i="340"/>
  <c r="AA273" i="340"/>
  <c r="AB273" i="340"/>
  <c r="AD273" i="340"/>
  <c r="AE273" i="340"/>
  <c r="AF273" i="340"/>
  <c r="N274" i="340"/>
  <c r="O274" i="340"/>
  <c r="P274" i="340"/>
  <c r="R274" i="340"/>
  <c r="S274" i="340"/>
  <c r="T274" i="340"/>
  <c r="V274" i="340"/>
  <c r="W274" i="340"/>
  <c r="X274" i="340"/>
  <c r="Z274" i="340"/>
  <c r="AA274" i="340"/>
  <c r="AB274" i="340"/>
  <c r="AD274" i="340"/>
  <c r="AE274" i="340"/>
  <c r="AF274" i="340"/>
  <c r="N288" i="340"/>
  <c r="O288" i="340"/>
  <c r="P288" i="340"/>
  <c r="R288" i="340"/>
  <c r="S288" i="340"/>
  <c r="T288" i="340"/>
  <c r="V288" i="340"/>
  <c r="W288" i="340"/>
  <c r="X288" i="340"/>
  <c r="Z288" i="340"/>
  <c r="AA288" i="340"/>
  <c r="AB288" i="340"/>
  <c r="AD288" i="340"/>
  <c r="AE288" i="340"/>
  <c r="AF288" i="340"/>
  <c r="N296" i="340"/>
  <c r="O296" i="340"/>
  <c r="P296" i="340"/>
  <c r="R296" i="340"/>
  <c r="S296" i="340"/>
  <c r="T296" i="340"/>
  <c r="V296" i="340"/>
  <c r="W296" i="340"/>
  <c r="X296" i="340"/>
  <c r="Z296" i="340"/>
  <c r="AA296" i="340"/>
  <c r="AB296" i="340"/>
  <c r="AD296" i="340"/>
  <c r="AE296" i="340"/>
  <c r="AF296" i="340"/>
  <c r="N297" i="340"/>
  <c r="O297" i="340"/>
  <c r="P297" i="340"/>
  <c r="R297" i="340"/>
  <c r="S297" i="340"/>
  <c r="T297" i="340"/>
  <c r="V297" i="340"/>
  <c r="W297" i="340"/>
  <c r="X297" i="340"/>
  <c r="Z297" i="340"/>
  <c r="AA297" i="340"/>
  <c r="AB297" i="340"/>
  <c r="AD297" i="340"/>
  <c r="AE297" i="340"/>
  <c r="AF297" i="340"/>
  <c r="N307" i="340"/>
  <c r="O307" i="340"/>
  <c r="P307" i="340"/>
  <c r="R307" i="340"/>
  <c r="S307" i="340"/>
  <c r="T307" i="340"/>
  <c r="V307" i="340"/>
  <c r="W307" i="340"/>
  <c r="X307" i="340"/>
  <c r="Z307" i="340"/>
  <c r="AA307" i="340"/>
  <c r="AB307" i="340"/>
  <c r="AD307" i="340"/>
  <c r="AE307" i="340"/>
  <c r="AF307" i="340"/>
  <c r="N316" i="340"/>
  <c r="O316" i="340"/>
  <c r="P316" i="340"/>
  <c r="R316" i="340"/>
  <c r="S316" i="340"/>
  <c r="T316" i="340"/>
  <c r="V316" i="340"/>
  <c r="W316" i="340"/>
  <c r="X316" i="340"/>
  <c r="Z316" i="340"/>
  <c r="AA316" i="340"/>
  <c r="AB316" i="340"/>
  <c r="AD316" i="340"/>
  <c r="AE316" i="340"/>
  <c r="AF316" i="340"/>
  <c r="N317" i="340"/>
  <c r="O317" i="340"/>
  <c r="P317" i="340"/>
  <c r="R317" i="340"/>
  <c r="S317" i="340"/>
  <c r="T317" i="340"/>
  <c r="V317" i="340"/>
  <c r="W317" i="340"/>
  <c r="X317" i="340"/>
  <c r="Z317" i="340"/>
  <c r="AA317" i="340"/>
  <c r="AB317" i="340"/>
  <c r="AD317" i="340"/>
  <c r="AE317" i="340"/>
  <c r="AF317" i="340"/>
  <c r="N324" i="340"/>
  <c r="O324" i="340"/>
  <c r="P324" i="340"/>
  <c r="R324" i="340"/>
  <c r="S324" i="340"/>
  <c r="T324" i="340"/>
  <c r="V324" i="340"/>
  <c r="W324" i="340"/>
  <c r="X324" i="340"/>
  <c r="Z324" i="340"/>
  <c r="AA324" i="340"/>
  <c r="AB324" i="340"/>
  <c r="AD324" i="340"/>
  <c r="AE324" i="340"/>
  <c r="AF324" i="340"/>
  <c r="N327" i="340"/>
  <c r="O327" i="340"/>
  <c r="P327" i="340"/>
  <c r="R327" i="340"/>
  <c r="S327" i="340"/>
  <c r="T327" i="340"/>
  <c r="V327" i="340"/>
  <c r="W327" i="340"/>
  <c r="X327" i="340"/>
  <c r="Z327" i="340"/>
  <c r="AA327" i="340"/>
  <c r="AB327" i="340"/>
  <c r="AD327" i="340"/>
  <c r="AE327" i="340"/>
  <c r="AF327" i="340"/>
  <c r="N328" i="340"/>
  <c r="O328" i="340"/>
  <c r="P328" i="340"/>
  <c r="R328" i="340"/>
  <c r="S328" i="340"/>
  <c r="T328" i="340"/>
  <c r="V328" i="340"/>
  <c r="W328" i="340"/>
  <c r="X328" i="340"/>
  <c r="Z328" i="340"/>
  <c r="AA328" i="340"/>
  <c r="AB328" i="340"/>
  <c r="AD328" i="340"/>
  <c r="AE328" i="340"/>
  <c r="AF328" i="340"/>
  <c r="N332" i="340"/>
  <c r="O332" i="340"/>
  <c r="P332" i="340"/>
  <c r="R332" i="340"/>
  <c r="S332" i="340"/>
  <c r="T332" i="340"/>
  <c r="V332" i="340"/>
  <c r="W332" i="340"/>
  <c r="X332" i="340"/>
  <c r="Z332" i="340"/>
  <c r="AA332" i="340"/>
  <c r="AB332" i="340"/>
  <c r="AD332" i="340"/>
  <c r="AE332" i="340"/>
  <c r="AF332" i="340"/>
  <c r="N333" i="340"/>
  <c r="O333" i="340"/>
  <c r="P333" i="340"/>
  <c r="R333" i="340"/>
  <c r="S333" i="340"/>
  <c r="T333" i="340"/>
  <c r="V333" i="340"/>
  <c r="W333" i="340"/>
  <c r="X333" i="340"/>
  <c r="Z333" i="340"/>
  <c r="AA333" i="340"/>
  <c r="AB333" i="340"/>
  <c r="AD333" i="340"/>
  <c r="AE333" i="340"/>
  <c r="AF333" i="340"/>
  <c r="N336" i="340"/>
  <c r="O336" i="340"/>
  <c r="P336" i="340"/>
  <c r="R336" i="340"/>
  <c r="S336" i="340"/>
  <c r="T336" i="340"/>
  <c r="V336" i="340"/>
  <c r="W336" i="340"/>
  <c r="X336" i="340"/>
  <c r="Z336" i="340"/>
  <c r="AA336" i="340"/>
  <c r="AB336" i="340"/>
  <c r="AD336" i="340"/>
  <c r="AE336" i="340"/>
  <c r="AF336" i="340"/>
  <c r="N339" i="340"/>
  <c r="O339" i="340"/>
  <c r="P339" i="340"/>
  <c r="R339" i="340"/>
  <c r="S339" i="340"/>
  <c r="T339" i="340"/>
  <c r="V339" i="340"/>
  <c r="W339" i="340"/>
  <c r="X339" i="340"/>
  <c r="Z339" i="340"/>
  <c r="AA339" i="340"/>
  <c r="AB339" i="340"/>
  <c r="AD339" i="340"/>
  <c r="AE339" i="340"/>
  <c r="AF339" i="340"/>
  <c r="N340" i="340"/>
  <c r="O340" i="340"/>
  <c r="P340" i="340"/>
  <c r="R340" i="340"/>
  <c r="S340" i="340"/>
  <c r="T340" i="340"/>
  <c r="V340" i="340"/>
  <c r="W340" i="340"/>
  <c r="X340" i="340"/>
  <c r="Z340" i="340"/>
  <c r="AA340" i="340"/>
  <c r="AB340" i="340"/>
  <c r="AD340" i="340"/>
  <c r="AE340" i="340"/>
  <c r="AF340" i="340"/>
  <c r="N343" i="340"/>
  <c r="O343" i="340"/>
  <c r="P343" i="340"/>
  <c r="R343" i="340"/>
  <c r="S343" i="340"/>
  <c r="T343" i="340"/>
  <c r="V343" i="340"/>
  <c r="W343" i="340"/>
  <c r="X343" i="340"/>
  <c r="Z343" i="340"/>
  <c r="AA343" i="340"/>
  <c r="AB343" i="340"/>
  <c r="AD343" i="340"/>
  <c r="AE343" i="340"/>
  <c r="AF343" i="340"/>
  <c r="N347" i="340"/>
  <c r="O347" i="340"/>
  <c r="P347" i="340"/>
  <c r="R347" i="340"/>
  <c r="S347" i="340"/>
  <c r="T347" i="340"/>
  <c r="V347" i="340"/>
  <c r="W347" i="340"/>
  <c r="X347" i="340"/>
  <c r="Z347" i="340"/>
  <c r="AA347" i="340"/>
  <c r="AB347" i="340"/>
  <c r="AD347" i="340"/>
  <c r="AE347" i="340"/>
  <c r="AF347" i="340"/>
  <c r="N348" i="340"/>
  <c r="O348" i="340"/>
  <c r="P348" i="340"/>
  <c r="R348" i="340"/>
  <c r="S348" i="340"/>
  <c r="T348" i="340"/>
  <c r="V348" i="340"/>
  <c r="W348" i="340"/>
  <c r="X348" i="340"/>
  <c r="Z348" i="340"/>
  <c r="AA348" i="340"/>
  <c r="AB348" i="340"/>
  <c r="AD348" i="340"/>
  <c r="AE348" i="340"/>
  <c r="AF348" i="340"/>
  <c r="N355" i="340"/>
  <c r="O355" i="340"/>
  <c r="P355" i="340"/>
  <c r="R355" i="340"/>
  <c r="S355" i="340"/>
  <c r="T355" i="340"/>
  <c r="V355" i="340"/>
  <c r="W355" i="340"/>
  <c r="X355" i="340"/>
  <c r="Z355" i="340"/>
  <c r="AA355" i="340"/>
  <c r="AB355" i="340"/>
  <c r="AD355" i="340"/>
  <c r="AE355" i="340"/>
  <c r="AF355" i="340"/>
  <c r="N357" i="340"/>
  <c r="O357" i="340"/>
  <c r="P357" i="340"/>
  <c r="R357" i="340"/>
  <c r="S357" i="340"/>
  <c r="T357" i="340"/>
  <c r="V357" i="340"/>
  <c r="W357" i="340"/>
  <c r="X357" i="340"/>
  <c r="Z357" i="340"/>
  <c r="AA357" i="340"/>
  <c r="AB357" i="340"/>
  <c r="AD357" i="340"/>
  <c r="AE357" i="340"/>
  <c r="AF357" i="340"/>
  <c r="N359" i="340"/>
  <c r="O359" i="340"/>
  <c r="P359" i="340"/>
  <c r="R359" i="340"/>
  <c r="S359" i="340"/>
  <c r="T359" i="340"/>
  <c r="V359" i="340"/>
  <c r="W359" i="340"/>
  <c r="X359" i="340"/>
  <c r="Z359" i="340"/>
  <c r="AA359" i="340"/>
  <c r="AB359" i="340"/>
  <c r="AD359" i="340"/>
  <c r="AE359" i="340"/>
  <c r="AF359" i="340"/>
  <c r="N360" i="340"/>
  <c r="O360" i="340"/>
  <c r="P360" i="340"/>
  <c r="R360" i="340"/>
  <c r="S360" i="340"/>
  <c r="T360" i="340"/>
  <c r="V360" i="340"/>
  <c r="W360" i="340"/>
  <c r="X360" i="340"/>
  <c r="Z360" i="340"/>
  <c r="AA360" i="340"/>
  <c r="AB360" i="340"/>
  <c r="AD360" i="340"/>
  <c r="AE360" i="340"/>
  <c r="AF360" i="340"/>
  <c r="N362" i="340"/>
  <c r="O362" i="340"/>
  <c r="P362" i="340"/>
  <c r="R362" i="340"/>
  <c r="S362" i="340"/>
  <c r="T362" i="340"/>
  <c r="V362" i="340"/>
  <c r="W362" i="340"/>
  <c r="X362" i="340"/>
  <c r="Z362" i="340"/>
  <c r="AA362" i="340"/>
  <c r="AB362" i="340"/>
  <c r="AD362" i="340"/>
  <c r="AE362" i="340"/>
  <c r="AF362" i="340"/>
  <c r="N371" i="340"/>
  <c r="O371" i="340"/>
  <c r="P371" i="340"/>
  <c r="R371" i="340"/>
  <c r="S371" i="340"/>
  <c r="T371" i="340"/>
  <c r="V371" i="340"/>
  <c r="W371" i="340"/>
  <c r="X371" i="340"/>
  <c r="Z371" i="340"/>
  <c r="AA371" i="340"/>
  <c r="AB371" i="340"/>
  <c r="AD371" i="340"/>
  <c r="AE371" i="340"/>
  <c r="AF371" i="340"/>
  <c r="N372" i="340"/>
  <c r="O372" i="340"/>
  <c r="P372" i="340"/>
  <c r="R372" i="340"/>
  <c r="S372" i="340"/>
  <c r="T372" i="340"/>
  <c r="V372" i="340"/>
  <c r="W372" i="340"/>
  <c r="X372" i="340"/>
  <c r="Z372" i="340"/>
  <c r="AA372" i="340"/>
  <c r="AB372" i="340"/>
  <c r="AD372" i="340"/>
  <c r="AE372" i="340"/>
  <c r="AF372" i="340"/>
  <c r="N374" i="340"/>
  <c r="O374" i="340"/>
  <c r="P374" i="340"/>
  <c r="R374" i="340"/>
  <c r="S374" i="340"/>
  <c r="T374" i="340"/>
  <c r="V374" i="340"/>
  <c r="W374" i="340"/>
  <c r="X374" i="340"/>
  <c r="Z374" i="340"/>
  <c r="AA374" i="340"/>
  <c r="AB374" i="340"/>
  <c r="AD374" i="340"/>
  <c r="AE374" i="340"/>
  <c r="AF374" i="340"/>
  <c r="N375" i="340"/>
  <c r="O375" i="340"/>
  <c r="P375" i="340"/>
  <c r="R375" i="340"/>
  <c r="S375" i="340"/>
  <c r="T375" i="340"/>
  <c r="V375" i="340"/>
  <c r="W375" i="340"/>
  <c r="X375" i="340"/>
  <c r="Z375" i="340"/>
  <c r="AA375" i="340"/>
  <c r="AB375" i="340"/>
  <c r="AD375" i="340"/>
  <c r="AE375" i="340"/>
  <c r="AF375" i="340"/>
  <c r="N376" i="340"/>
  <c r="O376" i="340"/>
  <c r="P376" i="340"/>
  <c r="R376" i="340"/>
  <c r="S376" i="340"/>
  <c r="T376" i="340"/>
  <c r="V376" i="340"/>
  <c r="W376" i="340"/>
  <c r="X376" i="340"/>
  <c r="Z376" i="340"/>
  <c r="AA376" i="340"/>
  <c r="AB376" i="340"/>
  <c r="AD376" i="340"/>
  <c r="AE376" i="340"/>
  <c r="AF376" i="340"/>
  <c r="N378" i="340"/>
  <c r="O378" i="340"/>
  <c r="P378" i="340"/>
  <c r="R378" i="340"/>
  <c r="S378" i="340"/>
  <c r="T378" i="340"/>
  <c r="V378" i="340"/>
  <c r="W378" i="340"/>
  <c r="X378" i="340"/>
  <c r="Z378" i="340"/>
  <c r="AA378" i="340"/>
  <c r="AB378" i="340"/>
  <c r="AD378" i="340"/>
  <c r="AE378" i="340"/>
  <c r="AF378" i="340"/>
  <c r="N379" i="340"/>
  <c r="O379" i="340"/>
  <c r="P379" i="340"/>
  <c r="R379" i="340"/>
  <c r="S379" i="340"/>
  <c r="T379" i="340"/>
  <c r="V379" i="340"/>
  <c r="W379" i="340"/>
  <c r="X379" i="340"/>
  <c r="Z379" i="340"/>
  <c r="AA379" i="340"/>
  <c r="AB379" i="340"/>
  <c r="AD379" i="340"/>
  <c r="AE379" i="340"/>
  <c r="AF379" i="340"/>
  <c r="N384" i="340"/>
  <c r="O384" i="340"/>
  <c r="P384" i="340"/>
  <c r="R384" i="340"/>
  <c r="S384" i="340"/>
  <c r="T384" i="340"/>
  <c r="V384" i="340"/>
  <c r="W384" i="340"/>
  <c r="X384" i="340"/>
  <c r="Z384" i="340"/>
  <c r="AA384" i="340"/>
  <c r="AB384" i="340"/>
  <c r="AD384" i="340"/>
  <c r="AE384" i="340"/>
  <c r="AF384" i="340"/>
  <c r="N387" i="340"/>
  <c r="O387" i="340"/>
  <c r="P387" i="340"/>
  <c r="R387" i="340"/>
  <c r="S387" i="340"/>
  <c r="T387" i="340"/>
  <c r="V387" i="340"/>
  <c r="W387" i="340"/>
  <c r="X387" i="340"/>
  <c r="Z387" i="340"/>
  <c r="AA387" i="340"/>
  <c r="AB387" i="340"/>
  <c r="AD387" i="340"/>
  <c r="AE387" i="340"/>
  <c r="AF387" i="340"/>
  <c r="N393" i="340"/>
  <c r="O393" i="340"/>
  <c r="P393" i="340"/>
  <c r="R393" i="340"/>
  <c r="S393" i="340"/>
  <c r="T393" i="340"/>
  <c r="V393" i="340"/>
  <c r="W393" i="340"/>
  <c r="X393" i="340"/>
  <c r="Z393" i="340"/>
  <c r="AA393" i="340"/>
  <c r="AB393" i="340"/>
  <c r="AD393" i="340"/>
  <c r="AE393" i="340"/>
  <c r="AF393" i="340"/>
  <c r="N395" i="340"/>
  <c r="O395" i="340"/>
  <c r="P395" i="340"/>
  <c r="R395" i="340"/>
  <c r="S395" i="340"/>
  <c r="T395" i="340"/>
  <c r="V395" i="340"/>
  <c r="W395" i="340"/>
  <c r="X395" i="340"/>
  <c r="Z395" i="340"/>
  <c r="AA395" i="340"/>
  <c r="AB395" i="340"/>
  <c r="AD395" i="340"/>
  <c r="AE395" i="340"/>
  <c r="AF395" i="340"/>
  <c r="N396" i="340"/>
  <c r="O396" i="340"/>
  <c r="P396" i="340"/>
  <c r="R396" i="340"/>
  <c r="S396" i="340"/>
  <c r="T396" i="340"/>
  <c r="V396" i="340"/>
  <c r="W396" i="340"/>
  <c r="X396" i="340"/>
  <c r="Z396" i="340"/>
  <c r="AA396" i="340"/>
  <c r="AB396" i="340"/>
  <c r="AD396" i="340"/>
  <c r="AE396" i="340"/>
  <c r="AF396" i="340"/>
  <c r="N397" i="340"/>
  <c r="O397" i="340"/>
  <c r="P397" i="340"/>
  <c r="R397" i="340"/>
  <c r="S397" i="340"/>
  <c r="T397" i="340"/>
  <c r="V397" i="340"/>
  <c r="W397" i="340"/>
  <c r="X397" i="340"/>
  <c r="Z397" i="340"/>
  <c r="AA397" i="340"/>
  <c r="AB397" i="340"/>
  <c r="AD397" i="340"/>
  <c r="AE397" i="340"/>
  <c r="AF397" i="340"/>
  <c r="N398" i="340"/>
  <c r="O398" i="340"/>
  <c r="P398" i="340"/>
  <c r="R398" i="340"/>
  <c r="S398" i="340"/>
  <c r="T398" i="340"/>
  <c r="V398" i="340"/>
  <c r="W398" i="340"/>
  <c r="X398" i="340"/>
  <c r="Z398" i="340"/>
  <c r="AA398" i="340"/>
  <c r="AB398" i="340"/>
  <c r="AD398" i="340"/>
  <c r="AE398" i="340"/>
  <c r="AF398" i="340"/>
  <c r="N399" i="340"/>
  <c r="O399" i="340"/>
  <c r="P399" i="340"/>
  <c r="R399" i="340"/>
  <c r="S399" i="340"/>
  <c r="T399" i="340"/>
  <c r="V399" i="340"/>
  <c r="W399" i="340"/>
  <c r="X399" i="340"/>
  <c r="Z399" i="340"/>
  <c r="AA399" i="340"/>
  <c r="AB399" i="340"/>
  <c r="AD399" i="340"/>
  <c r="AE399" i="340"/>
  <c r="AF399" i="340"/>
  <c r="N400" i="340"/>
  <c r="O400" i="340"/>
  <c r="P400" i="340"/>
  <c r="R400" i="340"/>
  <c r="S400" i="340"/>
  <c r="T400" i="340"/>
  <c r="V400" i="340"/>
  <c r="W400" i="340"/>
  <c r="X400" i="340"/>
  <c r="Z400" i="340"/>
  <c r="AA400" i="340"/>
  <c r="AB400" i="340"/>
  <c r="AD400" i="340"/>
  <c r="AE400" i="340"/>
  <c r="AF400" i="340"/>
  <c r="N401" i="340"/>
  <c r="O401" i="340"/>
  <c r="P401" i="340"/>
  <c r="R401" i="340"/>
  <c r="S401" i="340"/>
  <c r="T401" i="340"/>
  <c r="V401" i="340"/>
  <c r="W401" i="340"/>
  <c r="X401" i="340"/>
  <c r="Z401" i="340"/>
  <c r="AA401" i="340"/>
  <c r="AB401" i="340"/>
  <c r="AD401" i="340"/>
  <c r="AE401" i="340"/>
  <c r="AF401" i="340"/>
  <c r="N403" i="340"/>
  <c r="O403" i="340"/>
  <c r="P403" i="340"/>
  <c r="R403" i="340"/>
  <c r="S403" i="340"/>
  <c r="T403" i="340"/>
  <c r="V403" i="340"/>
  <c r="W403" i="340"/>
  <c r="X403" i="340"/>
  <c r="Z403" i="340"/>
  <c r="AA403" i="340"/>
  <c r="AB403" i="340"/>
  <c r="AD403" i="340"/>
  <c r="AE403" i="340"/>
  <c r="AF403" i="340"/>
  <c r="N404" i="340"/>
  <c r="O404" i="340"/>
  <c r="P404" i="340"/>
  <c r="R404" i="340"/>
  <c r="S404" i="340"/>
  <c r="T404" i="340"/>
  <c r="V404" i="340"/>
  <c r="W404" i="340"/>
  <c r="X404" i="340"/>
  <c r="Z404" i="340"/>
  <c r="AA404" i="340"/>
  <c r="AB404" i="340"/>
  <c r="AD404" i="340"/>
  <c r="AE404" i="340"/>
  <c r="AF404" i="340"/>
  <c r="N407" i="340"/>
  <c r="O407" i="340"/>
  <c r="P407" i="340"/>
  <c r="R407" i="340"/>
  <c r="S407" i="340"/>
  <c r="T407" i="340"/>
  <c r="V407" i="340"/>
  <c r="W407" i="340"/>
  <c r="X407" i="340"/>
  <c r="Z407" i="340"/>
  <c r="AA407" i="340"/>
  <c r="AB407" i="340"/>
  <c r="AD407" i="340"/>
  <c r="AE407" i="340"/>
  <c r="AF407" i="340"/>
  <c r="N410" i="340"/>
  <c r="O410" i="340"/>
  <c r="P410" i="340"/>
  <c r="R410" i="340"/>
  <c r="S410" i="340"/>
  <c r="T410" i="340"/>
  <c r="V410" i="340"/>
  <c r="W410" i="340"/>
  <c r="X410" i="340"/>
  <c r="Z410" i="340"/>
  <c r="AA410" i="340"/>
  <c r="AB410" i="340"/>
  <c r="AD410" i="340"/>
  <c r="AE410" i="340"/>
  <c r="AF410" i="340"/>
  <c r="N414" i="340"/>
  <c r="O414" i="340"/>
  <c r="P414" i="340"/>
  <c r="R414" i="340"/>
  <c r="S414" i="340"/>
  <c r="T414" i="340"/>
  <c r="V414" i="340"/>
  <c r="W414" i="340"/>
  <c r="X414" i="340"/>
  <c r="Z414" i="340"/>
  <c r="AA414" i="340"/>
  <c r="AB414" i="340"/>
  <c r="AD414" i="340"/>
  <c r="AE414" i="340"/>
  <c r="AF414" i="340"/>
  <c r="N415" i="340"/>
  <c r="O415" i="340"/>
  <c r="P415" i="340"/>
  <c r="R415" i="340"/>
  <c r="S415" i="340"/>
  <c r="T415" i="340"/>
  <c r="V415" i="340"/>
  <c r="W415" i="340"/>
  <c r="X415" i="340"/>
  <c r="Z415" i="340"/>
  <c r="AA415" i="340"/>
  <c r="AB415" i="340"/>
  <c r="AD415" i="340"/>
  <c r="AE415" i="340"/>
  <c r="AF415" i="340"/>
  <c r="N420" i="340"/>
  <c r="O420" i="340"/>
  <c r="P420" i="340"/>
  <c r="R420" i="340"/>
  <c r="S420" i="340"/>
  <c r="T420" i="340"/>
  <c r="V420" i="340"/>
  <c r="W420" i="340"/>
  <c r="X420" i="340"/>
  <c r="Z420" i="340"/>
  <c r="AA420" i="340"/>
  <c r="AB420" i="340"/>
  <c r="AD420" i="340"/>
  <c r="AE420" i="340"/>
  <c r="AF420" i="340"/>
  <c r="N433" i="340"/>
  <c r="O433" i="340"/>
  <c r="P433" i="340"/>
  <c r="R433" i="340"/>
  <c r="S433" i="340"/>
  <c r="T433" i="340"/>
  <c r="V433" i="340"/>
  <c r="W433" i="340"/>
  <c r="X433" i="340"/>
  <c r="Z433" i="340"/>
  <c r="AA433" i="340"/>
  <c r="AB433" i="340"/>
  <c r="AD433" i="340"/>
  <c r="AE433" i="340"/>
  <c r="AF433" i="340"/>
  <c r="N443" i="340"/>
  <c r="O443" i="340"/>
  <c r="P443" i="340"/>
  <c r="R443" i="340"/>
  <c r="S443" i="340"/>
  <c r="T443" i="340"/>
  <c r="V443" i="340"/>
  <c r="W443" i="340"/>
  <c r="X443" i="340"/>
  <c r="Z443" i="340"/>
  <c r="AA443" i="340"/>
  <c r="AB443" i="340"/>
  <c r="AD443" i="340"/>
  <c r="AE443" i="340"/>
  <c r="AF443" i="340"/>
  <c r="N446" i="340"/>
  <c r="O446" i="340"/>
  <c r="P446" i="340"/>
  <c r="R446" i="340"/>
  <c r="S446" i="340"/>
  <c r="T446" i="340"/>
  <c r="V446" i="340"/>
  <c r="W446" i="340"/>
  <c r="X446" i="340"/>
  <c r="Z446" i="340"/>
  <c r="AA446" i="340"/>
  <c r="AB446" i="340"/>
  <c r="AD446" i="340"/>
  <c r="AE446" i="340"/>
  <c r="AF446" i="340"/>
  <c r="N447" i="340"/>
  <c r="O447" i="340"/>
  <c r="P447" i="340"/>
  <c r="R447" i="340"/>
  <c r="S447" i="340"/>
  <c r="T447" i="340"/>
  <c r="V447" i="340"/>
  <c r="W447" i="340"/>
  <c r="X447" i="340"/>
  <c r="Z447" i="340"/>
  <c r="AA447" i="340"/>
  <c r="AB447" i="340"/>
  <c r="AD447" i="340"/>
  <c r="AE447" i="340"/>
  <c r="AF447" i="340"/>
  <c r="N456" i="340"/>
  <c r="O456" i="340"/>
  <c r="P456" i="340"/>
  <c r="R456" i="340"/>
  <c r="S456" i="340"/>
  <c r="T456" i="340"/>
  <c r="V456" i="340"/>
  <c r="W456" i="340"/>
  <c r="X456" i="340"/>
  <c r="Z456" i="340"/>
  <c r="AA456" i="340"/>
  <c r="AB456" i="340"/>
  <c r="AD456" i="340"/>
  <c r="AE456" i="340"/>
  <c r="AF456" i="340"/>
  <c r="N476" i="340"/>
  <c r="O476" i="340"/>
  <c r="P476" i="340"/>
  <c r="R476" i="340"/>
  <c r="S476" i="340"/>
  <c r="T476" i="340"/>
  <c r="V476" i="340"/>
  <c r="W476" i="340"/>
  <c r="X476" i="340"/>
  <c r="Z476" i="340"/>
  <c r="AA476" i="340"/>
  <c r="AB476" i="340"/>
  <c r="AD476" i="340"/>
  <c r="AE476" i="340"/>
  <c r="AF476" i="340"/>
  <c r="N477" i="340"/>
  <c r="O477" i="340"/>
  <c r="P477" i="340"/>
  <c r="R477" i="340"/>
  <c r="S477" i="340"/>
  <c r="T477" i="340"/>
  <c r="V477" i="340"/>
  <c r="W477" i="340"/>
  <c r="X477" i="340"/>
  <c r="Z477" i="340"/>
  <c r="AA477" i="340"/>
  <c r="AB477" i="340"/>
  <c r="AD477" i="340"/>
  <c r="AE477" i="340"/>
  <c r="AF477" i="340"/>
  <c r="N484" i="340"/>
  <c r="O484" i="340"/>
  <c r="P484" i="340"/>
  <c r="R484" i="340"/>
  <c r="S484" i="340"/>
  <c r="T484" i="340"/>
  <c r="V484" i="340"/>
  <c r="W484" i="340"/>
  <c r="X484" i="340"/>
  <c r="Z484" i="340"/>
  <c r="AA484" i="340"/>
  <c r="AB484" i="340"/>
  <c r="AD484" i="340"/>
  <c r="AE484" i="340"/>
  <c r="AF484" i="340"/>
  <c r="N487" i="340"/>
  <c r="O487" i="340"/>
  <c r="P487" i="340"/>
  <c r="R487" i="340"/>
  <c r="S487" i="340"/>
  <c r="T487" i="340"/>
  <c r="V487" i="340"/>
  <c r="W487" i="340"/>
  <c r="X487" i="340"/>
  <c r="Z487" i="340"/>
  <c r="AA487" i="340"/>
  <c r="AB487" i="340"/>
  <c r="AD487" i="340"/>
  <c r="AE487" i="340"/>
  <c r="AF487" i="340"/>
  <c r="N495" i="340"/>
  <c r="O495" i="340"/>
  <c r="P495" i="340"/>
  <c r="R495" i="340"/>
  <c r="S495" i="340"/>
  <c r="T495" i="340"/>
  <c r="V495" i="340"/>
  <c r="W495" i="340"/>
  <c r="X495" i="340"/>
  <c r="Z495" i="340"/>
  <c r="AA495" i="340"/>
  <c r="AB495" i="340"/>
  <c r="AD495" i="340"/>
  <c r="AE495" i="340"/>
  <c r="AF495" i="340"/>
  <c r="N503" i="340"/>
  <c r="O503" i="340"/>
  <c r="P503" i="340"/>
  <c r="R503" i="340"/>
  <c r="S503" i="340"/>
  <c r="T503" i="340"/>
  <c r="V503" i="340"/>
  <c r="W503" i="340"/>
  <c r="X503" i="340"/>
  <c r="Z503" i="340"/>
  <c r="AA503" i="340"/>
  <c r="AB503" i="340"/>
  <c r="AD503" i="340"/>
  <c r="AE503" i="340"/>
  <c r="AF503" i="340"/>
  <c r="N507" i="340"/>
  <c r="O507" i="340"/>
  <c r="P507" i="340"/>
  <c r="R507" i="340"/>
  <c r="S507" i="340"/>
  <c r="T507" i="340"/>
  <c r="V507" i="340"/>
  <c r="W507" i="340"/>
  <c r="X507" i="340"/>
  <c r="Z507" i="340"/>
  <c r="AA507" i="340"/>
  <c r="AB507" i="340"/>
  <c r="AD507" i="340"/>
  <c r="AE507" i="340"/>
  <c r="AF507" i="340"/>
  <c r="N508" i="340"/>
  <c r="O508" i="340"/>
  <c r="P508" i="340"/>
  <c r="R508" i="340"/>
  <c r="S508" i="340"/>
  <c r="T508" i="340"/>
  <c r="V508" i="340"/>
  <c r="W508" i="340"/>
  <c r="X508" i="340"/>
  <c r="Z508" i="340"/>
  <c r="AA508" i="340"/>
  <c r="AB508" i="340"/>
  <c r="AD508" i="340"/>
  <c r="AE508" i="340"/>
  <c r="AF508" i="340"/>
  <c r="N512" i="340"/>
  <c r="O512" i="340"/>
  <c r="P512" i="340"/>
  <c r="R512" i="340"/>
  <c r="S512" i="340"/>
  <c r="T512" i="340"/>
  <c r="V512" i="340"/>
  <c r="W512" i="340"/>
  <c r="X512" i="340"/>
  <c r="Z512" i="340"/>
  <c r="AA512" i="340"/>
  <c r="AB512" i="340"/>
  <c r="AD512" i="340"/>
  <c r="AE512" i="340"/>
  <c r="AF512" i="340"/>
  <c r="N518" i="340"/>
  <c r="O518" i="340"/>
  <c r="P518" i="340"/>
  <c r="R518" i="340"/>
  <c r="S518" i="340"/>
  <c r="T518" i="340"/>
  <c r="V518" i="340"/>
  <c r="W518" i="340"/>
  <c r="X518" i="340"/>
  <c r="Z518" i="340"/>
  <c r="AA518" i="340"/>
  <c r="AB518" i="340"/>
  <c r="AD518" i="340"/>
  <c r="AE518" i="340"/>
  <c r="AF518" i="340"/>
  <c r="N522" i="340"/>
  <c r="O522" i="340"/>
  <c r="P522" i="340"/>
  <c r="R522" i="340"/>
  <c r="S522" i="340"/>
  <c r="T522" i="340"/>
  <c r="V522" i="340"/>
  <c r="W522" i="340"/>
  <c r="X522" i="340"/>
  <c r="Z522" i="340"/>
  <c r="AA522" i="340"/>
  <c r="AB522" i="340"/>
  <c r="AD522" i="340"/>
  <c r="AE522" i="340"/>
  <c r="AF522" i="340"/>
  <c r="N526" i="340"/>
  <c r="O526" i="340"/>
  <c r="P526" i="340"/>
  <c r="R526" i="340"/>
  <c r="S526" i="340"/>
  <c r="T526" i="340"/>
  <c r="V526" i="340"/>
  <c r="W526" i="340"/>
  <c r="X526" i="340"/>
  <c r="Z526" i="340"/>
  <c r="AA526" i="340"/>
  <c r="AB526" i="340"/>
  <c r="AD526" i="340"/>
  <c r="AE526" i="340"/>
  <c r="AF526" i="340"/>
  <c r="N530" i="340"/>
  <c r="O530" i="340"/>
  <c r="P530" i="340"/>
  <c r="R530" i="340"/>
  <c r="S530" i="340"/>
  <c r="T530" i="340"/>
  <c r="V530" i="340"/>
  <c r="W530" i="340"/>
  <c r="X530" i="340"/>
  <c r="Z530" i="340"/>
  <c r="AA530" i="340"/>
  <c r="AB530" i="340"/>
  <c r="AD530" i="340"/>
  <c r="AE530" i="340"/>
  <c r="AF530" i="340"/>
  <c r="N539" i="340"/>
  <c r="O539" i="340"/>
  <c r="P539" i="340"/>
  <c r="R539" i="340"/>
  <c r="S539" i="340"/>
  <c r="T539" i="340"/>
  <c r="V539" i="340"/>
  <c r="W539" i="340"/>
  <c r="X539" i="340"/>
  <c r="Z539" i="340"/>
  <c r="AA539" i="340"/>
  <c r="AB539" i="340"/>
  <c r="AD539" i="340"/>
  <c r="AE539" i="340"/>
  <c r="AF539" i="340"/>
  <c r="N549" i="340"/>
  <c r="O549" i="340"/>
  <c r="P549" i="340"/>
  <c r="R549" i="340"/>
  <c r="S549" i="340"/>
  <c r="T549" i="340"/>
  <c r="V549" i="340"/>
  <c r="W549" i="340"/>
  <c r="X549" i="340"/>
  <c r="Z549" i="340"/>
  <c r="AA549" i="340"/>
  <c r="AB549" i="340"/>
  <c r="AD549" i="340"/>
  <c r="AE549" i="340"/>
  <c r="AF549" i="340"/>
  <c r="N550" i="340"/>
  <c r="O550" i="340"/>
  <c r="P550" i="340"/>
  <c r="R550" i="340"/>
  <c r="S550" i="340"/>
  <c r="T550" i="340"/>
  <c r="V550" i="340"/>
  <c r="W550" i="340"/>
  <c r="X550" i="340"/>
  <c r="Z550" i="340"/>
  <c r="AA550" i="340"/>
  <c r="AB550" i="340"/>
  <c r="AD550" i="340"/>
  <c r="AE550" i="340"/>
  <c r="AF550" i="340"/>
  <c r="N556" i="340"/>
  <c r="O556" i="340"/>
  <c r="P556" i="340"/>
  <c r="R556" i="340"/>
  <c r="S556" i="340"/>
  <c r="T556" i="340"/>
  <c r="V556" i="340"/>
  <c r="W556" i="340"/>
  <c r="X556" i="340"/>
  <c r="Z556" i="340"/>
  <c r="AA556" i="340"/>
  <c r="AB556" i="340"/>
  <c r="AD556" i="340"/>
  <c r="AE556" i="340"/>
  <c r="AF556" i="340"/>
  <c r="N563" i="340"/>
  <c r="O563" i="340"/>
  <c r="P563" i="340"/>
  <c r="R563" i="340"/>
  <c r="S563" i="340"/>
  <c r="T563" i="340"/>
  <c r="V563" i="340"/>
  <c r="W563" i="340"/>
  <c r="X563" i="340"/>
  <c r="Z563" i="340"/>
  <c r="AA563" i="340"/>
  <c r="AB563" i="340"/>
  <c r="AD563" i="340"/>
  <c r="AE563" i="340"/>
  <c r="AF563" i="340"/>
  <c r="N568" i="340"/>
  <c r="O568" i="340"/>
  <c r="P568" i="340"/>
  <c r="R568" i="340"/>
  <c r="S568" i="340"/>
  <c r="T568" i="340"/>
  <c r="V568" i="340"/>
  <c r="W568" i="340"/>
  <c r="X568" i="340"/>
  <c r="Z568" i="340"/>
  <c r="AA568" i="340"/>
  <c r="AB568" i="340"/>
  <c r="AD568" i="340"/>
  <c r="AE568" i="340"/>
  <c r="AF568" i="340"/>
  <c r="N569" i="340"/>
  <c r="O569" i="340"/>
  <c r="P569" i="340"/>
  <c r="R569" i="340"/>
  <c r="S569" i="340"/>
  <c r="T569" i="340"/>
  <c r="V569" i="340"/>
  <c r="W569" i="340"/>
  <c r="X569" i="340"/>
  <c r="Z569" i="340"/>
  <c r="AA569" i="340"/>
  <c r="AB569" i="340"/>
  <c r="AD569" i="340"/>
  <c r="AE569" i="340"/>
  <c r="AF569" i="340"/>
  <c r="N575" i="340"/>
  <c r="O575" i="340"/>
  <c r="P575" i="340"/>
  <c r="R575" i="340"/>
  <c r="S575" i="340"/>
  <c r="T575" i="340"/>
  <c r="V575" i="340"/>
  <c r="W575" i="340"/>
  <c r="X575" i="340"/>
  <c r="Z575" i="340"/>
  <c r="AA575" i="340"/>
  <c r="AB575" i="340"/>
  <c r="AD575" i="340"/>
  <c r="AE575" i="340"/>
  <c r="AF575" i="340"/>
  <c r="N589" i="340"/>
  <c r="O589" i="340"/>
  <c r="P589" i="340"/>
  <c r="R589" i="340"/>
  <c r="S589" i="340"/>
  <c r="T589" i="340"/>
  <c r="V589" i="340"/>
  <c r="W589" i="340"/>
  <c r="X589" i="340"/>
  <c r="Z589" i="340"/>
  <c r="AA589" i="340"/>
  <c r="AB589" i="340"/>
  <c r="AD589" i="340"/>
  <c r="AE589" i="340"/>
  <c r="AF589" i="340"/>
  <c r="N590" i="340"/>
  <c r="O590" i="340"/>
  <c r="P590" i="340"/>
  <c r="R590" i="340"/>
  <c r="S590" i="340"/>
  <c r="T590" i="340"/>
  <c r="V590" i="340"/>
  <c r="W590" i="340"/>
  <c r="X590" i="340"/>
  <c r="Z590" i="340"/>
  <c r="AA590" i="340"/>
  <c r="AB590" i="340"/>
  <c r="AD590" i="340"/>
  <c r="AE590" i="340"/>
  <c r="AF590" i="340"/>
  <c r="N591" i="340"/>
  <c r="O591" i="340"/>
  <c r="P591" i="340"/>
  <c r="R591" i="340"/>
  <c r="S591" i="340"/>
  <c r="T591" i="340"/>
  <c r="V591" i="340"/>
  <c r="W591" i="340"/>
  <c r="X591" i="340"/>
  <c r="Z591" i="340"/>
  <c r="AA591" i="340"/>
  <c r="AB591" i="340"/>
  <c r="AD591" i="340"/>
  <c r="AE591" i="340"/>
  <c r="AF591" i="340"/>
  <c r="N592" i="340"/>
  <c r="O592" i="340"/>
  <c r="P592" i="340"/>
  <c r="R592" i="340"/>
  <c r="S592" i="340"/>
  <c r="T592" i="340"/>
  <c r="V592" i="340"/>
  <c r="W592" i="340"/>
  <c r="X592" i="340"/>
  <c r="Z592" i="340"/>
  <c r="AA592" i="340"/>
  <c r="AB592" i="340"/>
  <c r="AD592" i="340"/>
  <c r="AE592" i="340"/>
  <c r="AF592" i="340"/>
  <c r="N593" i="340"/>
  <c r="O593" i="340"/>
  <c r="P593" i="340"/>
  <c r="R593" i="340"/>
  <c r="S593" i="340"/>
  <c r="T593" i="340"/>
  <c r="V593" i="340"/>
  <c r="W593" i="340"/>
  <c r="X593" i="340"/>
  <c r="Z593" i="340"/>
  <c r="AA593" i="340"/>
  <c r="AB593" i="340"/>
  <c r="AD593" i="340"/>
  <c r="AE593" i="340"/>
  <c r="AF593" i="340"/>
  <c r="N594" i="340"/>
  <c r="O594" i="340"/>
  <c r="P594" i="340"/>
  <c r="R594" i="340"/>
  <c r="S594" i="340"/>
  <c r="T594" i="340"/>
  <c r="V594" i="340"/>
  <c r="W594" i="340"/>
  <c r="X594" i="340"/>
  <c r="Z594" i="340"/>
  <c r="AA594" i="340"/>
  <c r="AB594" i="340"/>
  <c r="AD594" i="340"/>
  <c r="AE594" i="340"/>
  <c r="AF594" i="340"/>
  <c r="N595" i="340"/>
  <c r="O595" i="340"/>
  <c r="P595" i="340"/>
  <c r="R595" i="340"/>
  <c r="S595" i="340"/>
  <c r="T595" i="340"/>
  <c r="V595" i="340"/>
  <c r="W595" i="340"/>
  <c r="X595" i="340"/>
  <c r="Z595" i="340"/>
  <c r="AA595" i="340"/>
  <c r="AB595" i="340"/>
  <c r="AD595" i="340"/>
  <c r="AE595" i="340"/>
  <c r="AF595" i="340"/>
  <c r="N596" i="340"/>
  <c r="O596" i="340"/>
  <c r="P596" i="340"/>
  <c r="R596" i="340"/>
  <c r="S596" i="340"/>
  <c r="T596" i="340"/>
  <c r="V596" i="340"/>
  <c r="W596" i="340"/>
  <c r="X596" i="340"/>
  <c r="Z596" i="340"/>
  <c r="AA596" i="340"/>
  <c r="AB596" i="340"/>
  <c r="AD596" i="340"/>
  <c r="AE596" i="340"/>
  <c r="AF596" i="340"/>
  <c r="N597" i="340"/>
  <c r="O597" i="340"/>
  <c r="P597" i="340"/>
  <c r="R597" i="340"/>
  <c r="S597" i="340"/>
  <c r="T597" i="340"/>
  <c r="V597" i="340"/>
  <c r="W597" i="340"/>
  <c r="X597" i="340"/>
  <c r="Z597" i="340"/>
  <c r="AA597" i="340"/>
  <c r="AB597" i="340"/>
  <c r="AD597" i="340"/>
  <c r="AE597" i="340"/>
  <c r="AF597" i="340"/>
  <c r="N598" i="340"/>
  <c r="O598" i="340"/>
  <c r="P598" i="340"/>
  <c r="R598" i="340"/>
  <c r="S598" i="340"/>
  <c r="T598" i="340"/>
  <c r="V598" i="340"/>
  <c r="W598" i="340"/>
  <c r="X598" i="340"/>
  <c r="Z598" i="340"/>
  <c r="AA598" i="340"/>
  <c r="AB598" i="340"/>
  <c r="AD598" i="340"/>
  <c r="AE598" i="340"/>
  <c r="AF598" i="340"/>
  <c r="N599" i="340"/>
  <c r="O599" i="340"/>
  <c r="P599" i="340"/>
  <c r="R599" i="340"/>
  <c r="S599" i="340"/>
  <c r="T599" i="340"/>
  <c r="V599" i="340"/>
  <c r="W599" i="340"/>
  <c r="X599" i="340"/>
  <c r="Z599" i="340"/>
  <c r="AA599" i="340"/>
  <c r="AB599" i="340"/>
  <c r="AD599" i="340"/>
  <c r="AE599" i="340"/>
  <c r="AF599" i="340"/>
  <c r="N600" i="340"/>
  <c r="O600" i="340"/>
  <c r="P600" i="340"/>
  <c r="R600" i="340"/>
  <c r="S600" i="340"/>
  <c r="T600" i="340"/>
  <c r="V600" i="340"/>
  <c r="W600" i="340"/>
  <c r="X600" i="340"/>
  <c r="Z600" i="340"/>
  <c r="AA600" i="340"/>
  <c r="AB600" i="340"/>
  <c r="AD600" i="340"/>
  <c r="AE600" i="340"/>
  <c r="AF600" i="340"/>
  <c r="N601" i="340"/>
  <c r="O601" i="340"/>
  <c r="P601" i="340"/>
  <c r="R601" i="340"/>
  <c r="S601" i="340"/>
  <c r="T601" i="340"/>
  <c r="V601" i="340"/>
  <c r="W601" i="340"/>
  <c r="X601" i="340"/>
  <c r="Z601" i="340"/>
  <c r="AA601" i="340"/>
  <c r="AB601" i="340"/>
  <c r="AD601" i="340"/>
  <c r="AE601" i="340"/>
  <c r="AF601" i="340"/>
  <c r="N602" i="340"/>
  <c r="O602" i="340"/>
  <c r="P602" i="340"/>
  <c r="R602" i="340"/>
  <c r="S602" i="340"/>
  <c r="T602" i="340"/>
  <c r="V602" i="340"/>
  <c r="W602" i="340"/>
  <c r="X602" i="340"/>
  <c r="Z602" i="340"/>
  <c r="AA602" i="340"/>
  <c r="AB602" i="340"/>
  <c r="AD602" i="340"/>
  <c r="AE602" i="340"/>
  <c r="AF602" i="340"/>
  <c r="N603" i="340"/>
  <c r="O603" i="340"/>
  <c r="P603" i="340"/>
  <c r="R603" i="340"/>
  <c r="S603" i="340"/>
  <c r="T603" i="340"/>
  <c r="V603" i="340"/>
  <c r="W603" i="340"/>
  <c r="X603" i="340"/>
  <c r="Z603" i="340"/>
  <c r="AA603" i="340"/>
  <c r="AB603" i="340"/>
  <c r="AD603" i="340"/>
  <c r="AE603" i="340"/>
  <c r="AF603" i="340"/>
  <c r="N604" i="340"/>
  <c r="O604" i="340"/>
  <c r="P604" i="340"/>
  <c r="R604" i="340"/>
  <c r="S604" i="340"/>
  <c r="T604" i="340"/>
  <c r="V604" i="340"/>
  <c r="W604" i="340"/>
  <c r="X604" i="340"/>
  <c r="Z604" i="340"/>
  <c r="AA604" i="340"/>
  <c r="AB604" i="340"/>
  <c r="AD604" i="340"/>
  <c r="AE604" i="340"/>
  <c r="AF604" i="340"/>
  <c r="N605" i="340"/>
  <c r="O605" i="340"/>
  <c r="P605" i="340"/>
  <c r="R605" i="340"/>
  <c r="S605" i="340"/>
  <c r="T605" i="340"/>
  <c r="V605" i="340"/>
  <c r="W605" i="340"/>
  <c r="X605" i="340"/>
  <c r="Z605" i="340"/>
  <c r="AA605" i="340"/>
  <c r="AB605" i="340"/>
  <c r="AD605" i="340"/>
  <c r="AE605" i="340"/>
  <c r="AF605" i="340"/>
  <c r="N606" i="340"/>
  <c r="O606" i="340"/>
  <c r="P606" i="340"/>
  <c r="R606" i="340"/>
  <c r="S606" i="340"/>
  <c r="T606" i="340"/>
  <c r="V606" i="340"/>
  <c r="W606" i="340"/>
  <c r="X606" i="340"/>
  <c r="Z606" i="340"/>
  <c r="AA606" i="340"/>
  <c r="AB606" i="340"/>
  <c r="AD606" i="340"/>
  <c r="AE606" i="340"/>
  <c r="AF606" i="340"/>
  <c r="N607" i="340"/>
  <c r="O607" i="340"/>
  <c r="P607" i="340"/>
  <c r="R607" i="340"/>
  <c r="S607" i="340"/>
  <c r="T607" i="340"/>
  <c r="V607" i="340"/>
  <c r="W607" i="340"/>
  <c r="X607" i="340"/>
  <c r="Z607" i="340"/>
  <c r="AA607" i="340"/>
  <c r="AB607" i="340"/>
  <c r="AD607" i="340"/>
  <c r="AE607" i="340"/>
  <c r="AF607" i="340"/>
  <c r="N608" i="340"/>
  <c r="O608" i="340"/>
  <c r="P608" i="340"/>
  <c r="R608" i="340"/>
  <c r="S608" i="340"/>
  <c r="T608" i="340"/>
  <c r="V608" i="340"/>
  <c r="W608" i="340"/>
  <c r="X608" i="340"/>
  <c r="Z608" i="340"/>
  <c r="AA608" i="340"/>
  <c r="AB608" i="340"/>
  <c r="AD608" i="340"/>
  <c r="AE608" i="340"/>
  <c r="AF608" i="340"/>
  <c r="N609" i="340"/>
  <c r="O609" i="340"/>
  <c r="P609" i="340"/>
  <c r="R609" i="340"/>
  <c r="S609" i="340"/>
  <c r="T609" i="340"/>
  <c r="V609" i="340"/>
  <c r="W609" i="340"/>
  <c r="X609" i="340"/>
  <c r="Z609" i="340"/>
  <c r="AA609" i="340"/>
  <c r="AB609" i="340"/>
  <c r="AD609" i="340"/>
  <c r="AE609" i="340"/>
  <c r="AF609" i="340"/>
  <c r="N610" i="340"/>
  <c r="O610" i="340"/>
  <c r="P610" i="340"/>
  <c r="R610" i="340"/>
  <c r="S610" i="340"/>
  <c r="T610" i="340"/>
  <c r="V610" i="340"/>
  <c r="W610" i="340"/>
  <c r="X610" i="340"/>
  <c r="Z610" i="340"/>
  <c r="AA610" i="340"/>
  <c r="AB610" i="340"/>
  <c r="AD610" i="340"/>
  <c r="AE610" i="340"/>
  <c r="AF610" i="340"/>
  <c r="N611" i="340"/>
  <c r="O611" i="340"/>
  <c r="P611" i="340"/>
  <c r="R611" i="340"/>
  <c r="S611" i="340"/>
  <c r="T611" i="340"/>
  <c r="V611" i="340"/>
  <c r="W611" i="340"/>
  <c r="X611" i="340"/>
  <c r="Z611" i="340"/>
  <c r="AA611" i="340"/>
  <c r="AB611" i="340"/>
  <c r="AD611" i="340"/>
  <c r="AE611" i="340"/>
  <c r="AF611" i="340"/>
  <c r="N612" i="340"/>
  <c r="O612" i="340"/>
  <c r="P612" i="340"/>
  <c r="R612" i="340"/>
  <c r="S612" i="340"/>
  <c r="T612" i="340"/>
  <c r="V612" i="340"/>
  <c r="W612" i="340"/>
  <c r="X612" i="340"/>
  <c r="Z612" i="340"/>
  <c r="AA612" i="340"/>
  <c r="AB612" i="340"/>
  <c r="AD612" i="340"/>
  <c r="AE612" i="340"/>
  <c r="AF612" i="340"/>
  <c r="N613" i="340"/>
  <c r="O613" i="340"/>
  <c r="P613" i="340"/>
  <c r="R613" i="340"/>
  <c r="S613" i="340"/>
  <c r="T613" i="340"/>
  <c r="V613" i="340"/>
  <c r="W613" i="340"/>
  <c r="X613" i="340"/>
  <c r="Z613" i="340"/>
  <c r="AA613" i="340"/>
  <c r="AB613" i="340"/>
  <c r="AD613" i="340"/>
  <c r="AE613" i="340"/>
  <c r="AF613" i="340"/>
  <c r="N614" i="340"/>
  <c r="O614" i="340"/>
  <c r="P614" i="340"/>
  <c r="R614" i="340"/>
  <c r="S614" i="340"/>
  <c r="T614" i="340"/>
  <c r="V614" i="340"/>
  <c r="W614" i="340"/>
  <c r="X614" i="340"/>
  <c r="Z614" i="340"/>
  <c r="AA614" i="340"/>
  <c r="AB614" i="340"/>
  <c r="AD614" i="340"/>
  <c r="AE614" i="340"/>
  <c r="AF614" i="340"/>
  <c r="N615" i="340"/>
  <c r="O615" i="340"/>
  <c r="P615" i="340"/>
  <c r="R615" i="340"/>
  <c r="S615" i="340"/>
  <c r="T615" i="340"/>
  <c r="V615" i="340"/>
  <c r="W615" i="340"/>
  <c r="X615" i="340"/>
  <c r="Z615" i="340"/>
  <c r="AA615" i="340"/>
  <c r="AB615" i="340"/>
  <c r="AD615" i="340"/>
  <c r="AE615" i="340"/>
  <c r="AF615" i="340"/>
  <c r="N616" i="340"/>
  <c r="O616" i="340"/>
  <c r="P616" i="340"/>
  <c r="R616" i="340"/>
  <c r="S616" i="340"/>
  <c r="T616" i="340"/>
  <c r="V616" i="340"/>
  <c r="W616" i="340"/>
  <c r="X616" i="340"/>
  <c r="Z616" i="340"/>
  <c r="AA616" i="340"/>
  <c r="AB616" i="340"/>
  <c r="AD616" i="340"/>
  <c r="AE616" i="340"/>
  <c r="AF616" i="340"/>
  <c r="N617" i="340"/>
  <c r="O617" i="340"/>
  <c r="P617" i="340"/>
  <c r="R617" i="340"/>
  <c r="S617" i="340"/>
  <c r="T617" i="340"/>
  <c r="V617" i="340"/>
  <c r="W617" i="340"/>
  <c r="X617" i="340"/>
  <c r="Z617" i="340"/>
  <c r="AA617" i="340"/>
  <c r="AB617" i="340"/>
  <c r="AD617" i="340"/>
  <c r="AE617" i="340"/>
  <c r="AF617" i="340"/>
  <c r="N618" i="340"/>
  <c r="O618" i="340"/>
  <c r="P618" i="340"/>
  <c r="R618" i="340"/>
  <c r="S618" i="340"/>
  <c r="T618" i="340"/>
  <c r="V618" i="340"/>
  <c r="W618" i="340"/>
  <c r="X618" i="340"/>
  <c r="Z618" i="340"/>
  <c r="AA618" i="340"/>
  <c r="AB618" i="340"/>
  <c r="AD618" i="340"/>
  <c r="AE618" i="340"/>
  <c r="AF618" i="340"/>
  <c r="N619" i="340"/>
  <c r="O619" i="340"/>
  <c r="P619" i="340"/>
  <c r="R619" i="340"/>
  <c r="S619" i="340"/>
  <c r="T619" i="340"/>
  <c r="V619" i="340"/>
  <c r="W619" i="340"/>
  <c r="X619" i="340"/>
  <c r="Z619" i="340"/>
  <c r="AA619" i="340"/>
  <c r="AB619" i="340"/>
  <c r="AD619" i="340"/>
  <c r="AE619" i="340"/>
  <c r="AF619" i="340"/>
  <c r="N620" i="340"/>
  <c r="O620" i="340"/>
  <c r="P620" i="340"/>
  <c r="R620" i="340"/>
  <c r="S620" i="340"/>
  <c r="T620" i="340"/>
  <c r="V620" i="340"/>
  <c r="W620" i="340"/>
  <c r="X620" i="340"/>
  <c r="Z620" i="340"/>
  <c r="AA620" i="340"/>
  <c r="AB620" i="340"/>
  <c r="AD620" i="340"/>
  <c r="AE620" i="340"/>
  <c r="AF620" i="340"/>
  <c r="N621" i="340"/>
  <c r="O621" i="340"/>
  <c r="P621" i="340"/>
  <c r="R621" i="340"/>
  <c r="S621" i="340"/>
  <c r="T621" i="340"/>
  <c r="V621" i="340"/>
  <c r="W621" i="340"/>
  <c r="X621" i="340"/>
  <c r="Z621" i="340"/>
  <c r="AA621" i="340"/>
  <c r="AB621" i="340"/>
  <c r="AD621" i="340"/>
  <c r="AE621" i="340"/>
  <c r="AF621" i="340"/>
  <c r="N622" i="340"/>
  <c r="O622" i="340"/>
  <c r="P622" i="340"/>
  <c r="R622" i="340"/>
  <c r="S622" i="340"/>
  <c r="T622" i="340"/>
  <c r="V622" i="340"/>
  <c r="W622" i="340"/>
  <c r="X622" i="340"/>
  <c r="Z622" i="340"/>
  <c r="AA622" i="340"/>
  <c r="AB622" i="340"/>
  <c r="AD622" i="340"/>
  <c r="AE622" i="340"/>
  <c r="AF622" i="340"/>
  <c r="N623" i="340"/>
  <c r="O623" i="340"/>
  <c r="P623" i="340"/>
  <c r="R623" i="340"/>
  <c r="S623" i="340"/>
  <c r="T623" i="340"/>
  <c r="V623" i="340"/>
  <c r="W623" i="340"/>
  <c r="X623" i="340"/>
  <c r="Z623" i="340"/>
  <c r="AA623" i="340"/>
  <c r="AB623" i="340"/>
  <c r="AD623" i="340"/>
  <c r="AE623" i="340"/>
  <c r="AF623" i="340"/>
  <c r="N624" i="340"/>
  <c r="O624" i="340"/>
  <c r="P624" i="340"/>
  <c r="R624" i="340"/>
  <c r="S624" i="340"/>
  <c r="T624" i="340"/>
  <c r="V624" i="340"/>
  <c r="W624" i="340"/>
  <c r="X624" i="340"/>
  <c r="Z624" i="340"/>
  <c r="AA624" i="340"/>
  <c r="AB624" i="340"/>
  <c r="AD624" i="340"/>
  <c r="AE624" i="340"/>
  <c r="AF624" i="340"/>
  <c r="N625" i="340"/>
  <c r="O625" i="340"/>
  <c r="P625" i="340"/>
  <c r="R625" i="340"/>
  <c r="S625" i="340"/>
  <c r="T625" i="340"/>
  <c r="V625" i="340"/>
  <c r="W625" i="340"/>
  <c r="X625" i="340"/>
  <c r="Z625" i="340"/>
  <c r="AA625" i="340"/>
  <c r="AB625" i="340"/>
  <c r="AD625" i="340"/>
  <c r="AE625" i="340"/>
  <c r="AF625" i="340"/>
  <c r="N626" i="340"/>
  <c r="O626" i="340"/>
  <c r="P626" i="340"/>
  <c r="R626" i="340"/>
  <c r="S626" i="340"/>
  <c r="T626" i="340"/>
  <c r="V626" i="340"/>
  <c r="W626" i="340"/>
  <c r="X626" i="340"/>
  <c r="Z626" i="340"/>
  <c r="AA626" i="340"/>
  <c r="AB626" i="340"/>
  <c r="AD626" i="340"/>
  <c r="AE626" i="340"/>
  <c r="AF626" i="340"/>
  <c r="N627" i="340"/>
  <c r="O627" i="340"/>
  <c r="P627" i="340"/>
  <c r="R627" i="340"/>
  <c r="S627" i="340"/>
  <c r="T627" i="340"/>
  <c r="V627" i="340"/>
  <c r="W627" i="340"/>
  <c r="X627" i="340"/>
  <c r="Z627" i="340"/>
  <c r="AA627" i="340"/>
  <c r="AB627" i="340"/>
  <c r="AD627" i="340"/>
  <c r="AE627" i="340"/>
  <c r="AF627" i="340"/>
  <c r="N628" i="340"/>
  <c r="O628" i="340"/>
  <c r="P628" i="340"/>
  <c r="R628" i="340"/>
  <c r="S628" i="340"/>
  <c r="T628" i="340"/>
  <c r="V628" i="340"/>
  <c r="W628" i="340"/>
  <c r="X628" i="340"/>
  <c r="Z628" i="340"/>
  <c r="AA628" i="340"/>
  <c r="AB628" i="340"/>
  <c r="AD628" i="340"/>
  <c r="AE628" i="340"/>
  <c r="AF628" i="340"/>
  <c r="N629" i="340"/>
  <c r="O629" i="340"/>
  <c r="P629" i="340"/>
  <c r="R629" i="340"/>
  <c r="S629" i="340"/>
  <c r="T629" i="340"/>
  <c r="V629" i="340"/>
  <c r="W629" i="340"/>
  <c r="X629" i="340"/>
  <c r="Z629" i="340"/>
  <c r="AA629" i="340"/>
  <c r="AB629" i="340"/>
  <c r="AD629" i="340"/>
  <c r="AE629" i="340"/>
  <c r="AF629" i="340"/>
  <c r="N630" i="340"/>
  <c r="O630" i="340"/>
  <c r="P630" i="340"/>
  <c r="R630" i="340"/>
  <c r="S630" i="340"/>
  <c r="T630" i="340"/>
  <c r="V630" i="340"/>
  <c r="W630" i="340"/>
  <c r="X630" i="340"/>
  <c r="Z630" i="340"/>
  <c r="AA630" i="340"/>
  <c r="AB630" i="340"/>
  <c r="AD630" i="340"/>
  <c r="AE630" i="340"/>
  <c r="AF630" i="340"/>
  <c r="N631" i="340"/>
  <c r="O631" i="340"/>
  <c r="P631" i="340"/>
  <c r="R631" i="340"/>
  <c r="S631" i="340"/>
  <c r="T631" i="340"/>
  <c r="V631" i="340"/>
  <c r="W631" i="340"/>
  <c r="X631" i="340"/>
  <c r="Z631" i="340"/>
  <c r="AA631" i="340"/>
  <c r="AB631" i="340"/>
  <c r="AD631" i="340"/>
  <c r="AE631" i="340"/>
  <c r="AF631" i="340"/>
  <c r="N632" i="340"/>
  <c r="O632" i="340"/>
  <c r="P632" i="340"/>
  <c r="R632" i="340"/>
  <c r="S632" i="340"/>
  <c r="T632" i="340"/>
  <c r="V632" i="340"/>
  <c r="W632" i="340"/>
  <c r="X632" i="340"/>
  <c r="Z632" i="340"/>
  <c r="AA632" i="340"/>
  <c r="AB632" i="340"/>
  <c r="AD632" i="340"/>
  <c r="AE632" i="340"/>
  <c r="AF632" i="340"/>
  <c r="N633" i="340"/>
  <c r="O633" i="340"/>
  <c r="P633" i="340"/>
  <c r="R633" i="340"/>
  <c r="S633" i="340"/>
  <c r="T633" i="340"/>
  <c r="V633" i="340"/>
  <c r="W633" i="340"/>
  <c r="X633" i="340"/>
  <c r="Z633" i="340"/>
  <c r="AA633" i="340"/>
  <c r="AB633" i="340"/>
  <c r="AD633" i="340"/>
  <c r="AE633" i="340"/>
  <c r="AF633" i="340"/>
  <c r="N634" i="340"/>
  <c r="O634" i="340"/>
  <c r="P634" i="340"/>
  <c r="R634" i="340"/>
  <c r="S634" i="340"/>
  <c r="T634" i="340"/>
  <c r="V634" i="340"/>
  <c r="W634" i="340"/>
  <c r="X634" i="340"/>
  <c r="Z634" i="340"/>
  <c r="AA634" i="340"/>
  <c r="AB634" i="340"/>
  <c r="AD634" i="340"/>
  <c r="AE634" i="340"/>
  <c r="AF634" i="340"/>
  <c r="N635" i="340"/>
  <c r="O635" i="340"/>
  <c r="P635" i="340"/>
  <c r="R635" i="340"/>
  <c r="S635" i="340"/>
  <c r="T635" i="340"/>
  <c r="V635" i="340"/>
  <c r="W635" i="340"/>
  <c r="X635" i="340"/>
  <c r="Z635" i="340"/>
  <c r="AA635" i="340"/>
  <c r="AB635" i="340"/>
  <c r="AD635" i="340"/>
  <c r="AE635" i="340"/>
  <c r="AF635" i="340"/>
  <c r="N636" i="340"/>
  <c r="O636" i="340"/>
  <c r="P636" i="340"/>
  <c r="R636" i="340"/>
  <c r="S636" i="340"/>
  <c r="T636" i="340"/>
  <c r="V636" i="340"/>
  <c r="W636" i="340"/>
  <c r="X636" i="340"/>
  <c r="Z636" i="340"/>
  <c r="AA636" i="340"/>
  <c r="AB636" i="340"/>
  <c r="AD636" i="340"/>
  <c r="AE636" i="340"/>
  <c r="AF636" i="340"/>
  <c r="N637" i="340"/>
  <c r="O637" i="340"/>
  <c r="P637" i="340"/>
  <c r="R637" i="340"/>
  <c r="S637" i="340"/>
  <c r="T637" i="340"/>
  <c r="V637" i="340"/>
  <c r="W637" i="340"/>
  <c r="X637" i="340"/>
  <c r="Z637" i="340"/>
  <c r="AA637" i="340"/>
  <c r="AB637" i="340"/>
  <c r="AD637" i="340"/>
  <c r="AE637" i="340"/>
  <c r="AF637" i="340"/>
  <c r="N638" i="340"/>
  <c r="O638" i="340"/>
  <c r="P638" i="340"/>
  <c r="R638" i="340"/>
  <c r="S638" i="340"/>
  <c r="T638" i="340"/>
  <c r="V638" i="340"/>
  <c r="W638" i="340"/>
  <c r="X638" i="340"/>
  <c r="Z638" i="340"/>
  <c r="AA638" i="340"/>
  <c r="AB638" i="340"/>
  <c r="AD638" i="340"/>
  <c r="AE638" i="340"/>
  <c r="AF638" i="340"/>
  <c r="N639" i="340"/>
  <c r="O639" i="340"/>
  <c r="P639" i="340"/>
  <c r="R639" i="340"/>
  <c r="S639" i="340"/>
  <c r="T639" i="340"/>
  <c r="V639" i="340"/>
  <c r="W639" i="340"/>
  <c r="X639" i="340"/>
  <c r="Z639" i="340"/>
  <c r="AA639" i="340"/>
  <c r="AB639" i="340"/>
  <c r="AD639" i="340"/>
  <c r="AE639" i="340"/>
  <c r="AF639" i="340"/>
  <c r="N640" i="340"/>
  <c r="O640" i="340"/>
  <c r="P640" i="340"/>
  <c r="R640" i="340"/>
  <c r="S640" i="340"/>
  <c r="T640" i="340"/>
  <c r="V640" i="340"/>
  <c r="W640" i="340"/>
  <c r="X640" i="340"/>
  <c r="Z640" i="340"/>
  <c r="AA640" i="340"/>
  <c r="AB640" i="340"/>
  <c r="AD640" i="340"/>
  <c r="AE640" i="340"/>
  <c r="AF640" i="340"/>
  <c r="N641" i="340"/>
  <c r="O641" i="340"/>
  <c r="P641" i="340"/>
  <c r="R641" i="340"/>
  <c r="S641" i="340"/>
  <c r="T641" i="340"/>
  <c r="V641" i="340"/>
  <c r="W641" i="340"/>
  <c r="X641" i="340"/>
  <c r="Z641" i="340"/>
  <c r="AA641" i="340"/>
  <c r="AB641" i="340"/>
  <c r="AD641" i="340"/>
  <c r="AE641" i="340"/>
  <c r="AF641" i="340"/>
  <c r="N642" i="340"/>
  <c r="O642" i="340"/>
  <c r="P642" i="340"/>
  <c r="R642" i="340"/>
  <c r="S642" i="340"/>
  <c r="T642" i="340"/>
  <c r="V642" i="340"/>
  <c r="W642" i="340"/>
  <c r="X642" i="340"/>
  <c r="Z642" i="340"/>
  <c r="AA642" i="340"/>
  <c r="AB642" i="340"/>
  <c r="AD642" i="340"/>
  <c r="AE642" i="340"/>
  <c r="AF642" i="340"/>
  <c r="N643" i="340"/>
  <c r="O643" i="340"/>
  <c r="P643" i="340"/>
  <c r="R643" i="340"/>
  <c r="S643" i="340"/>
  <c r="T643" i="340"/>
  <c r="V643" i="340"/>
  <c r="W643" i="340"/>
  <c r="X643" i="340"/>
  <c r="Z643" i="340"/>
  <c r="AA643" i="340"/>
  <c r="AB643" i="340"/>
  <c r="AD643" i="340"/>
  <c r="AE643" i="340"/>
  <c r="AF643" i="340"/>
  <c r="N644" i="340"/>
  <c r="O644" i="340"/>
  <c r="P644" i="340"/>
  <c r="R644" i="340"/>
  <c r="S644" i="340"/>
  <c r="T644" i="340"/>
  <c r="V644" i="340"/>
  <c r="W644" i="340"/>
  <c r="X644" i="340"/>
  <c r="Z644" i="340"/>
  <c r="AA644" i="340"/>
  <c r="AB644" i="340"/>
  <c r="AD644" i="340"/>
  <c r="AE644" i="340"/>
  <c r="AF644" i="340"/>
  <c r="N645" i="340"/>
  <c r="O645" i="340"/>
  <c r="P645" i="340"/>
  <c r="R645" i="340"/>
  <c r="S645" i="340"/>
  <c r="T645" i="340"/>
  <c r="V645" i="340"/>
  <c r="W645" i="340"/>
  <c r="X645" i="340"/>
  <c r="Z645" i="340"/>
  <c r="AA645" i="340"/>
  <c r="AB645" i="340"/>
  <c r="AD645" i="340"/>
  <c r="AE645" i="340"/>
  <c r="AF645" i="340"/>
  <c r="N646" i="340"/>
  <c r="O646" i="340"/>
  <c r="P646" i="340"/>
  <c r="R646" i="340"/>
  <c r="S646" i="340"/>
  <c r="T646" i="340"/>
  <c r="V646" i="340"/>
  <c r="W646" i="340"/>
  <c r="X646" i="340"/>
  <c r="Z646" i="340"/>
  <c r="AA646" i="340"/>
  <c r="AB646" i="340"/>
  <c r="AD646" i="340"/>
  <c r="AE646" i="340"/>
  <c r="AF646" i="340"/>
  <c r="N647" i="340"/>
  <c r="O647" i="340"/>
  <c r="P647" i="340"/>
  <c r="R647" i="340"/>
  <c r="S647" i="340"/>
  <c r="T647" i="340"/>
  <c r="V647" i="340"/>
  <c r="W647" i="340"/>
  <c r="X647" i="340"/>
  <c r="Z647" i="340"/>
  <c r="AA647" i="340"/>
  <c r="AB647" i="340"/>
  <c r="AD647" i="340"/>
  <c r="AE647" i="340"/>
  <c r="AF647" i="340"/>
  <c r="N648" i="340"/>
  <c r="O648" i="340"/>
  <c r="P648" i="340"/>
  <c r="R648" i="340"/>
  <c r="S648" i="340"/>
  <c r="T648" i="340"/>
  <c r="V648" i="340"/>
  <c r="W648" i="340"/>
  <c r="X648" i="340"/>
  <c r="Z648" i="340"/>
  <c r="AA648" i="340"/>
  <c r="AB648" i="340"/>
  <c r="AD648" i="340"/>
  <c r="AE648" i="340"/>
  <c r="AF648" i="340"/>
  <c r="N649" i="340"/>
  <c r="O649" i="340"/>
  <c r="P649" i="340"/>
  <c r="R649" i="340"/>
  <c r="S649" i="340"/>
  <c r="T649" i="340"/>
  <c r="V649" i="340"/>
  <c r="W649" i="340"/>
  <c r="X649" i="340"/>
  <c r="Z649" i="340"/>
  <c r="AA649" i="340"/>
  <c r="AB649" i="340"/>
  <c r="AD649" i="340"/>
  <c r="AE649" i="340"/>
  <c r="AF649" i="340"/>
  <c r="N650" i="340"/>
  <c r="O650" i="340"/>
  <c r="P650" i="340"/>
  <c r="R650" i="340"/>
  <c r="S650" i="340"/>
  <c r="T650" i="340"/>
  <c r="V650" i="340"/>
  <c r="W650" i="340"/>
  <c r="X650" i="340"/>
  <c r="Z650" i="340"/>
  <c r="AA650" i="340"/>
  <c r="AB650" i="340"/>
  <c r="AD650" i="340"/>
  <c r="AE650" i="340"/>
  <c r="AF650" i="340"/>
  <c r="N651" i="340"/>
  <c r="O651" i="340"/>
  <c r="P651" i="340"/>
  <c r="R651" i="340"/>
  <c r="S651" i="340"/>
  <c r="T651" i="340"/>
  <c r="V651" i="340"/>
  <c r="W651" i="340"/>
  <c r="X651" i="340"/>
  <c r="Z651" i="340"/>
  <c r="AA651" i="340"/>
  <c r="AB651" i="340"/>
  <c r="AD651" i="340"/>
  <c r="AE651" i="340"/>
  <c r="AF651" i="340"/>
  <c r="N652" i="340"/>
  <c r="O652" i="340"/>
  <c r="P652" i="340"/>
  <c r="R652" i="340"/>
  <c r="S652" i="340"/>
  <c r="T652" i="340"/>
  <c r="V652" i="340"/>
  <c r="W652" i="340"/>
  <c r="X652" i="340"/>
  <c r="Z652" i="340"/>
  <c r="AA652" i="340"/>
  <c r="AB652" i="340"/>
  <c r="AD652" i="340"/>
  <c r="AE652" i="340"/>
  <c r="AF652" i="340"/>
  <c r="N653" i="340"/>
  <c r="O653" i="340"/>
  <c r="P653" i="340"/>
  <c r="R653" i="340"/>
  <c r="S653" i="340"/>
  <c r="T653" i="340"/>
  <c r="V653" i="340"/>
  <c r="W653" i="340"/>
  <c r="X653" i="340"/>
  <c r="Z653" i="340"/>
  <c r="AA653" i="340"/>
  <c r="AB653" i="340"/>
  <c r="AD653" i="340"/>
  <c r="AE653" i="340"/>
  <c r="AF653" i="340"/>
  <c r="N654" i="340"/>
  <c r="O654" i="340"/>
  <c r="P654" i="340"/>
  <c r="R654" i="340"/>
  <c r="S654" i="340"/>
  <c r="T654" i="340"/>
  <c r="V654" i="340"/>
  <c r="W654" i="340"/>
  <c r="X654" i="340"/>
  <c r="Z654" i="340"/>
  <c r="AA654" i="340"/>
  <c r="AB654" i="340"/>
  <c r="AD654" i="340"/>
  <c r="AE654" i="340"/>
  <c r="AF654" i="340"/>
  <c r="N655" i="340"/>
  <c r="O655" i="340"/>
  <c r="P655" i="340"/>
  <c r="R655" i="340"/>
  <c r="S655" i="340"/>
  <c r="T655" i="340"/>
  <c r="V655" i="340"/>
  <c r="W655" i="340"/>
  <c r="X655" i="340"/>
  <c r="Z655" i="340"/>
  <c r="AA655" i="340"/>
  <c r="AB655" i="340"/>
  <c r="AD655" i="340"/>
  <c r="AE655" i="340"/>
  <c r="AF655" i="340"/>
  <c r="N656" i="340"/>
  <c r="O656" i="340"/>
  <c r="P656" i="340"/>
  <c r="R656" i="340"/>
  <c r="S656" i="340"/>
  <c r="T656" i="340"/>
  <c r="V656" i="340"/>
  <c r="W656" i="340"/>
  <c r="X656" i="340"/>
  <c r="Z656" i="340"/>
  <c r="AA656" i="340"/>
  <c r="AB656" i="340"/>
  <c r="AD656" i="340"/>
  <c r="AE656" i="340"/>
  <c r="AF656" i="340"/>
  <c r="N657" i="340"/>
  <c r="O657" i="340"/>
  <c r="P657" i="340"/>
  <c r="R657" i="340"/>
  <c r="S657" i="340"/>
  <c r="T657" i="340"/>
  <c r="V657" i="340"/>
  <c r="W657" i="340"/>
  <c r="X657" i="340"/>
  <c r="Z657" i="340"/>
  <c r="AA657" i="340"/>
  <c r="AB657" i="340"/>
  <c r="AD657" i="340"/>
  <c r="AE657" i="340"/>
  <c r="AF657" i="340"/>
  <c r="N658" i="340"/>
  <c r="O658" i="340"/>
  <c r="P658" i="340"/>
  <c r="R658" i="340"/>
  <c r="S658" i="340"/>
  <c r="T658" i="340"/>
  <c r="V658" i="340"/>
  <c r="W658" i="340"/>
  <c r="X658" i="340"/>
  <c r="Z658" i="340"/>
  <c r="AA658" i="340"/>
  <c r="AB658" i="340"/>
  <c r="AD658" i="340"/>
  <c r="AE658" i="340"/>
  <c r="AF658" i="340"/>
  <c r="N659" i="340"/>
  <c r="O659" i="340"/>
  <c r="P659" i="340"/>
  <c r="R659" i="340"/>
  <c r="S659" i="340"/>
  <c r="T659" i="340"/>
  <c r="V659" i="340"/>
  <c r="W659" i="340"/>
  <c r="X659" i="340"/>
  <c r="Z659" i="340"/>
  <c r="AA659" i="340"/>
  <c r="AB659" i="340"/>
  <c r="AD659" i="340"/>
  <c r="AE659" i="340"/>
  <c r="AF659" i="340"/>
  <c r="N660" i="340"/>
  <c r="O660" i="340"/>
  <c r="P660" i="340"/>
  <c r="R660" i="340"/>
  <c r="S660" i="340"/>
  <c r="T660" i="340"/>
  <c r="V660" i="340"/>
  <c r="W660" i="340"/>
  <c r="X660" i="340"/>
  <c r="Z660" i="340"/>
  <c r="AA660" i="340"/>
  <c r="AB660" i="340"/>
  <c r="AD660" i="340"/>
  <c r="AE660" i="340"/>
  <c r="AF660" i="340"/>
  <c r="N661" i="340"/>
  <c r="O661" i="340"/>
  <c r="P661" i="340"/>
  <c r="R661" i="340"/>
  <c r="S661" i="340"/>
  <c r="T661" i="340"/>
  <c r="V661" i="340"/>
  <c r="W661" i="340"/>
  <c r="X661" i="340"/>
  <c r="Z661" i="340"/>
  <c r="AA661" i="340"/>
  <c r="AB661" i="340"/>
  <c r="AD661" i="340"/>
  <c r="AE661" i="340"/>
  <c r="AF661" i="340"/>
  <c r="N662" i="340"/>
  <c r="O662" i="340"/>
  <c r="P662" i="340"/>
  <c r="R662" i="340"/>
  <c r="S662" i="340"/>
  <c r="T662" i="340"/>
  <c r="V662" i="340"/>
  <c r="W662" i="340"/>
  <c r="X662" i="340"/>
  <c r="Z662" i="340"/>
  <c r="AA662" i="340"/>
  <c r="AB662" i="340"/>
  <c r="AD662" i="340"/>
  <c r="AE662" i="340"/>
  <c r="AF662" i="340"/>
  <c r="N663" i="340"/>
  <c r="O663" i="340"/>
  <c r="P663" i="340"/>
  <c r="R663" i="340"/>
  <c r="S663" i="340"/>
  <c r="T663" i="340"/>
  <c r="V663" i="340"/>
  <c r="W663" i="340"/>
  <c r="X663" i="340"/>
  <c r="Z663" i="340"/>
  <c r="AA663" i="340"/>
  <c r="AB663" i="340"/>
  <c r="AD663" i="340"/>
  <c r="AE663" i="340"/>
  <c r="AF663" i="340"/>
  <c r="N664" i="340"/>
  <c r="O664" i="340"/>
  <c r="P664" i="340"/>
  <c r="R664" i="340"/>
  <c r="S664" i="340"/>
  <c r="T664" i="340"/>
  <c r="V664" i="340"/>
  <c r="W664" i="340"/>
  <c r="X664" i="340"/>
  <c r="Z664" i="340"/>
  <c r="AA664" i="340"/>
  <c r="AB664" i="340"/>
  <c r="AD664" i="340"/>
  <c r="AE664" i="340"/>
  <c r="AF664" i="340"/>
  <c r="N665" i="340"/>
  <c r="O665" i="340"/>
  <c r="P665" i="340"/>
  <c r="R665" i="340"/>
  <c r="S665" i="340"/>
  <c r="T665" i="340"/>
  <c r="V665" i="340"/>
  <c r="W665" i="340"/>
  <c r="X665" i="340"/>
  <c r="Z665" i="340"/>
  <c r="AA665" i="340"/>
  <c r="AB665" i="340"/>
  <c r="AD665" i="340"/>
  <c r="AE665" i="340"/>
  <c r="AF665" i="340"/>
  <c r="N666" i="340"/>
  <c r="O666" i="340"/>
  <c r="P666" i="340"/>
  <c r="R666" i="340"/>
  <c r="S666" i="340"/>
  <c r="T666" i="340"/>
  <c r="V666" i="340"/>
  <c r="W666" i="340"/>
  <c r="X666" i="340"/>
  <c r="Z666" i="340"/>
  <c r="AA666" i="340"/>
  <c r="AB666" i="340"/>
  <c r="AD666" i="340"/>
  <c r="AE666" i="340"/>
  <c r="AF666" i="340"/>
  <c r="N667" i="340"/>
  <c r="O667" i="340"/>
  <c r="P667" i="340"/>
  <c r="R667" i="340"/>
  <c r="S667" i="340"/>
  <c r="T667" i="340"/>
  <c r="V667" i="340"/>
  <c r="W667" i="340"/>
  <c r="X667" i="340"/>
  <c r="Z667" i="340"/>
  <c r="AA667" i="340"/>
  <c r="AB667" i="340"/>
  <c r="AD667" i="340"/>
  <c r="AE667" i="340"/>
  <c r="AF667" i="340"/>
  <c r="N668" i="340"/>
  <c r="O668" i="340"/>
  <c r="P668" i="340"/>
  <c r="R668" i="340"/>
  <c r="S668" i="340"/>
  <c r="T668" i="340"/>
  <c r="V668" i="340"/>
  <c r="W668" i="340"/>
  <c r="X668" i="340"/>
  <c r="Z668" i="340"/>
  <c r="AA668" i="340"/>
  <c r="AB668" i="340"/>
  <c r="AD668" i="340"/>
  <c r="AE668" i="340"/>
  <c r="AF668" i="340"/>
  <c r="N669" i="340"/>
  <c r="O669" i="340"/>
  <c r="P669" i="340"/>
  <c r="R669" i="340"/>
  <c r="S669" i="340"/>
  <c r="T669" i="340"/>
  <c r="V669" i="340"/>
  <c r="W669" i="340"/>
  <c r="X669" i="340"/>
  <c r="Z669" i="340"/>
  <c r="AA669" i="340"/>
  <c r="AB669" i="340"/>
  <c r="AD669" i="340"/>
  <c r="AE669" i="340"/>
  <c r="AF669" i="340"/>
  <c r="N670" i="340"/>
  <c r="O670" i="340"/>
  <c r="P670" i="340"/>
  <c r="R670" i="340"/>
  <c r="S670" i="340"/>
  <c r="T670" i="340"/>
  <c r="V670" i="340"/>
  <c r="W670" i="340"/>
  <c r="X670" i="340"/>
  <c r="Z670" i="340"/>
  <c r="AA670" i="340"/>
  <c r="AB670" i="340"/>
  <c r="AD670" i="340"/>
  <c r="AE670" i="340"/>
  <c r="AF670" i="340"/>
  <c r="N671" i="340"/>
  <c r="O671" i="340"/>
  <c r="P671" i="340"/>
  <c r="R671" i="340"/>
  <c r="S671" i="340"/>
  <c r="T671" i="340"/>
  <c r="V671" i="340"/>
  <c r="W671" i="340"/>
  <c r="X671" i="340"/>
  <c r="Z671" i="340"/>
  <c r="AA671" i="340"/>
  <c r="AB671" i="340"/>
  <c r="AD671" i="340"/>
  <c r="AE671" i="340"/>
  <c r="AF671" i="340"/>
  <c r="K28" i="348" l="1"/>
  <c r="K28" i="349"/>
  <c r="M27" i="348"/>
  <c r="M27" i="349"/>
  <c r="O26" i="348"/>
  <c r="O26" i="349"/>
  <c r="G26" i="348"/>
  <c r="G26" i="349"/>
  <c r="I25" i="348"/>
  <c r="I25" i="349"/>
  <c r="K24" i="348"/>
  <c r="K24" i="349"/>
  <c r="I22" i="348"/>
  <c r="I22" i="349"/>
  <c r="K21" i="348"/>
  <c r="K21" i="349"/>
  <c r="G13" i="349"/>
  <c r="H13" i="349" s="1"/>
  <c r="H15" i="349" s="1"/>
  <c r="H32" i="349" s="1"/>
  <c r="H48" i="349" s="1"/>
  <c r="G14" i="349"/>
  <c r="H14" i="349" s="1"/>
  <c r="I28" i="348"/>
  <c r="I28" i="349"/>
  <c r="K27" i="348"/>
  <c r="K27" i="349"/>
  <c r="M26" i="348"/>
  <c r="M26" i="349"/>
  <c r="O25" i="348"/>
  <c r="O25" i="349"/>
  <c r="G25" i="348"/>
  <c r="G25" i="349"/>
  <c r="I24" i="348"/>
  <c r="I24" i="349"/>
  <c r="O22" i="348"/>
  <c r="O22" i="349"/>
  <c r="G22" i="348"/>
  <c r="G22" i="349"/>
  <c r="I21" i="348"/>
  <c r="I21" i="349"/>
  <c r="O13" i="349"/>
  <c r="P13" i="349" s="1"/>
  <c r="O14" i="349"/>
  <c r="P14" i="349" s="1"/>
  <c r="O28" i="348"/>
  <c r="O28" i="349"/>
  <c r="G28" i="348"/>
  <c r="G28" i="349"/>
  <c r="I27" i="348"/>
  <c r="I27" i="349"/>
  <c r="K26" i="348"/>
  <c r="K26" i="349"/>
  <c r="M25" i="348"/>
  <c r="M25" i="349"/>
  <c r="O24" i="348"/>
  <c r="O24" i="349"/>
  <c r="G24" i="348"/>
  <c r="G24" i="349"/>
  <c r="M22" i="348"/>
  <c r="M22" i="349"/>
  <c r="O21" i="348"/>
  <c r="O21" i="349"/>
  <c r="G21" i="348"/>
  <c r="G21" i="349"/>
  <c r="M13" i="349"/>
  <c r="N13" i="349" s="1"/>
  <c r="M14" i="349"/>
  <c r="N14" i="349" s="1"/>
  <c r="K13" i="349"/>
  <c r="L13" i="349" s="1"/>
  <c r="K14" i="349"/>
  <c r="L14" i="349" s="1"/>
  <c r="M28" i="348"/>
  <c r="M28" i="349"/>
  <c r="O27" i="348"/>
  <c r="O27" i="349"/>
  <c r="G27" i="348"/>
  <c r="G27" i="349"/>
  <c r="I26" i="348"/>
  <c r="I26" i="349"/>
  <c r="K25" i="348"/>
  <c r="K25" i="349"/>
  <c r="M24" i="348"/>
  <c r="M24" i="349"/>
  <c r="K22" i="348"/>
  <c r="K22" i="349"/>
  <c r="M21" i="348"/>
  <c r="M21" i="349"/>
  <c r="I13" i="349"/>
  <c r="J13" i="349" s="1"/>
  <c r="J15" i="349" s="1"/>
  <c r="J32" i="349" s="1"/>
  <c r="J48" i="349" s="1"/>
  <c r="I14" i="349"/>
  <c r="J14" i="349" s="1"/>
  <c r="G13" i="348"/>
  <c r="H13" i="348" s="1"/>
  <c r="H15" i="348" s="1"/>
  <c r="H32" i="348" s="1"/>
  <c r="H48" i="348" s="1"/>
  <c r="G14" i="348"/>
  <c r="H14" i="348" s="1"/>
  <c r="I13" i="348"/>
  <c r="J13" i="348" s="1"/>
  <c r="I14" i="348"/>
  <c r="J14" i="348" s="1"/>
  <c r="O14" i="348"/>
  <c r="P14" i="348" s="1"/>
  <c r="O13" i="348"/>
  <c r="P13" i="348" s="1"/>
  <c r="P15" i="348" s="1"/>
  <c r="P32" i="348" s="1"/>
  <c r="P48" i="348" s="1"/>
  <c r="M13" i="348"/>
  <c r="N13" i="348" s="1"/>
  <c r="M14" i="348"/>
  <c r="N14" i="348" s="1"/>
  <c r="K14" i="348"/>
  <c r="L14" i="348" s="1"/>
  <c r="K13" i="348"/>
  <c r="L13" i="348" s="1"/>
  <c r="J212" i="344"/>
  <c r="J211" i="344"/>
  <c r="J214" i="344"/>
  <c r="O13" i="347"/>
  <c r="P13" i="347" s="1"/>
  <c r="O14" i="347"/>
  <c r="P14" i="347" s="1"/>
  <c r="K14" i="347"/>
  <c r="L14" i="347" s="1"/>
  <c r="K13" i="347"/>
  <c r="L13" i="347" s="1"/>
  <c r="M13" i="347"/>
  <c r="N13" i="347" s="1"/>
  <c r="M14" i="347"/>
  <c r="N14" i="347" s="1"/>
  <c r="I14" i="347"/>
  <c r="J14" i="347" s="1"/>
  <c r="I13" i="347"/>
  <c r="J13" i="347" s="1"/>
  <c r="G14" i="347"/>
  <c r="H14" i="347" s="1"/>
  <c r="G13" i="347"/>
  <c r="H13" i="347" s="1"/>
  <c r="O37" i="347"/>
  <c r="P37" i="347" s="1"/>
  <c r="M37" i="347"/>
  <c r="N37" i="347" s="1"/>
  <c r="K37" i="347"/>
  <c r="L37" i="347" s="1"/>
  <c r="I37" i="347"/>
  <c r="J37" i="347" s="1"/>
  <c r="G37" i="347"/>
  <c r="H37" i="347" s="1"/>
  <c r="G22" i="347"/>
  <c r="I28" i="347"/>
  <c r="K27" i="347"/>
  <c r="M26" i="347"/>
  <c r="O25" i="347"/>
  <c r="G25" i="347"/>
  <c r="I24" i="347"/>
  <c r="I22" i="347"/>
  <c r="K21" i="347"/>
  <c r="L30" i="347" s="1"/>
  <c r="O28" i="347"/>
  <c r="G28" i="347"/>
  <c r="I27" i="347"/>
  <c r="K26" i="347"/>
  <c r="M25" i="347"/>
  <c r="O24" i="347"/>
  <c r="G24" i="347"/>
  <c r="O22" i="347"/>
  <c r="I21" i="347"/>
  <c r="J30" i="347" s="1"/>
  <c r="M28" i="347"/>
  <c r="O27" i="347"/>
  <c r="G27" i="347"/>
  <c r="I26" i="347"/>
  <c r="K25" i="347"/>
  <c r="M24" i="347"/>
  <c r="M22" i="347"/>
  <c r="O21" i="347"/>
  <c r="P30" i="347" s="1"/>
  <c r="G21" i="347"/>
  <c r="F371" i="345"/>
  <c r="K28" i="347"/>
  <c r="M27" i="347"/>
  <c r="O26" i="347"/>
  <c r="G26" i="347"/>
  <c r="I25" i="347"/>
  <c r="K24" i="347"/>
  <c r="K22" i="347"/>
  <c r="M21" i="347"/>
  <c r="N30" i="347" s="1"/>
  <c r="F132" i="345"/>
  <c r="G390" i="345"/>
  <c r="F359" i="345"/>
  <c r="F416" i="345"/>
  <c r="E92" i="345"/>
  <c r="F418" i="345"/>
  <c r="E411" i="345"/>
  <c r="G428" i="345"/>
  <c r="E373" i="345"/>
  <c r="F258" i="345"/>
  <c r="E473" i="345"/>
  <c r="E106" i="345"/>
  <c r="E80" i="345"/>
  <c r="E357" i="345"/>
  <c r="E86" i="345"/>
  <c r="E301" i="345"/>
  <c r="F203" i="345"/>
  <c r="F430" i="345"/>
  <c r="G286" i="345"/>
  <c r="E439" i="345"/>
  <c r="F434" i="345"/>
  <c r="E296" i="345"/>
  <c r="E291" i="345"/>
  <c r="E214" i="345"/>
  <c r="F90" i="345"/>
  <c r="G42" i="345"/>
  <c r="G291" i="345"/>
  <c r="G180" i="345"/>
  <c r="E434" i="345"/>
  <c r="E424" i="345"/>
  <c r="G422" i="345"/>
  <c r="E398" i="345"/>
  <c r="F467" i="345"/>
  <c r="E283" i="345"/>
  <c r="F120" i="345"/>
  <c r="G148" i="345"/>
  <c r="E146" i="345"/>
  <c r="F26" i="345"/>
  <c r="F354" i="345"/>
  <c r="F177" i="345"/>
  <c r="E138" i="345"/>
  <c r="G81" i="345"/>
  <c r="F114" i="345"/>
  <c r="G360" i="345"/>
  <c r="F310" i="345"/>
  <c r="F75" i="345"/>
  <c r="E39" i="345"/>
  <c r="G446" i="345"/>
  <c r="E427" i="345"/>
  <c r="E382" i="345"/>
  <c r="F368" i="345"/>
  <c r="E354" i="345"/>
  <c r="F294" i="345"/>
  <c r="F220" i="345"/>
  <c r="E201" i="345"/>
  <c r="E184" i="345"/>
  <c r="E123" i="345"/>
  <c r="F116" i="345"/>
  <c r="E400" i="345"/>
  <c r="G379" i="345"/>
  <c r="G351" i="345"/>
  <c r="G253" i="345"/>
  <c r="E141" i="345"/>
  <c r="E472" i="345"/>
  <c r="G465" i="345"/>
  <c r="E422" i="345"/>
  <c r="F415" i="345"/>
  <c r="G408" i="345"/>
  <c r="E403" i="345"/>
  <c r="E377" i="345"/>
  <c r="G374" i="345"/>
  <c r="F356" i="345"/>
  <c r="E351" i="345"/>
  <c r="F332" i="345"/>
  <c r="G313" i="345"/>
  <c r="E275" i="345"/>
  <c r="E265" i="345"/>
  <c r="E239" i="345"/>
  <c r="E215" i="345"/>
  <c r="F201" i="345"/>
  <c r="G177" i="345"/>
  <c r="F165" i="345"/>
  <c r="E132" i="345"/>
  <c r="F80" i="345"/>
  <c r="E18" i="345"/>
  <c r="E431" i="345"/>
  <c r="F419" i="345"/>
  <c r="G393" i="345"/>
  <c r="E374" i="345"/>
  <c r="E362" i="345"/>
  <c r="G334" i="345"/>
  <c r="G274" i="345"/>
  <c r="F272" i="345"/>
  <c r="G262" i="345"/>
  <c r="E260" i="345"/>
  <c r="E236" i="345"/>
  <c r="E198" i="345"/>
  <c r="E174" i="345"/>
  <c r="E162" i="345"/>
  <c r="E101" i="345"/>
  <c r="E58" i="345"/>
  <c r="E34" i="345"/>
  <c r="G15" i="345"/>
  <c r="F473" i="345"/>
  <c r="F464" i="345"/>
  <c r="E442" i="345"/>
  <c r="E433" i="345"/>
  <c r="F407" i="345"/>
  <c r="E397" i="345"/>
  <c r="E348" i="345"/>
  <c r="F338" i="345"/>
  <c r="E324" i="345"/>
  <c r="E305" i="345"/>
  <c r="F300" i="345"/>
  <c r="E286" i="345"/>
  <c r="G231" i="345"/>
  <c r="G193" i="345"/>
  <c r="E129" i="345"/>
  <c r="E96" i="345"/>
  <c r="F86" i="345"/>
  <c r="G77" i="345"/>
  <c r="E428" i="345"/>
  <c r="E390" i="345"/>
  <c r="G348" i="345"/>
  <c r="G324" i="345"/>
  <c r="E250" i="345"/>
  <c r="F228" i="345"/>
  <c r="E209" i="345"/>
  <c r="F190" i="345"/>
  <c r="G174" i="345"/>
  <c r="E164" i="345"/>
  <c r="G162" i="345"/>
  <c r="E152" i="345"/>
  <c r="G48" i="345"/>
  <c r="G43" i="345"/>
  <c r="E437" i="345"/>
  <c r="E385" i="345"/>
  <c r="E369" i="345"/>
  <c r="F283" i="345"/>
  <c r="F276" i="345"/>
  <c r="G157" i="345"/>
  <c r="E117" i="345"/>
  <c r="G98" i="345"/>
  <c r="E31" i="345"/>
  <c r="E12" i="345"/>
  <c r="G455" i="345"/>
  <c r="E231" i="345"/>
  <c r="F392" i="345"/>
  <c r="E371" i="345"/>
  <c r="G357" i="345"/>
  <c r="E304" i="345"/>
  <c r="E228" i="345"/>
  <c r="E190" i="345"/>
  <c r="G171" i="345"/>
  <c r="G133" i="345"/>
  <c r="E126" i="345"/>
  <c r="F31" i="345"/>
  <c r="G398" i="345"/>
  <c r="F336" i="345"/>
  <c r="G236" i="345"/>
  <c r="F321" i="345"/>
  <c r="E278" i="345"/>
  <c r="E266" i="345"/>
  <c r="G223" i="345"/>
  <c r="F218" i="345"/>
  <c r="E187" i="345"/>
  <c r="E180" i="345"/>
  <c r="F171" i="345"/>
  <c r="F126" i="345"/>
  <c r="F95" i="345"/>
  <c r="E83" i="345"/>
  <c r="E45" i="345"/>
  <c r="E26" i="345"/>
  <c r="F23" i="345"/>
  <c r="E365" i="345"/>
  <c r="F303" i="345"/>
  <c r="G411" i="345"/>
  <c r="G328" i="345"/>
  <c r="F278" i="345"/>
  <c r="G199" i="345"/>
  <c r="E135" i="345"/>
  <c r="E114" i="345"/>
  <c r="G16" i="345"/>
  <c r="E193" i="345"/>
  <c r="F138" i="345"/>
  <c r="E120" i="345"/>
  <c r="F101" i="345"/>
  <c r="F58" i="345"/>
  <c r="E460" i="345"/>
  <c r="G425" i="345"/>
  <c r="F403" i="345"/>
  <c r="G389" i="345"/>
  <c r="G368" i="345"/>
  <c r="E361" i="345"/>
  <c r="E332" i="345"/>
  <c r="G327" i="345"/>
  <c r="E237" i="345"/>
  <c r="E206" i="345"/>
  <c r="G187" i="345"/>
  <c r="E149" i="345"/>
  <c r="E23" i="345"/>
  <c r="F469" i="345"/>
  <c r="E465" i="345"/>
  <c r="G449" i="345"/>
  <c r="F425" i="345"/>
  <c r="E423" i="345"/>
  <c r="E412" i="345"/>
  <c r="E408" i="345"/>
  <c r="E399" i="345"/>
  <c r="E393" i="345"/>
  <c r="F390" i="345"/>
  <c r="F382" i="345"/>
  <c r="E368" i="345"/>
  <c r="G353" i="345"/>
  <c r="F349" i="345"/>
  <c r="E340" i="345"/>
  <c r="G325" i="345"/>
  <c r="G307" i="345"/>
  <c r="F305" i="345"/>
  <c r="F296" i="345"/>
  <c r="F275" i="345"/>
  <c r="G268" i="345"/>
  <c r="F266" i="345"/>
  <c r="G255" i="345"/>
  <c r="F253" i="345"/>
  <c r="G229" i="345"/>
  <c r="G225" i="345"/>
  <c r="F223" i="345"/>
  <c r="F206" i="345"/>
  <c r="E177" i="345"/>
  <c r="E171" i="345"/>
  <c r="G164" i="345"/>
  <c r="F153" i="345"/>
  <c r="F149" i="345"/>
  <c r="F66" i="345"/>
  <c r="G52" i="345"/>
  <c r="F50" i="345"/>
  <c r="F48" i="345"/>
  <c r="F44" i="345"/>
  <c r="F42" i="345"/>
  <c r="F21" i="345"/>
  <c r="F15" i="345"/>
  <c r="E469" i="345"/>
  <c r="G460" i="345"/>
  <c r="F451" i="345"/>
  <c r="F449" i="345"/>
  <c r="G442" i="345"/>
  <c r="G440" i="345"/>
  <c r="E425" i="345"/>
  <c r="E416" i="345"/>
  <c r="G403" i="345"/>
  <c r="F397" i="345"/>
  <c r="E386" i="345"/>
  <c r="G384" i="345"/>
  <c r="E359" i="345"/>
  <c r="F353" i="345"/>
  <c r="E336" i="345"/>
  <c r="E316" i="345"/>
  <c r="F309" i="345"/>
  <c r="E307" i="345"/>
  <c r="E268" i="345"/>
  <c r="G259" i="345"/>
  <c r="E253" i="345"/>
  <c r="F244" i="345"/>
  <c r="E223" i="345"/>
  <c r="F164" i="345"/>
  <c r="G146" i="345"/>
  <c r="E103" i="345"/>
  <c r="G86" i="345"/>
  <c r="E84" i="345"/>
  <c r="G66" i="345"/>
  <c r="E48" i="345"/>
  <c r="E42" i="345"/>
  <c r="G23" i="345"/>
  <c r="E15" i="345"/>
  <c r="G473" i="345"/>
  <c r="F460" i="345"/>
  <c r="E455" i="345"/>
  <c r="E451" i="345"/>
  <c r="E446" i="345"/>
  <c r="F442" i="345"/>
  <c r="F436" i="345"/>
  <c r="G434" i="345"/>
  <c r="F411" i="345"/>
  <c r="E375" i="345"/>
  <c r="E355" i="345"/>
  <c r="F348" i="345"/>
  <c r="G340" i="345"/>
  <c r="G338" i="345"/>
  <c r="G289" i="345"/>
  <c r="G244" i="345"/>
  <c r="G239" i="345"/>
  <c r="F233" i="345"/>
  <c r="F231" i="345"/>
  <c r="G212" i="345"/>
  <c r="G195" i="345"/>
  <c r="F193" i="345"/>
  <c r="G189" i="345"/>
  <c r="F187" i="345"/>
  <c r="G172" i="345"/>
  <c r="F162" i="345"/>
  <c r="F157" i="345"/>
  <c r="G138" i="345"/>
  <c r="G94" i="345"/>
  <c r="G92" i="345"/>
  <c r="E61" i="345"/>
  <c r="E54" i="345"/>
  <c r="F25" i="345"/>
  <c r="E471" i="345"/>
  <c r="G464" i="345"/>
  <c r="F453" i="345"/>
  <c r="E436" i="345"/>
  <c r="E432" i="345"/>
  <c r="G416" i="345"/>
  <c r="G407" i="345"/>
  <c r="G405" i="345"/>
  <c r="G392" i="345"/>
  <c r="F373" i="345"/>
  <c r="G371" i="345"/>
  <c r="F361" i="345"/>
  <c r="G359" i="345"/>
  <c r="G344" i="345"/>
  <c r="F340" i="345"/>
  <c r="E338" i="345"/>
  <c r="G331" i="345"/>
  <c r="G283" i="345"/>
  <c r="G278" i="345"/>
  <c r="E261" i="345"/>
  <c r="E244" i="345"/>
  <c r="E218" i="345"/>
  <c r="F214" i="345"/>
  <c r="G201" i="345"/>
  <c r="G152" i="345"/>
  <c r="F140" i="345"/>
  <c r="G132" i="345"/>
  <c r="G126" i="345"/>
  <c r="G120" i="345"/>
  <c r="G114" i="345"/>
  <c r="E107" i="345"/>
  <c r="F92" i="345"/>
  <c r="E88" i="345"/>
  <c r="G31" i="345"/>
  <c r="E25" i="345"/>
  <c r="F455" i="345"/>
  <c r="F448" i="345"/>
  <c r="F446" i="345"/>
  <c r="E430" i="345"/>
  <c r="F428" i="345"/>
  <c r="E426" i="345"/>
  <c r="E418" i="345"/>
  <c r="G413" i="345"/>
  <c r="E409" i="345"/>
  <c r="F379" i="345"/>
  <c r="F367" i="345"/>
  <c r="G365" i="345"/>
  <c r="G363" i="345"/>
  <c r="G350" i="345"/>
  <c r="E335" i="345"/>
  <c r="F313" i="345"/>
  <c r="G302" i="345"/>
  <c r="F291" i="345"/>
  <c r="E276" i="345"/>
  <c r="F265" i="345"/>
  <c r="G250" i="345"/>
  <c r="G248" i="345"/>
  <c r="F239" i="345"/>
  <c r="E220" i="345"/>
  <c r="F184" i="345"/>
  <c r="F180" i="345"/>
  <c r="F174" i="345"/>
  <c r="E157" i="345"/>
  <c r="F146" i="345"/>
  <c r="F102" i="345"/>
  <c r="F98" i="345"/>
  <c r="F81" i="345"/>
  <c r="F77" i="345"/>
  <c r="E70" i="345"/>
  <c r="G45" i="345"/>
  <c r="G39" i="345"/>
  <c r="G37" i="345"/>
  <c r="G18" i="345"/>
  <c r="G12" i="345"/>
  <c r="E468" i="345"/>
  <c r="E452" i="345"/>
  <c r="E448" i="345"/>
  <c r="G439" i="345"/>
  <c r="F424" i="345"/>
  <c r="G420" i="345"/>
  <c r="F413" i="345"/>
  <c r="F400" i="345"/>
  <c r="G385" i="345"/>
  <c r="E383" i="345"/>
  <c r="G381" i="345"/>
  <c r="E379" i="345"/>
  <c r="E367" i="345"/>
  <c r="F365" i="345"/>
  <c r="F350" i="345"/>
  <c r="E333" i="345"/>
  <c r="G322" i="345"/>
  <c r="E313" i="345"/>
  <c r="G304" i="345"/>
  <c r="E274" i="345"/>
  <c r="G265" i="345"/>
  <c r="G260" i="345"/>
  <c r="F250" i="345"/>
  <c r="E241" i="345"/>
  <c r="G209" i="345"/>
  <c r="G184" i="345"/>
  <c r="G154" i="345"/>
  <c r="E150" i="345"/>
  <c r="E98" i="345"/>
  <c r="G83" i="345"/>
  <c r="E77" i="345"/>
  <c r="F45" i="345"/>
  <c r="F39" i="345"/>
  <c r="F18" i="345"/>
  <c r="F12" i="345"/>
  <c r="F465" i="345"/>
  <c r="E450" i="345"/>
  <c r="F439" i="345"/>
  <c r="G437" i="345"/>
  <c r="F422" i="345"/>
  <c r="F408" i="345"/>
  <c r="F398" i="345"/>
  <c r="E396" i="345"/>
  <c r="F393" i="345"/>
  <c r="F385" i="345"/>
  <c r="G356" i="345"/>
  <c r="G352" i="345"/>
  <c r="F324" i="345"/>
  <c r="E321" i="345"/>
  <c r="E310" i="345"/>
  <c r="E308" i="345"/>
  <c r="E280" i="345"/>
  <c r="G269" i="345"/>
  <c r="G228" i="345"/>
  <c r="F211" i="345"/>
  <c r="F209" i="345"/>
  <c r="G190" i="345"/>
  <c r="F152" i="345"/>
  <c r="F83" i="345"/>
  <c r="G72" i="345"/>
  <c r="G53" i="345"/>
  <c r="G26" i="345"/>
  <c r="E461" i="345"/>
  <c r="G459" i="345"/>
  <c r="G452" i="345"/>
  <c r="E443" i="345"/>
  <c r="G441" i="345"/>
  <c r="F437" i="345"/>
  <c r="E435" i="345"/>
  <c r="E404" i="345"/>
  <c r="G402" i="345"/>
  <c r="G387" i="345"/>
  <c r="G354" i="345"/>
  <c r="G343" i="345"/>
  <c r="F341" i="345"/>
  <c r="E317" i="345"/>
  <c r="G299" i="345"/>
  <c r="G284" i="345"/>
  <c r="F217" i="345"/>
  <c r="G215" i="345"/>
  <c r="E211" i="345"/>
  <c r="F161" i="345"/>
  <c r="E154" i="345"/>
  <c r="G141" i="345"/>
  <c r="G139" i="345"/>
  <c r="G135" i="345"/>
  <c r="G127" i="345"/>
  <c r="G121" i="345"/>
  <c r="G111" i="345"/>
  <c r="G93" i="345"/>
  <c r="G89" i="345"/>
  <c r="E67" i="345"/>
  <c r="F53" i="345"/>
  <c r="E22" i="345"/>
  <c r="F472" i="345"/>
  <c r="E467" i="345"/>
  <c r="F454" i="345"/>
  <c r="F452" i="345"/>
  <c r="F433" i="345"/>
  <c r="G431" i="345"/>
  <c r="E419" i="345"/>
  <c r="E415" i="345"/>
  <c r="F389" i="345"/>
  <c r="F374" i="345"/>
  <c r="E372" i="345"/>
  <c r="E360" i="345"/>
  <c r="F351" i="345"/>
  <c r="F343" i="345"/>
  <c r="G341" i="345"/>
  <c r="F301" i="345"/>
  <c r="G296" i="345"/>
  <c r="F286" i="345"/>
  <c r="F284" i="345"/>
  <c r="G275" i="345"/>
  <c r="F260" i="345"/>
  <c r="F247" i="345"/>
  <c r="F245" i="345"/>
  <c r="G238" i="345"/>
  <c r="E217" i="345"/>
  <c r="F215" i="345"/>
  <c r="G198" i="345"/>
  <c r="G149" i="345"/>
  <c r="F141" i="345"/>
  <c r="F135" i="345"/>
  <c r="G129" i="345"/>
  <c r="G123" i="345"/>
  <c r="G117" i="345"/>
  <c r="F106" i="345"/>
  <c r="G95" i="345"/>
  <c r="F89" i="345"/>
  <c r="F78" i="345"/>
  <c r="E53" i="345"/>
  <c r="G40" i="345"/>
  <c r="G34" i="345"/>
  <c r="G463" i="345"/>
  <c r="E454" i="345"/>
  <c r="E449" i="345"/>
  <c r="F431" i="345"/>
  <c r="E429" i="345"/>
  <c r="F417" i="345"/>
  <c r="G410" i="345"/>
  <c r="G391" i="345"/>
  <c r="F370" i="345"/>
  <c r="G362" i="345"/>
  <c r="G347" i="345"/>
  <c r="G345" i="345"/>
  <c r="E343" i="345"/>
  <c r="E284" i="345"/>
  <c r="G247" i="345"/>
  <c r="F236" i="345"/>
  <c r="F198" i="345"/>
  <c r="F131" i="345"/>
  <c r="F129" i="345"/>
  <c r="F123" i="345"/>
  <c r="F117" i="345"/>
  <c r="F99" i="345"/>
  <c r="E89" i="345"/>
  <c r="F34" i="345"/>
  <c r="G30" i="345"/>
  <c r="G467" i="345"/>
  <c r="F456" i="345"/>
  <c r="F447" i="345"/>
  <c r="F427" i="345"/>
  <c r="G419" i="345"/>
  <c r="F410" i="345"/>
  <c r="G382" i="345"/>
  <c r="E380" i="345"/>
  <c r="G378" i="345"/>
  <c r="E370" i="345"/>
  <c r="E366" i="345"/>
  <c r="F362" i="345"/>
  <c r="F357" i="345"/>
  <c r="F347" i="345"/>
  <c r="G332" i="345"/>
  <c r="G305" i="345"/>
  <c r="E303" i="345"/>
  <c r="E294" i="345"/>
  <c r="F290" i="345"/>
  <c r="F268" i="345"/>
  <c r="G266" i="345"/>
  <c r="E247" i="345"/>
  <c r="E240" i="345"/>
  <c r="G208" i="345"/>
  <c r="G206" i="345"/>
  <c r="F179" i="345"/>
  <c r="F173" i="345"/>
  <c r="G153" i="345"/>
  <c r="F147" i="345"/>
  <c r="G101" i="345"/>
  <c r="E95" i="345"/>
  <c r="G82" i="345"/>
  <c r="G80" i="345"/>
  <c r="E64" i="345"/>
  <c r="F59" i="345"/>
  <c r="G456" i="345"/>
  <c r="G450" i="345"/>
  <c r="F450" i="345"/>
  <c r="F420" i="345"/>
  <c r="G412" i="345"/>
  <c r="F360" i="345"/>
  <c r="G316" i="345"/>
  <c r="G245" i="345"/>
  <c r="G461" i="345"/>
  <c r="E456" i="345"/>
  <c r="G443" i="345"/>
  <c r="E417" i="345"/>
  <c r="F409" i="345"/>
  <c r="G404" i="345"/>
  <c r="F391" i="345"/>
  <c r="G383" i="345"/>
  <c r="G377" i="345"/>
  <c r="F352" i="345"/>
  <c r="E341" i="345"/>
  <c r="E297" i="345"/>
  <c r="E279" i="345"/>
  <c r="F237" i="345"/>
  <c r="G472" i="345"/>
  <c r="E464" i="345"/>
  <c r="F459" i="345"/>
  <c r="F441" i="345"/>
  <c r="G436" i="345"/>
  <c r="G433" i="345"/>
  <c r="G430" i="345"/>
  <c r="G427" i="345"/>
  <c r="G424" i="345"/>
  <c r="E413" i="345"/>
  <c r="E410" i="345"/>
  <c r="E407" i="345"/>
  <c r="F405" i="345"/>
  <c r="F402" i="345"/>
  <c r="G400" i="345"/>
  <c r="G397" i="345"/>
  <c r="E392" i="345"/>
  <c r="E389" i="345"/>
  <c r="F387" i="345"/>
  <c r="F384" i="345"/>
  <c r="F381" i="345"/>
  <c r="F378" i="345"/>
  <c r="G373" i="345"/>
  <c r="G370" i="345"/>
  <c r="G367" i="345"/>
  <c r="E356" i="345"/>
  <c r="E353" i="345"/>
  <c r="E350" i="345"/>
  <c r="E347" i="345"/>
  <c r="F345" i="345"/>
  <c r="F333" i="345"/>
  <c r="E331" i="345"/>
  <c r="F327" i="345"/>
  <c r="E309" i="345"/>
  <c r="F302" i="345"/>
  <c r="E300" i="345"/>
  <c r="G280" i="345"/>
  <c r="E262" i="345"/>
  <c r="E258" i="345"/>
  <c r="F248" i="345"/>
  <c r="F240" i="345"/>
  <c r="E238" i="345"/>
  <c r="F230" i="345"/>
  <c r="F212" i="345"/>
  <c r="E208" i="345"/>
  <c r="F200" i="345"/>
  <c r="E165" i="345"/>
  <c r="G147" i="345"/>
  <c r="F122" i="345"/>
  <c r="E118" i="345"/>
  <c r="F118" i="345"/>
  <c r="E110" i="345"/>
  <c r="F110" i="345"/>
  <c r="G110" i="345"/>
  <c r="F96" i="345"/>
  <c r="E94" i="345"/>
  <c r="E90" i="345"/>
  <c r="G88" i="345"/>
  <c r="G75" i="345"/>
  <c r="E59" i="345"/>
  <c r="F11" i="345"/>
  <c r="F468" i="345"/>
  <c r="G409" i="345"/>
  <c r="F363" i="345"/>
  <c r="G355" i="345"/>
  <c r="G318" i="345"/>
  <c r="F463" i="345"/>
  <c r="G380" i="345"/>
  <c r="F355" i="345"/>
  <c r="G306" i="345"/>
  <c r="E205" i="345"/>
  <c r="E178" i="345"/>
  <c r="F178" i="345"/>
  <c r="E459" i="345"/>
  <c r="E441" i="345"/>
  <c r="E405" i="345"/>
  <c r="E402" i="345"/>
  <c r="E387" i="345"/>
  <c r="E384" i="345"/>
  <c r="E381" i="345"/>
  <c r="E378" i="345"/>
  <c r="E345" i="345"/>
  <c r="E327" i="345"/>
  <c r="F323" i="345"/>
  <c r="G323" i="345"/>
  <c r="E323" i="345"/>
  <c r="G321" i="345"/>
  <c r="G315" i="345"/>
  <c r="F307" i="345"/>
  <c r="E302" i="345"/>
  <c r="E264" i="345"/>
  <c r="F264" i="345"/>
  <c r="G264" i="345"/>
  <c r="G258" i="345"/>
  <c r="E248" i="345"/>
  <c r="E212" i="345"/>
  <c r="G165" i="345"/>
  <c r="E145" i="345"/>
  <c r="F137" i="345"/>
  <c r="E133" i="345"/>
  <c r="F133" i="345"/>
  <c r="G118" i="345"/>
  <c r="G103" i="345"/>
  <c r="G90" i="345"/>
  <c r="F22" i="345"/>
  <c r="G22" i="345"/>
  <c r="E292" i="345"/>
  <c r="F292" i="345"/>
  <c r="F219" i="345"/>
  <c r="G219" i="345"/>
  <c r="F183" i="345"/>
  <c r="G183" i="345"/>
  <c r="E175" i="345"/>
  <c r="F175" i="345"/>
  <c r="E46" i="345"/>
  <c r="F46" i="345"/>
  <c r="G336" i="345"/>
  <c r="G303" i="345"/>
  <c r="G294" i="345"/>
  <c r="G292" i="345"/>
  <c r="E282" i="345"/>
  <c r="F282" i="345"/>
  <c r="G282" i="345"/>
  <c r="G276" i="345"/>
  <c r="G241" i="345"/>
  <c r="E219" i="345"/>
  <c r="E183" i="345"/>
  <c r="G175" i="345"/>
  <c r="E127" i="345"/>
  <c r="F127" i="345"/>
  <c r="E99" i="345"/>
  <c r="G97" i="345"/>
  <c r="G84" i="345"/>
  <c r="G70" i="345"/>
  <c r="E68" i="345"/>
  <c r="F68" i="345"/>
  <c r="G68" i="345"/>
  <c r="G64" i="345"/>
  <c r="E62" i="345"/>
  <c r="F62" i="345"/>
  <c r="G62" i="345"/>
  <c r="G54" i="345"/>
  <c r="G46" i="345"/>
  <c r="E16" i="345"/>
  <c r="F16" i="345"/>
  <c r="E334" i="345"/>
  <c r="F334" i="345"/>
  <c r="E328" i="345"/>
  <c r="F328" i="345"/>
  <c r="E251" i="345"/>
  <c r="F251" i="345"/>
  <c r="G251" i="345"/>
  <c r="E213" i="345"/>
  <c r="F213" i="345"/>
  <c r="G213" i="345"/>
  <c r="E191" i="345"/>
  <c r="F191" i="345"/>
  <c r="G191" i="345"/>
  <c r="E142" i="345"/>
  <c r="F142" i="345"/>
  <c r="G107" i="345"/>
  <c r="E105" i="345"/>
  <c r="F105" i="345"/>
  <c r="G105" i="345"/>
  <c r="G99" i="345"/>
  <c r="F84" i="345"/>
  <c r="E82" i="345"/>
  <c r="E78" i="345"/>
  <c r="E76" i="345"/>
  <c r="F76" i="345"/>
  <c r="G76" i="345"/>
  <c r="F70" i="345"/>
  <c r="F64" i="345"/>
  <c r="F54" i="345"/>
  <c r="E52" i="345"/>
  <c r="E40" i="345"/>
  <c r="F40" i="345"/>
  <c r="E32" i="345"/>
  <c r="F32" i="345"/>
  <c r="G32" i="345"/>
  <c r="G235" i="345"/>
  <c r="E229" i="345"/>
  <c r="F229" i="345"/>
  <c r="E207" i="345"/>
  <c r="G205" i="345"/>
  <c r="E199" i="345"/>
  <c r="F199" i="345"/>
  <c r="G166" i="345"/>
  <c r="F156" i="345"/>
  <c r="G156" i="345"/>
  <c r="G150" i="345"/>
  <c r="G142" i="345"/>
  <c r="F125" i="345"/>
  <c r="E121" i="345"/>
  <c r="F121" i="345"/>
  <c r="F107" i="345"/>
  <c r="E97" i="345"/>
  <c r="E93" i="345"/>
  <c r="G91" i="345"/>
  <c r="G78" i="345"/>
  <c r="F14" i="345"/>
  <c r="E243" i="345"/>
  <c r="F243" i="345"/>
  <c r="G243" i="345"/>
  <c r="G237" i="345"/>
  <c r="G207" i="345"/>
  <c r="E156" i="345"/>
  <c r="F150" i="345"/>
  <c r="E148" i="345"/>
  <c r="E136" i="345"/>
  <c r="F136" i="345"/>
  <c r="F38" i="345"/>
  <c r="F119" i="345"/>
  <c r="E115" i="345"/>
  <c r="F115" i="345"/>
  <c r="F93" i="345"/>
  <c r="E91" i="345"/>
  <c r="E87" i="345"/>
  <c r="G85" i="345"/>
  <c r="G55" i="345"/>
  <c r="E49" i="345"/>
  <c r="F49" i="345"/>
  <c r="F27" i="345"/>
  <c r="G447" i="345"/>
  <c r="G417" i="345"/>
  <c r="F314" i="345"/>
  <c r="G314" i="345"/>
  <c r="G261" i="345"/>
  <c r="E447" i="345"/>
  <c r="E420" i="345"/>
  <c r="F412" i="345"/>
  <c r="G386" i="345"/>
  <c r="E363" i="345"/>
  <c r="F316" i="345"/>
  <c r="G471" i="345"/>
  <c r="E463" i="345"/>
  <c r="F461" i="345"/>
  <c r="F443" i="345"/>
  <c r="F440" i="345"/>
  <c r="G435" i="345"/>
  <c r="G432" i="345"/>
  <c r="G429" i="345"/>
  <c r="G426" i="345"/>
  <c r="G423" i="345"/>
  <c r="F404" i="345"/>
  <c r="G399" i="345"/>
  <c r="G396" i="345"/>
  <c r="E391" i="345"/>
  <c r="F386" i="345"/>
  <c r="F383" i="345"/>
  <c r="F380" i="345"/>
  <c r="F377" i="345"/>
  <c r="G375" i="345"/>
  <c r="G372" i="345"/>
  <c r="G369" i="345"/>
  <c r="G366" i="345"/>
  <c r="E352" i="345"/>
  <c r="E349" i="345"/>
  <c r="F344" i="345"/>
  <c r="F320" i="345"/>
  <c r="G320" i="345"/>
  <c r="E320" i="345"/>
  <c r="G312" i="345"/>
  <c r="F308" i="345"/>
  <c r="E306" i="345"/>
  <c r="F299" i="345"/>
  <c r="G297" i="345"/>
  <c r="E287" i="345"/>
  <c r="F287" i="345"/>
  <c r="G287" i="345"/>
  <c r="G279" i="345"/>
  <c r="E269" i="345"/>
  <c r="E245" i="345"/>
  <c r="G178" i="345"/>
  <c r="F168" i="345"/>
  <c r="E160" i="345"/>
  <c r="F160" i="345"/>
  <c r="F134" i="345"/>
  <c r="E130" i="345"/>
  <c r="F130" i="345"/>
  <c r="G115" i="345"/>
  <c r="E102" i="345"/>
  <c r="G100" i="345"/>
  <c r="G87" i="345"/>
  <c r="F55" i="345"/>
  <c r="G49" i="345"/>
  <c r="E27" i="345"/>
  <c r="E21" i="345"/>
  <c r="E19" i="345"/>
  <c r="F19" i="345"/>
  <c r="G453" i="345"/>
  <c r="G349" i="345"/>
  <c r="G301" i="345"/>
  <c r="E267" i="345"/>
  <c r="F267" i="345"/>
  <c r="G267" i="345"/>
  <c r="E453" i="345"/>
  <c r="G308" i="345"/>
  <c r="F261" i="345"/>
  <c r="E235" i="345"/>
  <c r="F471" i="345"/>
  <c r="G469" i="345"/>
  <c r="G454" i="345"/>
  <c r="G451" i="345"/>
  <c r="G448" i="345"/>
  <c r="E440" i="345"/>
  <c r="F435" i="345"/>
  <c r="F432" i="345"/>
  <c r="F429" i="345"/>
  <c r="F426" i="345"/>
  <c r="F423" i="345"/>
  <c r="G418" i="345"/>
  <c r="G415" i="345"/>
  <c r="F399" i="345"/>
  <c r="F396" i="345"/>
  <c r="F375" i="345"/>
  <c r="F372" i="345"/>
  <c r="F369" i="345"/>
  <c r="F366" i="345"/>
  <c r="G361" i="345"/>
  <c r="E344" i="345"/>
  <c r="G335" i="345"/>
  <c r="F306" i="345"/>
  <c r="F304" i="345"/>
  <c r="E299" i="345"/>
  <c r="F297" i="345"/>
  <c r="E295" i="345"/>
  <c r="E289" i="345"/>
  <c r="F289" i="345"/>
  <c r="F279" i="345"/>
  <c r="E277" i="345"/>
  <c r="G218" i="345"/>
  <c r="F216" i="345"/>
  <c r="G216" i="345"/>
  <c r="F176" i="345"/>
  <c r="E172" i="345"/>
  <c r="F172" i="345"/>
  <c r="E168" i="345"/>
  <c r="G160" i="345"/>
  <c r="E153" i="345"/>
  <c r="G151" i="345"/>
  <c r="G130" i="345"/>
  <c r="F113" i="345"/>
  <c r="E108" i="345"/>
  <c r="F108" i="345"/>
  <c r="G108" i="345"/>
  <c r="G102" i="345"/>
  <c r="F87" i="345"/>
  <c r="E85" i="345"/>
  <c r="E81" i="345"/>
  <c r="G79" i="345"/>
  <c r="E71" i="345"/>
  <c r="F71" i="345"/>
  <c r="G71" i="345"/>
  <c r="G67" i="345"/>
  <c r="E65" i="345"/>
  <c r="F65" i="345"/>
  <c r="G65" i="345"/>
  <c r="E63" i="345"/>
  <c r="G61" i="345"/>
  <c r="E55" i="345"/>
  <c r="F47" i="345"/>
  <c r="E43" i="345"/>
  <c r="F43" i="345"/>
  <c r="G21" i="345"/>
  <c r="G19" i="345"/>
  <c r="G468" i="345"/>
  <c r="F326" i="345"/>
  <c r="G326" i="345"/>
  <c r="E326" i="345"/>
  <c r="G310" i="345"/>
  <c r="E314" i="345"/>
  <c r="G295" i="345"/>
  <c r="F269" i="345"/>
  <c r="E259" i="345"/>
  <c r="F227" i="345"/>
  <c r="G342" i="345"/>
  <c r="E342" i="345"/>
  <c r="F335" i="345"/>
  <c r="E254" i="345"/>
  <c r="F254" i="345"/>
  <c r="G254" i="345"/>
  <c r="E232" i="345"/>
  <c r="F232" i="345"/>
  <c r="E224" i="345"/>
  <c r="F224" i="345"/>
  <c r="G224" i="345"/>
  <c r="E216" i="345"/>
  <c r="E202" i="345"/>
  <c r="F202" i="345"/>
  <c r="E194" i="345"/>
  <c r="F194" i="345"/>
  <c r="G194" i="345"/>
  <c r="E188" i="345"/>
  <c r="F188" i="345"/>
  <c r="G188" i="345"/>
  <c r="F128" i="345"/>
  <c r="E124" i="345"/>
  <c r="F124" i="345"/>
  <c r="E100" i="345"/>
  <c r="G69" i="345"/>
  <c r="F67" i="345"/>
  <c r="G63" i="345"/>
  <c r="F61" i="345"/>
  <c r="G59" i="345"/>
  <c r="F57" i="345"/>
  <c r="E35" i="345"/>
  <c r="F35" i="345"/>
  <c r="G35" i="345"/>
  <c r="E29" i="345"/>
  <c r="F29" i="345"/>
  <c r="G29" i="345"/>
  <c r="F17" i="345"/>
  <c r="E13" i="345"/>
  <c r="F13" i="345"/>
  <c r="E322" i="345"/>
  <c r="F322" i="345"/>
  <c r="G277" i="345"/>
  <c r="F207" i="345"/>
  <c r="F197" i="345"/>
  <c r="E166" i="345"/>
  <c r="G136" i="345"/>
  <c r="F342" i="345"/>
  <c r="G333" i="345"/>
  <c r="F329" i="345"/>
  <c r="G329" i="345"/>
  <c r="E329" i="345"/>
  <c r="E325" i="345"/>
  <c r="F325" i="345"/>
  <c r="F317" i="345"/>
  <c r="G317" i="345"/>
  <c r="G309" i="345"/>
  <c r="G300" i="345"/>
  <c r="G252" i="345"/>
  <c r="E246" i="345"/>
  <c r="F246" i="345"/>
  <c r="G246" i="345"/>
  <c r="G240" i="345"/>
  <c r="G232" i="345"/>
  <c r="G222" i="345"/>
  <c r="G202" i="345"/>
  <c r="G192" i="345"/>
  <c r="G186" i="345"/>
  <c r="E151" i="345"/>
  <c r="E147" i="345"/>
  <c r="G145" i="345"/>
  <c r="F143" i="345"/>
  <c r="E139" i="345"/>
  <c r="F139" i="345"/>
  <c r="G124" i="345"/>
  <c r="G96" i="345"/>
  <c r="E79" i="345"/>
  <c r="E75" i="345"/>
  <c r="E57" i="345"/>
  <c r="F41" i="345"/>
  <c r="E37" i="345"/>
  <c r="F37" i="345"/>
  <c r="G33" i="345"/>
  <c r="G13" i="345"/>
  <c r="F318" i="345"/>
  <c r="F315" i="345"/>
  <c r="F312" i="345"/>
  <c r="E290" i="345"/>
  <c r="E272" i="345"/>
  <c r="F255" i="345"/>
  <c r="F252" i="345"/>
  <c r="E233" i="345"/>
  <c r="E230" i="345"/>
  <c r="E227" i="345"/>
  <c r="F225" i="345"/>
  <c r="F222" i="345"/>
  <c r="G220" i="345"/>
  <c r="G217" i="345"/>
  <c r="G214" i="345"/>
  <c r="G211" i="345"/>
  <c r="E203" i="345"/>
  <c r="E200" i="345"/>
  <c r="E197" i="345"/>
  <c r="F195" i="345"/>
  <c r="F192" i="345"/>
  <c r="F189" i="345"/>
  <c r="F186" i="345"/>
  <c r="E179" i="345"/>
  <c r="E176" i="345"/>
  <c r="E173" i="345"/>
  <c r="E161" i="345"/>
  <c r="E143" i="345"/>
  <c r="E140" i="345"/>
  <c r="E137" i="345"/>
  <c r="E134" i="345"/>
  <c r="E131" i="345"/>
  <c r="E128" i="345"/>
  <c r="E125" i="345"/>
  <c r="E122" i="345"/>
  <c r="E119" i="345"/>
  <c r="E116" i="345"/>
  <c r="E113" i="345"/>
  <c r="F111" i="345"/>
  <c r="G106" i="345"/>
  <c r="F72" i="345"/>
  <c r="F69" i="345"/>
  <c r="F63" i="345"/>
  <c r="G58" i="345"/>
  <c r="E50" i="345"/>
  <c r="E47" i="345"/>
  <c r="E44" i="345"/>
  <c r="E41" i="345"/>
  <c r="E38" i="345"/>
  <c r="F33" i="345"/>
  <c r="F30" i="345"/>
  <c r="G25" i="345"/>
  <c r="E17" i="345"/>
  <c r="E14" i="345"/>
  <c r="E11" i="345"/>
  <c r="E318" i="345"/>
  <c r="E315" i="345"/>
  <c r="E312" i="345"/>
  <c r="E255" i="345"/>
  <c r="E252" i="345"/>
  <c r="E225" i="345"/>
  <c r="E222" i="345"/>
  <c r="E195" i="345"/>
  <c r="E192" i="345"/>
  <c r="E189" i="345"/>
  <c r="E186" i="345"/>
  <c r="E111" i="345"/>
  <c r="E72" i="345"/>
  <c r="E69" i="345"/>
  <c r="E66" i="345"/>
  <c r="E33" i="345"/>
  <c r="E30" i="345"/>
  <c r="G168" i="345"/>
  <c r="G57" i="345"/>
  <c r="G27" i="345"/>
  <c r="F331" i="345"/>
  <c r="F295" i="345"/>
  <c r="G290" i="345"/>
  <c r="F280" i="345"/>
  <c r="F277" i="345"/>
  <c r="F274" i="345"/>
  <c r="G272" i="345"/>
  <c r="F262" i="345"/>
  <c r="F259" i="345"/>
  <c r="F241" i="345"/>
  <c r="F238" i="345"/>
  <c r="F235" i="345"/>
  <c r="G233" i="345"/>
  <c r="G230" i="345"/>
  <c r="G227" i="345"/>
  <c r="F208" i="345"/>
  <c r="F205" i="345"/>
  <c r="G203" i="345"/>
  <c r="G200" i="345"/>
  <c r="G197" i="345"/>
  <c r="G179" i="345"/>
  <c r="G176" i="345"/>
  <c r="G173" i="345"/>
  <c r="F166" i="345"/>
  <c r="G161" i="345"/>
  <c r="F154" i="345"/>
  <c r="F151" i="345"/>
  <c r="F148" i="345"/>
  <c r="F145" i="345"/>
  <c r="G143" i="345"/>
  <c r="G140" i="345"/>
  <c r="G137" i="345"/>
  <c r="G134" i="345"/>
  <c r="G131" i="345"/>
  <c r="G128" i="345"/>
  <c r="G125" i="345"/>
  <c r="G122" i="345"/>
  <c r="G119" i="345"/>
  <c r="G116" i="345"/>
  <c r="G113" i="345"/>
  <c r="F103" i="345"/>
  <c r="F100" i="345"/>
  <c r="F97" i="345"/>
  <c r="F94" i="345"/>
  <c r="F91" i="345"/>
  <c r="F88" i="345"/>
  <c r="F85" i="345"/>
  <c r="F82" i="345"/>
  <c r="F79" i="345"/>
  <c r="F52" i="345"/>
  <c r="G50" i="345"/>
  <c r="G47" i="345"/>
  <c r="G44" i="345"/>
  <c r="G41" i="345"/>
  <c r="G38" i="345"/>
  <c r="G17" i="345"/>
  <c r="G14" i="345"/>
  <c r="G11" i="345"/>
  <c r="I666" i="340"/>
  <c r="J607" i="340"/>
  <c r="I638" i="340"/>
  <c r="I632" i="340"/>
  <c r="F642" i="340"/>
  <c r="G601" i="340"/>
  <c r="F670" i="340"/>
  <c r="E641" i="340"/>
  <c r="K395" i="340"/>
  <c r="F661" i="340"/>
  <c r="E629" i="340"/>
  <c r="G604" i="340"/>
  <c r="J640" i="340"/>
  <c r="I619" i="340"/>
  <c r="I650" i="340"/>
  <c r="J641" i="340"/>
  <c r="I620" i="340"/>
  <c r="G666" i="340"/>
  <c r="G627" i="340"/>
  <c r="E626" i="340"/>
  <c r="G621" i="340"/>
  <c r="F607" i="340"/>
  <c r="E606" i="340"/>
  <c r="J633" i="340"/>
  <c r="J629" i="340"/>
  <c r="I670" i="340"/>
  <c r="I643" i="340"/>
  <c r="G668" i="340"/>
  <c r="G652" i="340"/>
  <c r="F640" i="340"/>
  <c r="I613" i="340"/>
  <c r="J668" i="340"/>
  <c r="I633" i="340"/>
  <c r="K398" i="340"/>
  <c r="F395" i="340"/>
  <c r="F613" i="340"/>
  <c r="J616" i="340"/>
  <c r="K621" i="340"/>
  <c r="E659" i="340"/>
  <c r="G650" i="340"/>
  <c r="F599" i="340"/>
  <c r="E597" i="340"/>
  <c r="K375" i="340"/>
  <c r="G374" i="340"/>
  <c r="J645" i="340"/>
  <c r="I609" i="340"/>
  <c r="I595" i="340"/>
  <c r="I665" i="340"/>
  <c r="I661" i="340"/>
  <c r="K659" i="340"/>
  <c r="J654" i="340"/>
  <c r="I626" i="340"/>
  <c r="K623" i="340"/>
  <c r="I603" i="340"/>
  <c r="I601" i="340"/>
  <c r="E632" i="340"/>
  <c r="E623" i="340"/>
  <c r="I614" i="340"/>
  <c r="F609" i="340"/>
  <c r="I607" i="340"/>
  <c r="K609" i="340"/>
  <c r="E603" i="340"/>
  <c r="I600" i="340"/>
  <c r="J659" i="340"/>
  <c r="I623" i="340"/>
  <c r="G626" i="340"/>
  <c r="E666" i="340"/>
  <c r="I653" i="340"/>
  <c r="F628" i="340"/>
  <c r="K617" i="340"/>
  <c r="J664" i="340"/>
  <c r="I644" i="340"/>
  <c r="I660" i="340"/>
  <c r="E613" i="340"/>
  <c r="J609" i="340"/>
  <c r="E644" i="340"/>
  <c r="I642" i="340"/>
  <c r="J627" i="340"/>
  <c r="F668" i="340"/>
  <c r="I649" i="340"/>
  <c r="E649" i="340"/>
  <c r="J638" i="340"/>
  <c r="I634" i="340"/>
  <c r="J634" i="340"/>
  <c r="K633" i="340"/>
  <c r="I618" i="340"/>
  <c r="F400" i="340"/>
  <c r="J398" i="340"/>
  <c r="G398" i="340"/>
  <c r="J620" i="340"/>
  <c r="F652" i="340"/>
  <c r="K644" i="340"/>
  <c r="F633" i="340"/>
  <c r="G662" i="340"/>
  <c r="E643" i="340"/>
  <c r="I628" i="340"/>
  <c r="F399" i="340"/>
  <c r="K654" i="340"/>
  <c r="E611" i="340"/>
  <c r="I654" i="340"/>
  <c r="E653" i="340"/>
  <c r="F597" i="340"/>
  <c r="I592" i="340"/>
  <c r="K596" i="340"/>
  <c r="F620" i="340"/>
  <c r="K599" i="340"/>
  <c r="E667" i="340"/>
  <c r="I655" i="340"/>
  <c r="G670" i="340"/>
  <c r="I605" i="340"/>
  <c r="I604" i="340"/>
  <c r="J600" i="340"/>
  <c r="G595" i="340"/>
  <c r="G606" i="340"/>
  <c r="F375" i="340"/>
  <c r="I627" i="340"/>
  <c r="I596" i="340"/>
  <c r="J595" i="340"/>
  <c r="F593" i="340"/>
  <c r="I667" i="340"/>
  <c r="I652" i="340"/>
  <c r="E650" i="340"/>
  <c r="E630" i="340"/>
  <c r="E601" i="340"/>
  <c r="K593" i="340"/>
  <c r="K591" i="340"/>
  <c r="G634" i="340"/>
  <c r="I630" i="340"/>
  <c r="G618" i="340"/>
  <c r="I668" i="340"/>
  <c r="E661" i="340"/>
  <c r="G654" i="340"/>
  <c r="E633" i="340"/>
  <c r="G628" i="340"/>
  <c r="E621" i="340"/>
  <c r="I611" i="340"/>
  <c r="I398" i="340"/>
  <c r="F671" i="340"/>
  <c r="G671" i="340"/>
  <c r="E671" i="340"/>
  <c r="J662" i="340"/>
  <c r="I662" i="340"/>
  <c r="K662" i="340"/>
  <c r="J655" i="340"/>
  <c r="J670" i="340"/>
  <c r="K671" i="340"/>
  <c r="J671" i="340"/>
  <c r="F645" i="340"/>
  <c r="G645" i="340"/>
  <c r="E645" i="340"/>
  <c r="J658" i="340"/>
  <c r="I664" i="340"/>
  <c r="K664" i="340"/>
  <c r="E660" i="340"/>
  <c r="G660" i="340"/>
  <c r="F660" i="340"/>
  <c r="I648" i="340"/>
  <c r="J648" i="340"/>
  <c r="K648" i="340"/>
  <c r="E637" i="340"/>
  <c r="F637" i="340"/>
  <c r="G637" i="340"/>
  <c r="E664" i="340"/>
  <c r="F664" i="340"/>
  <c r="G664" i="340"/>
  <c r="E648" i="340"/>
  <c r="F648" i="340"/>
  <c r="G648" i="340"/>
  <c r="J660" i="340"/>
  <c r="K660" i="340"/>
  <c r="I658" i="340"/>
  <c r="I637" i="340"/>
  <c r="J637" i="340"/>
  <c r="K637" i="340"/>
  <c r="J665" i="340"/>
  <c r="J652" i="340"/>
  <c r="K652" i="340"/>
  <c r="J649" i="340"/>
  <c r="F654" i="340"/>
  <c r="G643" i="340"/>
  <c r="K641" i="340"/>
  <c r="K634" i="340"/>
  <c r="J621" i="340"/>
  <c r="E620" i="340"/>
  <c r="E618" i="340"/>
  <c r="F617" i="340"/>
  <c r="G617" i="340"/>
  <c r="G599" i="340"/>
  <c r="F595" i="340"/>
  <c r="E593" i="340"/>
  <c r="E592" i="340"/>
  <c r="J397" i="340"/>
  <c r="K397" i="340"/>
  <c r="F397" i="340"/>
  <c r="G397" i="340"/>
  <c r="I397" i="340"/>
  <c r="E658" i="340"/>
  <c r="F658" i="340"/>
  <c r="F643" i="340"/>
  <c r="J632" i="340"/>
  <c r="K632" i="340"/>
  <c r="I621" i="340"/>
  <c r="J619" i="340"/>
  <c r="J610" i="340"/>
  <c r="K610" i="340"/>
  <c r="E595" i="340"/>
  <c r="K592" i="340"/>
  <c r="J592" i="340"/>
  <c r="G395" i="340"/>
  <c r="E395" i="340"/>
  <c r="K655" i="340"/>
  <c r="F621" i="340"/>
  <c r="F610" i="340"/>
  <c r="G610" i="340"/>
  <c r="E610" i="340"/>
  <c r="I591" i="340"/>
  <c r="I645" i="340"/>
  <c r="F601" i="340"/>
  <c r="I597" i="340"/>
  <c r="K597" i="340"/>
  <c r="F666" i="340"/>
  <c r="J667" i="340"/>
  <c r="F662" i="340"/>
  <c r="I659" i="340"/>
  <c r="K658" i="340"/>
  <c r="F655" i="340"/>
  <c r="G655" i="340"/>
  <c r="E655" i="340"/>
  <c r="E642" i="340"/>
  <c r="K649" i="340"/>
  <c r="J642" i="340"/>
  <c r="K642" i="340"/>
  <c r="F623" i="340"/>
  <c r="J644" i="340"/>
  <c r="G632" i="340"/>
  <c r="J617" i="340"/>
  <c r="G592" i="340"/>
  <c r="E670" i="340"/>
  <c r="K668" i="340"/>
  <c r="F667" i="340"/>
  <c r="K665" i="340"/>
  <c r="G661" i="340"/>
  <c r="G658" i="340"/>
  <c r="G653" i="340"/>
  <c r="J650" i="340"/>
  <c r="K650" i="340"/>
  <c r="J643" i="340"/>
  <c r="K643" i="340"/>
  <c r="E640" i="340"/>
  <c r="G640" i="340"/>
  <c r="F632" i="340"/>
  <c r="F629" i="340"/>
  <c r="G629" i="340"/>
  <c r="E627" i="340"/>
  <c r="F627" i="340"/>
  <c r="J622" i="340"/>
  <c r="K622" i="340"/>
  <c r="I617" i="340"/>
  <c r="E607" i="340"/>
  <c r="J605" i="340"/>
  <c r="K605" i="340"/>
  <c r="G603" i="340"/>
  <c r="E600" i="340"/>
  <c r="F600" i="340"/>
  <c r="G600" i="340"/>
  <c r="F592" i="340"/>
  <c r="E638" i="340"/>
  <c r="F638" i="340"/>
  <c r="G638" i="340"/>
  <c r="K638" i="340"/>
  <c r="K614" i="340"/>
  <c r="F606" i="340"/>
  <c r="E599" i="340"/>
  <c r="K595" i="340"/>
  <c r="G667" i="340"/>
  <c r="K619" i="340"/>
  <c r="J596" i="340"/>
  <c r="I671" i="340"/>
  <c r="K670" i="340"/>
  <c r="K661" i="340"/>
  <c r="F653" i="340"/>
  <c r="G644" i="340"/>
  <c r="I641" i="340"/>
  <c r="I640" i="340"/>
  <c r="K640" i="340"/>
  <c r="K629" i="340"/>
  <c r="K627" i="340"/>
  <c r="E617" i="340"/>
  <c r="J614" i="340"/>
  <c r="E609" i="340"/>
  <c r="K607" i="340"/>
  <c r="F603" i="340"/>
  <c r="K600" i="340"/>
  <c r="G400" i="340"/>
  <c r="K667" i="340"/>
  <c r="E596" i="340"/>
  <c r="F596" i="340"/>
  <c r="G596" i="340"/>
  <c r="G619" i="340"/>
  <c r="E619" i="340"/>
  <c r="F619" i="340"/>
  <c r="E668" i="340"/>
  <c r="F665" i="340"/>
  <c r="G665" i="340"/>
  <c r="J666" i="340"/>
  <c r="K666" i="340"/>
  <c r="E665" i="340"/>
  <c r="J661" i="340"/>
  <c r="E654" i="340"/>
  <c r="E652" i="340"/>
  <c r="F644" i="340"/>
  <c r="G642" i="340"/>
  <c r="F622" i="340"/>
  <c r="E622" i="340"/>
  <c r="G622" i="340"/>
  <c r="K616" i="340"/>
  <c r="I610" i="340"/>
  <c r="G605" i="340"/>
  <c r="E605" i="340"/>
  <c r="F605" i="340"/>
  <c r="E397" i="340"/>
  <c r="K396" i="340"/>
  <c r="E396" i="340"/>
  <c r="F396" i="340"/>
  <c r="I396" i="340"/>
  <c r="G396" i="340"/>
  <c r="J396" i="340"/>
  <c r="K618" i="340"/>
  <c r="J613" i="340"/>
  <c r="G611" i="340"/>
  <c r="I606" i="340"/>
  <c r="J606" i="340"/>
  <c r="J604" i="340"/>
  <c r="J601" i="340"/>
  <c r="K601" i="340"/>
  <c r="J593" i="340"/>
  <c r="G591" i="340"/>
  <c r="F630" i="340"/>
  <c r="G630" i="340"/>
  <c r="J628" i="340"/>
  <c r="K628" i="340"/>
  <c r="J618" i="340"/>
  <c r="F616" i="340"/>
  <c r="G616" i="340"/>
  <c r="K611" i="340"/>
  <c r="G607" i="340"/>
  <c r="I593" i="340"/>
  <c r="J653" i="340"/>
  <c r="K653" i="340"/>
  <c r="F650" i="340"/>
  <c r="K645" i="340"/>
  <c r="G633" i="340"/>
  <c r="J630" i="340"/>
  <c r="K630" i="340"/>
  <c r="J626" i="340"/>
  <c r="K626" i="340"/>
  <c r="G620" i="340"/>
  <c r="G613" i="340"/>
  <c r="G609" i="340"/>
  <c r="E604" i="340"/>
  <c r="F604" i="340"/>
  <c r="G593" i="340"/>
  <c r="F591" i="340"/>
  <c r="F641" i="340"/>
  <c r="G641" i="340"/>
  <c r="E634" i="340"/>
  <c r="F634" i="340"/>
  <c r="E628" i="340"/>
  <c r="E616" i="340"/>
  <c r="K613" i="340"/>
  <c r="F611" i="340"/>
  <c r="K604" i="340"/>
  <c r="E591" i="340"/>
  <c r="I400" i="340"/>
  <c r="J400" i="340"/>
  <c r="E400" i="340"/>
  <c r="I399" i="340"/>
  <c r="J399" i="340"/>
  <c r="K399" i="340"/>
  <c r="I629" i="340"/>
  <c r="I622" i="340"/>
  <c r="I616" i="340"/>
  <c r="J603" i="340"/>
  <c r="K603" i="340"/>
  <c r="G375" i="340"/>
  <c r="E375" i="340"/>
  <c r="E662" i="340"/>
  <c r="F659" i="340"/>
  <c r="G659" i="340"/>
  <c r="F649" i="340"/>
  <c r="G649" i="340"/>
  <c r="F618" i="340"/>
  <c r="E614" i="340"/>
  <c r="F614" i="340"/>
  <c r="G614" i="340"/>
  <c r="J599" i="340"/>
  <c r="J591" i="340"/>
  <c r="E398" i="340"/>
  <c r="F398" i="340"/>
  <c r="I374" i="340"/>
  <c r="J374" i="340"/>
  <c r="K374" i="340"/>
  <c r="F626" i="340"/>
  <c r="J623" i="340"/>
  <c r="K620" i="340"/>
  <c r="I599" i="340"/>
  <c r="J597" i="340"/>
  <c r="K400" i="340"/>
  <c r="J611" i="340"/>
  <c r="K606" i="340"/>
  <c r="G399" i="340"/>
  <c r="E374" i="340"/>
  <c r="F374" i="340"/>
  <c r="G623" i="340"/>
  <c r="G597" i="340"/>
  <c r="E399" i="340"/>
  <c r="I395" i="340"/>
  <c r="J395" i="340"/>
  <c r="I375" i="340"/>
  <c r="J375" i="340"/>
  <c r="N15" i="349" l="1"/>
  <c r="N32" i="349" s="1"/>
  <c r="N48" i="349" s="1"/>
  <c r="L15" i="348"/>
  <c r="L32" i="348" s="1"/>
  <c r="L48" i="348" s="1"/>
  <c r="N15" i="348"/>
  <c r="N32" i="348" s="1"/>
  <c r="N48" i="348" s="1"/>
  <c r="L15" i="349"/>
  <c r="L32" i="349" s="1"/>
  <c r="L48" i="349" s="1"/>
  <c r="P15" i="349"/>
  <c r="P32" i="349" s="1"/>
  <c r="P48" i="349" s="1"/>
  <c r="C79" i="349" s="1"/>
  <c r="J15" i="348"/>
  <c r="J32" i="348" s="1"/>
  <c r="J48" i="348" s="1"/>
  <c r="C79" i="348"/>
  <c r="C78" i="348"/>
  <c r="C77" i="348"/>
  <c r="P15" i="347"/>
  <c r="P32" i="347" s="1"/>
  <c r="N15" i="347"/>
  <c r="N32" i="347" s="1"/>
  <c r="J15" i="347"/>
  <c r="J32" i="347" s="1"/>
  <c r="H15" i="347"/>
  <c r="L15" i="347"/>
  <c r="L32" i="347" s="1"/>
  <c r="J44" i="347"/>
  <c r="L44" i="347"/>
  <c r="P44" i="347"/>
  <c r="H44" i="347"/>
  <c r="N44" i="347"/>
  <c r="H21" i="347"/>
  <c r="H30" i="347" s="1"/>
  <c r="D27" i="290"/>
  <c r="D26" i="290"/>
  <c r="D25" i="290"/>
  <c r="D24" i="290"/>
  <c r="C26" i="290"/>
  <c r="C25" i="290"/>
  <c r="C24" i="290"/>
  <c r="C23" i="290"/>
  <c r="D23" i="290"/>
  <c r="D22" i="290"/>
  <c r="D17" i="290"/>
  <c r="D16" i="290"/>
  <c r="D15" i="290"/>
  <c r="C16" i="290"/>
  <c r="C15" i="290"/>
  <c r="C14" i="290"/>
  <c r="D13" i="290"/>
  <c r="D6" i="290"/>
  <c r="D7" i="290"/>
  <c r="C5" i="290"/>
  <c r="D9" i="290"/>
  <c r="C8" i="290"/>
  <c r="D8" i="290"/>
  <c r="D5" i="290"/>
  <c r="C84" i="348" l="1"/>
  <c r="C77" i="349"/>
  <c r="C78" i="349"/>
  <c r="H32" i="347"/>
  <c r="H48" i="347" s="1"/>
  <c r="L48" i="347"/>
  <c r="J48" i="347"/>
  <c r="N48" i="347"/>
  <c r="P48" i="347"/>
  <c r="D14" i="290"/>
  <c r="C246" i="299"/>
  <c r="C245" i="299"/>
  <c r="C244" i="299"/>
  <c r="C243" i="299"/>
  <c r="C242" i="299"/>
  <c r="C241" i="299"/>
  <c r="C240" i="299"/>
  <c r="C239" i="299"/>
  <c r="C238" i="299"/>
  <c r="C237" i="299"/>
  <c r="C236" i="299"/>
  <c r="C235" i="299"/>
  <c r="C234" i="299"/>
  <c r="C233" i="299"/>
  <c r="C232" i="299"/>
  <c r="C231" i="299"/>
  <c r="C230" i="299"/>
  <c r="C229" i="299"/>
  <c r="C228" i="299"/>
  <c r="C226" i="299"/>
  <c r="C225" i="299"/>
  <c r="C224" i="299"/>
  <c r="C223" i="299"/>
  <c r="C222" i="299"/>
  <c r="C221" i="299"/>
  <c r="C220" i="299"/>
  <c r="C219" i="299"/>
  <c r="C218" i="299"/>
  <c r="C217" i="299"/>
  <c r="C216" i="299"/>
  <c r="C215" i="299"/>
  <c r="C214" i="299"/>
  <c r="C213" i="299"/>
  <c r="C212" i="299"/>
  <c r="C211" i="299"/>
  <c r="C205" i="299"/>
  <c r="C204" i="299"/>
  <c r="C203" i="299"/>
  <c r="C202" i="299"/>
  <c r="C201" i="299"/>
  <c r="C200" i="299"/>
  <c r="C199" i="299"/>
  <c r="C198" i="299"/>
  <c r="C197" i="299"/>
  <c r="C196" i="299"/>
  <c r="C195" i="299"/>
  <c r="C194" i="299"/>
  <c r="C193" i="299"/>
  <c r="C192" i="299"/>
  <c r="C191" i="299"/>
  <c r="C190" i="299"/>
  <c r="C189" i="299"/>
  <c r="C188" i="299"/>
  <c r="C187" i="299"/>
  <c r="C186" i="299"/>
  <c r="C185" i="299"/>
  <c r="C184" i="299"/>
  <c r="C183" i="299"/>
  <c r="C182" i="299"/>
  <c r="C181" i="299"/>
  <c r="C180" i="299"/>
  <c r="C179" i="299"/>
  <c r="C177" i="299"/>
  <c r="C142" i="299"/>
  <c r="C141" i="299"/>
  <c r="C140" i="299"/>
  <c r="C139" i="299"/>
  <c r="C138" i="299"/>
  <c r="C137" i="299"/>
  <c r="C136" i="299"/>
  <c r="C135" i="299"/>
  <c r="C134" i="299"/>
  <c r="C133" i="299"/>
  <c r="C84" i="349" l="1"/>
  <c r="C78" i="347"/>
  <c r="C77" i="347"/>
  <c r="C79" i="347"/>
  <c r="E17" i="290"/>
  <c r="J16" i="290"/>
  <c r="J15" i="290"/>
  <c r="E9" i="290"/>
  <c r="J14" i="290"/>
  <c r="J13" i="290"/>
  <c r="E7" i="290"/>
  <c r="E6" i="290"/>
  <c r="J67" i="289"/>
  <c r="H66" i="289"/>
  <c r="I66" i="289" s="1"/>
  <c r="H65" i="289"/>
  <c r="I65" i="289" s="1"/>
  <c r="H64" i="289"/>
  <c r="I64" i="289" s="1"/>
  <c r="H63" i="289"/>
  <c r="I63" i="289" s="1"/>
  <c r="H62" i="289"/>
  <c r="I62" i="289" s="1"/>
  <c r="J59" i="289"/>
  <c r="H58" i="289"/>
  <c r="I58" i="289" s="1"/>
  <c r="I57" i="289"/>
  <c r="H57" i="289"/>
  <c r="H56" i="289"/>
  <c r="I56" i="289" s="1"/>
  <c r="I55" i="289"/>
  <c r="H55" i="289"/>
  <c r="H54" i="289"/>
  <c r="I54" i="289" s="1"/>
  <c r="H53" i="289"/>
  <c r="I53" i="289" s="1"/>
  <c r="H52" i="289"/>
  <c r="I52" i="289" s="1"/>
  <c r="I51" i="289"/>
  <c r="H51" i="289"/>
  <c r="H59" i="289" s="1"/>
  <c r="J48" i="289"/>
  <c r="I47" i="289"/>
  <c r="H47" i="289"/>
  <c r="I46" i="289"/>
  <c r="H46" i="289"/>
  <c r="H45" i="289"/>
  <c r="I45" i="289" s="1"/>
  <c r="I44" i="289"/>
  <c r="H44" i="289"/>
  <c r="H43" i="289"/>
  <c r="I43" i="289" s="1"/>
  <c r="I42" i="289"/>
  <c r="H42" i="289"/>
  <c r="H48" i="289" s="1"/>
  <c r="J39" i="289"/>
  <c r="H38" i="289"/>
  <c r="I38" i="289" s="1"/>
  <c r="H37" i="289"/>
  <c r="I37" i="289" s="1"/>
  <c r="I36" i="289"/>
  <c r="H36" i="289"/>
  <c r="H35" i="289"/>
  <c r="I35" i="289" s="1"/>
  <c r="I34" i="289"/>
  <c r="H34" i="289"/>
  <c r="H33" i="289"/>
  <c r="I32" i="289"/>
  <c r="H32" i="289"/>
  <c r="H31" i="289"/>
  <c r="H39" i="289" s="1"/>
  <c r="J28" i="289"/>
  <c r="H27" i="289"/>
  <c r="I27" i="289" s="1"/>
  <c r="I26" i="289"/>
  <c r="H26" i="289"/>
  <c r="I25" i="289"/>
  <c r="H24" i="289"/>
  <c r="I24" i="289" s="1"/>
  <c r="H23" i="289"/>
  <c r="I23" i="289" s="1"/>
  <c r="I22" i="289"/>
  <c r="H21" i="289"/>
  <c r="H28" i="289" s="1"/>
  <c r="J18" i="289"/>
  <c r="I17" i="289"/>
  <c r="H17" i="289"/>
  <c r="I16" i="289"/>
  <c r="I15" i="289"/>
  <c r="H18" i="289"/>
  <c r="J12" i="289"/>
  <c r="J68" i="289" s="1"/>
  <c r="I12" i="289"/>
  <c r="H12" i="289"/>
  <c r="I11" i="289"/>
  <c r="H11" i="289"/>
  <c r="C84" i="347" l="1"/>
  <c r="I18" i="289"/>
  <c r="E5" i="290"/>
  <c r="K16" i="290"/>
  <c r="L16" i="290" s="1"/>
  <c r="E16" i="290"/>
  <c r="E15" i="290"/>
  <c r="K14" i="290"/>
  <c r="L14" i="290" s="1"/>
  <c r="E8" i="290"/>
  <c r="C13" i="290"/>
  <c r="E13" i="290" s="1"/>
  <c r="E24" i="290"/>
  <c r="E23" i="290"/>
  <c r="K15" i="290"/>
  <c r="L15" i="290" s="1"/>
  <c r="E14" i="290"/>
  <c r="K13" i="290"/>
  <c r="L13" i="290" s="1"/>
  <c r="H68" i="289"/>
  <c r="I67" i="289"/>
  <c r="I59" i="289"/>
  <c r="I48" i="289"/>
  <c r="I21" i="289"/>
  <c r="I28" i="289" s="1"/>
  <c r="I31" i="289"/>
  <c r="I39" i="289" s="1"/>
  <c r="H67" i="289"/>
  <c r="F11" i="290" l="1"/>
  <c r="I68" i="289"/>
  <c r="F19" i="290"/>
  <c r="C27" i="290"/>
  <c r="E27" i="290" s="1"/>
  <c r="C22" i="290" l="1"/>
  <c r="E22" i="290" s="1"/>
  <c r="F31" i="290" s="1"/>
  <c r="T103" i="340"/>
  <c r="T309" i="340"/>
  <c r="T70" i="340"/>
  <c r="T28" i="340"/>
  <c r="T116" i="340"/>
  <c r="T197" i="340"/>
  <c r="T236" i="340"/>
  <c r="T578" i="340"/>
  <c r="T426" i="340"/>
  <c r="T515" i="340"/>
  <c r="T318" i="340"/>
  <c r="T432" i="340"/>
  <c r="T417" i="340"/>
  <c r="T551" i="340"/>
  <c r="T523" i="340"/>
  <c r="T542" i="340"/>
  <c r="T337" i="340"/>
  <c r="T244" i="340"/>
  <c r="T82" i="340"/>
  <c r="T23" i="340"/>
  <c r="T256" i="340"/>
  <c r="T210" i="340"/>
  <c r="T516" i="340"/>
  <c r="T553" i="340"/>
  <c r="T566" i="340"/>
  <c r="T555" i="340"/>
  <c r="T452" i="340"/>
  <c r="T29" i="340"/>
  <c r="T49" i="340"/>
  <c r="T230" i="340"/>
  <c r="T350" i="340"/>
  <c r="T311" i="340"/>
  <c r="P535" i="340"/>
  <c r="T119" i="340"/>
  <c r="T56" i="340"/>
  <c r="T151" i="340"/>
  <c r="P13" i="340"/>
  <c r="T44" i="340"/>
  <c r="P145" i="340"/>
  <c r="P141" i="340"/>
  <c r="T181" i="340"/>
  <c r="T285" i="340"/>
  <c r="T222" i="340"/>
  <c r="P28" i="340"/>
  <c r="T146" i="340"/>
  <c r="P39" i="340"/>
  <c r="T85" i="340"/>
  <c r="T143" i="340"/>
  <c r="T178" i="340"/>
  <c r="P100" i="340"/>
  <c r="T235" i="340"/>
  <c r="T294" i="340"/>
  <c r="P279" i="340"/>
  <c r="P308" i="340"/>
  <c r="T363" i="340"/>
  <c r="P200" i="340"/>
  <c r="T301" i="340"/>
  <c r="T559" i="340"/>
  <c r="P294" i="340"/>
  <c r="T172" i="340"/>
  <c r="T427" i="340"/>
  <c r="T521" i="340"/>
  <c r="T182" i="340"/>
  <c r="T330" i="340"/>
  <c r="T392" i="340"/>
  <c r="P338" i="340"/>
  <c r="P467" i="340"/>
  <c r="P380" i="340"/>
  <c r="P490" i="340"/>
  <c r="P377" i="340"/>
  <c r="N516" i="340"/>
  <c r="T535" i="340"/>
  <c r="P416" i="340"/>
  <c r="P566" i="340"/>
  <c r="P459" i="340"/>
  <c r="N496" i="340"/>
  <c r="T582" i="340"/>
  <c r="T366" i="340"/>
  <c r="T114" i="340"/>
  <c r="T279" i="340"/>
  <c r="T281" i="340"/>
  <c r="T217" i="340"/>
  <c r="T47" i="340"/>
  <c r="T381" i="340"/>
  <c r="T543" i="340"/>
  <c r="T527" i="340"/>
  <c r="P524" i="340"/>
  <c r="N358" i="340"/>
  <c r="T481" i="340"/>
  <c r="T380" i="340"/>
  <c r="T462" i="340"/>
  <c r="T570" i="340"/>
  <c r="T145" i="340"/>
  <c r="T560" i="340"/>
  <c r="T51" i="340"/>
  <c r="T205" i="340"/>
  <c r="P117" i="340"/>
  <c r="T234" i="340"/>
  <c r="T185" i="340"/>
  <c r="N264" i="340"/>
  <c r="T557" i="340"/>
  <c r="T422" i="340"/>
  <c r="T121" i="340"/>
  <c r="T313" i="340"/>
  <c r="N36" i="340"/>
  <c r="T39" i="340"/>
  <c r="T45" i="340"/>
  <c r="Z394" i="340"/>
  <c r="M23" i="349" s="1"/>
  <c r="V394" i="340"/>
  <c r="T66" i="340"/>
  <c r="P50" i="340"/>
  <c r="P286" i="340"/>
  <c r="T528" i="340"/>
  <c r="T449" i="340"/>
  <c r="T367" i="340"/>
  <c r="T266" i="340"/>
  <c r="T107" i="340"/>
  <c r="T280" i="340"/>
  <c r="N93" i="340"/>
  <c r="T572" i="340"/>
  <c r="T101" i="340"/>
  <c r="T323" i="340"/>
  <c r="T548" i="340"/>
  <c r="T48" i="340"/>
  <c r="T460" i="340"/>
  <c r="N106" i="340"/>
  <c r="T409" i="340"/>
  <c r="P21" i="340"/>
  <c r="T11" i="340"/>
  <c r="T18" i="340"/>
  <c r="P121" i="340"/>
  <c r="T59" i="340"/>
  <c r="P30" i="340"/>
  <c r="T72" i="340"/>
  <c r="N77" i="340"/>
  <c r="T257" i="340"/>
  <c r="P45" i="340"/>
  <c r="T180" i="340"/>
  <c r="P128" i="340"/>
  <c r="T170" i="340"/>
  <c r="T265" i="340"/>
  <c r="P211" i="340"/>
  <c r="T152" i="340"/>
  <c r="P82" i="340"/>
  <c r="T129" i="340"/>
  <c r="N234" i="340"/>
  <c r="P55" i="340"/>
  <c r="T310" i="340"/>
  <c r="T200" i="340"/>
  <c r="N216" i="340"/>
  <c r="N249" i="340"/>
  <c r="N235" i="340"/>
  <c r="P310" i="340"/>
  <c r="N386" i="340"/>
  <c r="N352" i="340"/>
  <c r="P209" i="340"/>
  <c r="P475" i="340"/>
  <c r="P239" i="340"/>
  <c r="T434" i="340"/>
  <c r="N588" i="340"/>
  <c r="P461" i="340"/>
  <c r="P261" i="340"/>
  <c r="P382" i="340"/>
  <c r="T467" i="340"/>
  <c r="P486" i="340"/>
  <c r="N579" i="340"/>
  <c r="P314" i="340"/>
  <c r="P426" i="340"/>
  <c r="P501" i="340"/>
  <c r="P557" i="340"/>
  <c r="T490" i="340"/>
  <c r="T459" i="340"/>
  <c r="P435" i="340"/>
  <c r="N294" i="340"/>
  <c r="T356" i="340"/>
  <c r="N392" i="340"/>
  <c r="N580" i="340"/>
  <c r="P419" i="340"/>
  <c r="P34" i="340"/>
  <c r="T583" i="340"/>
  <c r="T369" i="340"/>
  <c r="T97" i="340"/>
  <c r="N171" i="340"/>
  <c r="P178" i="340"/>
  <c r="T88" i="340"/>
  <c r="P283" i="340"/>
  <c r="P445" i="340"/>
  <c r="T228" i="340"/>
  <c r="T436" i="340"/>
  <c r="P230" i="340"/>
  <c r="P531" i="340"/>
  <c r="T502" i="340"/>
  <c r="N391" i="340"/>
  <c r="T525" i="340"/>
  <c r="T474" i="340"/>
  <c r="T470" i="340"/>
  <c r="T562" i="340"/>
  <c r="T461" i="340"/>
  <c r="N19" i="340"/>
  <c r="T524" i="340"/>
  <c r="T93" i="340"/>
  <c r="N80" i="340"/>
  <c r="T352" i="340"/>
  <c r="T498" i="340"/>
  <c r="T573" i="340"/>
  <c r="T450" i="340"/>
  <c r="T122" i="340"/>
  <c r="T386" i="340"/>
  <c r="N366" i="340"/>
  <c r="T134" i="340"/>
  <c r="T213" i="340"/>
  <c r="T429" i="340"/>
  <c r="P383" i="340"/>
  <c r="T547" i="340"/>
  <c r="T442" i="340"/>
  <c r="T127" i="340"/>
  <c r="T191" i="340"/>
  <c r="T80" i="340"/>
  <c r="T12" i="340"/>
  <c r="P29" i="340"/>
  <c r="N85" i="340"/>
  <c r="T36" i="340"/>
  <c r="N56" i="340"/>
  <c r="P89" i="340"/>
  <c r="P67" i="340"/>
  <c r="P224" i="340"/>
  <c r="T124" i="340"/>
  <c r="N61" i="340"/>
  <c r="T63" i="340"/>
  <c r="N50" i="340"/>
  <c r="P68" i="340"/>
  <c r="T141" i="340"/>
  <c r="T8" i="340"/>
  <c r="T199" i="340"/>
  <c r="P37" i="340"/>
  <c r="N129" i="340"/>
  <c r="T136" i="340"/>
  <c r="T76" i="340"/>
  <c r="T272" i="340"/>
  <c r="N97" i="340"/>
  <c r="P14" i="340"/>
  <c r="T21" i="340"/>
  <c r="P97" i="340"/>
  <c r="P159" i="340"/>
  <c r="P119" i="340"/>
  <c r="N71" i="340"/>
  <c r="N74" i="340"/>
  <c r="T40" i="340"/>
  <c r="T95" i="340"/>
  <c r="P217" i="340"/>
  <c r="P101" i="340"/>
  <c r="N198" i="340"/>
  <c r="P241" i="340"/>
  <c r="N72" i="340"/>
  <c r="P187" i="340"/>
  <c r="P60" i="340"/>
  <c r="P63" i="340"/>
  <c r="P136" i="340"/>
  <c r="P90" i="340"/>
  <c r="T190" i="340"/>
  <c r="N96" i="340"/>
  <c r="P175" i="340"/>
  <c r="N218" i="340"/>
  <c r="P311" i="340"/>
  <c r="T123" i="340"/>
  <c r="T223" i="340"/>
  <c r="N281" i="340"/>
  <c r="N190" i="340"/>
  <c r="P228" i="340"/>
  <c r="N112" i="340"/>
  <c r="T218" i="340"/>
  <c r="P295" i="340"/>
  <c r="P280" i="340"/>
  <c r="N224" i="340"/>
  <c r="N303" i="340"/>
  <c r="P199" i="340"/>
  <c r="N266" i="340"/>
  <c r="P149" i="340"/>
  <c r="N244" i="340"/>
  <c r="N247" i="340"/>
  <c r="P417" i="340"/>
  <c r="P96" i="340"/>
  <c r="P244" i="340"/>
  <c r="P434" i="340"/>
  <c r="P281" i="340"/>
  <c r="P221" i="340"/>
  <c r="P249" i="340"/>
  <c r="N221" i="340"/>
  <c r="P243" i="340"/>
  <c r="T475" i="340"/>
  <c r="N199" i="340"/>
  <c r="N364" i="340"/>
  <c r="P429" i="340"/>
  <c r="N472" i="340"/>
  <c r="T239" i="340"/>
  <c r="P353" i="340"/>
  <c r="P474" i="340"/>
  <c r="P213" i="340"/>
  <c r="P330" i="340"/>
  <c r="N313" i="340"/>
  <c r="P412" i="340"/>
  <c r="N481" i="340"/>
  <c r="N555" i="340"/>
  <c r="T338" i="340"/>
  <c r="T571" i="340"/>
  <c r="R394" i="340"/>
  <c r="N527" i="340"/>
  <c r="P289" i="340"/>
  <c r="N436" i="340"/>
  <c r="T541" i="340"/>
  <c r="N428" i="340"/>
  <c r="P514" i="340"/>
  <c r="P547" i="340"/>
  <c r="T314" i="340"/>
  <c r="N383" i="340"/>
  <c r="N470" i="340"/>
  <c r="N519" i="340"/>
  <c r="T428" i="340"/>
  <c r="T501" i="340"/>
  <c r="P581" i="340"/>
  <c r="N541" i="340"/>
  <c r="N356" i="340"/>
  <c r="N574" i="340"/>
  <c r="P541" i="340"/>
  <c r="N406" i="340"/>
  <c r="T497" i="340"/>
  <c r="T435" i="340"/>
  <c r="P442" i="340"/>
  <c r="P449" i="340"/>
  <c r="N525" i="340"/>
  <c r="N351" i="340"/>
  <c r="N567" i="340"/>
  <c r="N380" i="340"/>
  <c r="T419" i="340"/>
  <c r="P478" i="340"/>
  <c r="T52" i="340"/>
  <c r="T329" i="340"/>
  <c r="N382" i="340"/>
  <c r="N145" i="340"/>
  <c r="P341" i="340"/>
  <c r="P116" i="340"/>
  <c r="P84" i="340"/>
  <c r="P180" i="340"/>
  <c r="T98" i="340"/>
  <c r="T293" i="340"/>
  <c r="T90" i="340"/>
  <c r="T464" i="340"/>
  <c r="P61" i="340"/>
  <c r="T585" i="340"/>
  <c r="T364" i="340"/>
  <c r="T584" i="340"/>
  <c r="T466" i="340"/>
  <c r="T448" i="340"/>
  <c r="T247" i="340"/>
  <c r="T100" i="340"/>
  <c r="T320" i="340"/>
  <c r="N84" i="340"/>
  <c r="T439" i="340"/>
  <c r="P41" i="340"/>
  <c r="T458" i="340"/>
  <c r="N212" i="340"/>
  <c r="T61" i="340"/>
  <c r="T390" i="340"/>
  <c r="N551" i="340"/>
  <c r="T480" i="340"/>
  <c r="T406" i="340"/>
  <c r="P160" i="340"/>
  <c r="T457" i="340"/>
  <c r="AD394" i="340"/>
  <c r="P364" i="340"/>
  <c r="T315" i="340"/>
  <c r="T440" i="340"/>
  <c r="P534" i="340"/>
  <c r="T453" i="340"/>
  <c r="P23" i="340"/>
  <c r="T74" i="340"/>
  <c r="P51" i="340"/>
  <c r="T110" i="340"/>
  <c r="P86" i="340"/>
  <c r="N30" i="340"/>
  <c r="N34" i="340"/>
  <c r="P17" i="340"/>
  <c r="N47" i="340"/>
  <c r="T140" i="340"/>
  <c r="N215" i="340"/>
  <c r="T147" i="340"/>
  <c r="P223" i="340"/>
  <c r="N63" i="340"/>
  <c r="N157" i="340"/>
  <c r="T196" i="340"/>
  <c r="P104" i="340"/>
  <c r="N118" i="340"/>
  <c r="T50" i="340"/>
  <c r="N116" i="340"/>
  <c r="P98" i="340"/>
  <c r="T250" i="340"/>
  <c r="P43" i="340"/>
  <c r="P134" i="340"/>
  <c r="N172" i="340"/>
  <c r="P151" i="340"/>
  <c r="P204" i="340"/>
  <c r="T276" i="340"/>
  <c r="T149" i="340"/>
  <c r="N535" i="340"/>
  <c r="P148" i="340"/>
  <c r="P252" i="340"/>
  <c r="P194" i="340"/>
  <c r="P235" i="340"/>
  <c r="P386" i="340"/>
  <c r="T286" i="340"/>
  <c r="P356" i="340"/>
  <c r="T441" i="340"/>
  <c r="P533" i="340"/>
  <c r="T289" i="340"/>
  <c r="N478" i="340"/>
  <c r="N571" i="340"/>
  <c r="N350" i="340"/>
  <c r="P315" i="340"/>
  <c r="T581" i="340"/>
  <c r="P561" i="340"/>
  <c r="P365" i="340"/>
  <c r="N552" i="340"/>
  <c r="N510" i="340"/>
  <c r="P483" i="340"/>
  <c r="T544" i="340"/>
  <c r="P72" i="340"/>
  <c r="P361" i="340"/>
  <c r="P468" i="340"/>
  <c r="T142" i="340"/>
  <c r="T278" i="340"/>
  <c r="T104" i="340"/>
  <c r="T258" i="340"/>
  <c r="N14" i="340"/>
  <c r="T351" i="340"/>
  <c r="P108" i="340"/>
  <c r="N90" i="340"/>
  <c r="T277" i="340"/>
  <c r="N205" i="340"/>
  <c r="T425" i="340"/>
  <c r="T574" i="340"/>
  <c r="P543" i="340"/>
  <c r="T111" i="340"/>
  <c r="T478" i="340"/>
  <c r="P544" i="340"/>
  <c r="T577" i="340"/>
  <c r="T471" i="340"/>
  <c r="T259" i="340"/>
  <c r="T135" i="340"/>
  <c r="T325" i="340"/>
  <c r="P70" i="340"/>
  <c r="N291" i="340"/>
  <c r="N335" i="340"/>
  <c r="T408" i="340"/>
  <c r="P422" i="340"/>
  <c r="N437" i="340"/>
  <c r="P559" i="340"/>
  <c r="P103" i="340"/>
  <c r="N66" i="340"/>
  <c r="N191" i="340"/>
  <c r="T54" i="340"/>
  <c r="N228" i="340"/>
  <c r="N209" i="340"/>
  <c r="P325" i="340"/>
  <c r="T227" i="340"/>
  <c r="T156" i="340"/>
  <c r="N227" i="340"/>
  <c r="T270" i="340"/>
  <c r="P305" i="340"/>
  <c r="T204" i="340"/>
  <c r="N277" i="340"/>
  <c r="P203" i="340"/>
  <c r="N252" i="340"/>
  <c r="T451" i="340"/>
  <c r="N180" i="340"/>
  <c r="T148" i="340"/>
  <c r="T252" i="340"/>
  <c r="N450" i="340"/>
  <c r="T194" i="340"/>
  <c r="P576" i="340"/>
  <c r="N458" i="340"/>
  <c r="P499" i="340"/>
  <c r="P299" i="340"/>
  <c r="P439" i="340"/>
  <c r="P481" i="340"/>
  <c r="T264" i="340"/>
  <c r="N276" i="340"/>
  <c r="T358" i="340"/>
  <c r="T306" i="340"/>
  <c r="P225" i="340"/>
  <c r="N329" i="340"/>
  <c r="T354" i="340"/>
  <c r="N418" i="340"/>
  <c r="N504" i="340"/>
  <c r="T533" i="340"/>
  <c r="N486" i="340"/>
  <c r="N319" i="340"/>
  <c r="N438" i="340"/>
  <c r="P428" i="340"/>
  <c r="N388" i="340"/>
  <c r="P436" i="340"/>
  <c r="P558" i="340"/>
  <c r="T385" i="340"/>
  <c r="N537" i="340"/>
  <c r="N502" i="340"/>
  <c r="P582" i="340"/>
  <c r="T365" i="340"/>
  <c r="T430" i="340"/>
  <c r="P421" i="340"/>
  <c r="P452" i="340"/>
  <c r="T483" i="340"/>
  <c r="N460" i="340"/>
  <c r="N570" i="340"/>
  <c r="P413" i="340"/>
  <c r="N529" i="340"/>
  <c r="N423" i="340"/>
  <c r="P76" i="340"/>
  <c r="P388" i="340"/>
  <c r="T492" i="340"/>
  <c r="N12" i="340"/>
  <c r="P152" i="340"/>
  <c r="N286" i="340"/>
  <c r="P112" i="340"/>
  <c r="T221" i="340"/>
  <c r="P207" i="340"/>
  <c r="T65" i="340"/>
  <c r="T368" i="340"/>
  <c r="P118" i="340"/>
  <c r="T517" i="340"/>
  <c r="T298" i="340"/>
  <c r="P480" i="340"/>
  <c r="N91" i="340"/>
  <c r="T291" i="340"/>
  <c r="N289" i="340"/>
  <c r="T284" i="340"/>
  <c r="P427" i="340"/>
  <c r="P579" i="340"/>
  <c r="T411" i="340"/>
  <c r="T545" i="340"/>
  <c r="P488" i="340"/>
  <c r="T454" i="340"/>
  <c r="P577" i="340"/>
  <c r="N134" i="340"/>
  <c r="T263" i="340"/>
  <c r="T163" i="340"/>
  <c r="T513" i="340"/>
  <c r="T207" i="340"/>
  <c r="N78" i="340"/>
  <c r="P74" i="340"/>
  <c r="P506" i="340"/>
  <c r="P369" i="340"/>
  <c r="P453" i="340"/>
  <c r="T465" i="340"/>
  <c r="P424" i="340"/>
  <c r="N520" i="340"/>
  <c r="P548" i="340"/>
  <c r="N279" i="340"/>
  <c r="N497" i="340"/>
  <c r="T75" i="340"/>
  <c r="T78" i="340"/>
  <c r="N148" i="340"/>
  <c r="N246" i="340"/>
  <c r="N293" i="340"/>
  <c r="N222" i="340"/>
  <c r="P257" i="340"/>
  <c r="N253" i="340"/>
  <c r="N265" i="340"/>
  <c r="P312" i="340"/>
  <c r="P489" i="340"/>
  <c r="T254" i="340"/>
  <c r="N261" i="340"/>
  <c r="T17" i="340"/>
  <c r="T112" i="340"/>
  <c r="N45" i="340"/>
  <c r="P85" i="340"/>
  <c r="T275" i="340"/>
  <c r="T106" i="340"/>
  <c r="T158" i="340"/>
  <c r="N83" i="340"/>
  <c r="N151" i="340"/>
  <c r="N203" i="340"/>
  <c r="N256" i="340"/>
  <c r="P181" i="340"/>
  <c r="T241" i="340"/>
  <c r="N322" i="340"/>
  <c r="P293" i="340"/>
  <c r="N240" i="340"/>
  <c r="T154" i="340"/>
  <c r="N121" i="340"/>
  <c r="N280" i="340"/>
  <c r="P284" i="340"/>
  <c r="P259" i="340"/>
  <c r="P201" i="340"/>
  <c r="T261" i="340"/>
  <c r="T326" i="340"/>
  <c r="T405" i="340"/>
  <c r="P242" i="340"/>
  <c r="T437" i="340"/>
  <c r="P584" i="340"/>
  <c r="T500" i="340"/>
  <c r="T302" i="340"/>
  <c r="N367" i="340"/>
  <c r="P290" i="340"/>
  <c r="N416" i="340"/>
  <c r="T225" i="340"/>
  <c r="T537" i="340"/>
  <c r="N411" i="340"/>
  <c r="P504" i="340"/>
  <c r="N534" i="340"/>
  <c r="N409" i="340"/>
  <c r="T520" i="340"/>
  <c r="P322" i="340"/>
  <c r="N390" i="340"/>
  <c r="P505" i="340"/>
  <c r="N308" i="340"/>
  <c r="P366" i="340"/>
  <c r="T558" i="340"/>
  <c r="N419" i="340"/>
  <c r="P469" i="340"/>
  <c r="P511" i="340"/>
  <c r="P562" i="340"/>
  <c r="N298" i="340"/>
  <c r="T421" i="340"/>
  <c r="P460" i="340"/>
  <c r="T486" i="340"/>
  <c r="N345" i="340"/>
  <c r="P440" i="340"/>
  <c r="P491" i="340"/>
  <c r="P573" i="340"/>
  <c r="N6" i="340"/>
  <c r="T128" i="340"/>
  <c r="T391" i="340"/>
  <c r="T493" i="340"/>
  <c r="N13" i="340"/>
  <c r="N184" i="340"/>
  <c r="P20" i="340"/>
  <c r="T160" i="340"/>
  <c r="P137" i="340"/>
  <c r="N278" i="340"/>
  <c r="T240" i="340"/>
  <c r="P6" i="340"/>
  <c r="N11" i="340"/>
  <c r="T131" i="340"/>
  <c r="T349" i="340"/>
  <c r="P519" i="340"/>
  <c r="N119" i="340"/>
  <c r="T300" i="340"/>
  <c r="T6" i="340"/>
  <c r="P304" i="340"/>
  <c r="T438" i="340"/>
  <c r="N483" i="340"/>
  <c r="P432" i="340"/>
  <c r="T588" i="340"/>
  <c r="N532" i="340"/>
  <c r="T305" i="340"/>
  <c r="T494" i="340"/>
  <c r="P580" i="340"/>
  <c r="N138" i="340"/>
  <c r="T482" i="340"/>
  <c r="P572" i="340"/>
  <c r="N361" i="340"/>
  <c r="T171" i="340"/>
  <c r="T445" i="340"/>
  <c r="P391" i="340"/>
  <c r="N101" i="340"/>
  <c r="P78" i="340"/>
  <c r="T540" i="340"/>
  <c r="P448" i="340"/>
  <c r="T485" i="340"/>
  <c r="T587" i="340"/>
  <c r="P425" i="340"/>
  <c r="T299" i="340"/>
  <c r="T15" i="340"/>
  <c r="N521" i="340"/>
  <c r="N88" i="340"/>
  <c r="T60" i="340"/>
  <c r="N321" i="340"/>
  <c r="P285" i="340"/>
  <c r="T346" i="340"/>
  <c r="N86" i="340"/>
  <c r="P123" i="340"/>
  <c r="N65" i="340"/>
  <c r="P135" i="340"/>
  <c r="T43" i="340"/>
  <c r="P44" i="340"/>
  <c r="N43" i="340"/>
  <c r="P33" i="340"/>
  <c r="P47" i="340"/>
  <c r="T67" i="340"/>
  <c r="T108" i="340"/>
  <c r="P163" i="340"/>
  <c r="N217" i="340"/>
  <c r="N40" i="340"/>
  <c r="P247" i="340"/>
  <c r="N159" i="340"/>
  <c r="N201" i="340"/>
  <c r="P107" i="340"/>
  <c r="N107" i="340"/>
  <c r="T77" i="340"/>
  <c r="N55" i="340"/>
  <c r="P129" i="340"/>
  <c r="N127" i="340"/>
  <c r="N141" i="340"/>
  <c r="P124" i="340"/>
  <c r="P106" i="340"/>
  <c r="P198" i="340"/>
  <c r="N272" i="340"/>
  <c r="P54" i="340"/>
  <c r="P215" i="340"/>
  <c r="N338" i="340"/>
  <c r="N178" i="340"/>
  <c r="P157" i="340"/>
  <c r="N242" i="340"/>
  <c r="P240" i="340"/>
  <c r="P164" i="340"/>
  <c r="P222" i="340"/>
  <c r="N225" i="340"/>
  <c r="N275" i="340"/>
  <c r="T201" i="340"/>
  <c r="T290" i="340"/>
  <c r="P342" i="340"/>
  <c r="P482" i="340"/>
  <c r="N174" i="340"/>
  <c r="T242" i="340"/>
  <c r="P319" i="340"/>
  <c r="P462" i="340"/>
  <c r="P381" i="340"/>
  <c r="P302" i="340"/>
  <c r="N389" i="340"/>
  <c r="N468" i="340"/>
  <c r="T519" i="340"/>
  <c r="T304" i="340"/>
  <c r="T383" i="340"/>
  <c r="P493" i="340"/>
  <c r="P266" i="340"/>
  <c r="P306" i="340"/>
  <c r="P277" i="340"/>
  <c r="N349" i="340"/>
  <c r="P335" i="340"/>
  <c r="N517" i="340"/>
  <c r="P586" i="340"/>
  <c r="P409" i="340"/>
  <c r="N449" i="340"/>
  <c r="P574" i="340"/>
  <c r="T418" i="340"/>
  <c r="P321" i="340"/>
  <c r="P494" i="340"/>
  <c r="N370" i="340"/>
  <c r="N584" i="340"/>
  <c r="N566" i="340"/>
  <c r="N490" i="340"/>
  <c r="P538" i="340"/>
  <c r="N469" i="340"/>
  <c r="P331" i="340"/>
  <c r="P389" i="340"/>
  <c r="N445" i="340"/>
  <c r="T532" i="340"/>
  <c r="P587" i="340"/>
  <c r="T479" i="340"/>
  <c r="N513" i="340"/>
  <c r="N543" i="340"/>
  <c r="P570" i="340"/>
  <c r="N425" i="340"/>
  <c r="P465" i="340"/>
  <c r="N494" i="340"/>
  <c r="N564" i="340"/>
  <c r="P523" i="340"/>
  <c r="T402" i="340"/>
  <c r="N587" i="340"/>
  <c r="N442" i="340"/>
  <c r="P555" i="340"/>
  <c r="T491" i="340"/>
  <c r="N8" i="340"/>
  <c r="N142" i="340"/>
  <c r="T499" i="340"/>
  <c r="P15" i="340"/>
  <c r="N170" i="340"/>
  <c r="T169" i="340"/>
  <c r="T260" i="340"/>
  <c r="N16" i="340"/>
  <c r="N197" i="340"/>
  <c r="T137" i="340"/>
  <c r="N368" i="340"/>
  <c r="N28" i="340"/>
  <c r="N312" i="340"/>
  <c r="T554" i="340"/>
  <c r="P8" i="340"/>
  <c r="N325" i="340"/>
  <c r="P345" i="340"/>
  <c r="P418" i="340"/>
  <c r="N538" i="340"/>
  <c r="N287" i="340"/>
  <c r="N524" i="340"/>
  <c r="N542" i="340"/>
  <c r="T361" i="340"/>
  <c r="P496" i="340"/>
  <c r="N302" i="340"/>
  <c r="T580" i="340"/>
  <c r="T463" i="340"/>
  <c r="N363" i="340"/>
  <c r="T175" i="340"/>
  <c r="T511" i="340"/>
  <c r="N179" i="340"/>
  <c r="N455" i="340"/>
  <c r="P392" i="340"/>
  <c r="N546" i="340"/>
  <c r="T115" i="340"/>
  <c r="P154" i="340"/>
  <c r="N311" i="340"/>
  <c r="P542" i="340"/>
  <c r="N511" i="340"/>
  <c r="T246" i="340"/>
  <c r="P527" i="340"/>
  <c r="N453" i="340"/>
  <c r="N128" i="340"/>
  <c r="T71" i="340"/>
  <c r="T16" i="340"/>
  <c r="N577" i="340"/>
  <c r="T14" i="340"/>
  <c r="T96" i="340"/>
  <c r="N100" i="340"/>
  <c r="N259" i="340"/>
  <c r="N163" i="340"/>
  <c r="P466" i="340"/>
  <c r="P19" i="340"/>
  <c r="T216" i="340"/>
  <c r="P65" i="340"/>
  <c r="P153" i="340"/>
  <c r="P18" i="340"/>
  <c r="T138" i="340"/>
  <c r="P31" i="340"/>
  <c r="P36" i="340"/>
  <c r="P52" i="340"/>
  <c r="N29" i="340"/>
  <c r="N49" i="340"/>
  <c r="N68" i="340"/>
  <c r="P193" i="340"/>
  <c r="N295" i="340"/>
  <c r="P48" i="340"/>
  <c r="P169" i="340"/>
  <c r="T249" i="340"/>
  <c r="P88" i="340"/>
  <c r="T164" i="340"/>
  <c r="N213" i="340"/>
  <c r="N160" i="340"/>
  <c r="N108" i="340"/>
  <c r="T84" i="340"/>
  <c r="N136" i="340"/>
  <c r="P127" i="340"/>
  <c r="N75" i="340"/>
  <c r="T282" i="340"/>
  <c r="N76" i="340"/>
  <c r="P185" i="340"/>
  <c r="P256" i="340"/>
  <c r="T231" i="340"/>
  <c r="P300" i="340"/>
  <c r="P270" i="340"/>
  <c r="P147" i="340"/>
  <c r="N230" i="340"/>
  <c r="P282" i="340"/>
  <c r="N239" i="340"/>
  <c r="N231" i="340"/>
  <c r="P390" i="340"/>
  <c r="P473" i="340"/>
  <c r="N553" i="340"/>
  <c r="P368" i="340"/>
  <c r="N175" i="340"/>
  <c r="T253" i="340"/>
  <c r="N323" i="340"/>
  <c r="P470" i="340"/>
  <c r="N269" i="340"/>
  <c r="N330" i="340"/>
  <c r="P472" i="340"/>
  <c r="N531" i="340"/>
  <c r="N454" i="340"/>
  <c r="N499" i="340"/>
  <c r="P367" i="340"/>
  <c r="N430" i="340"/>
  <c r="T345" i="340"/>
  <c r="N369" i="340"/>
  <c r="P529" i="340"/>
  <c r="T269" i="340"/>
  <c r="N540" i="340"/>
  <c r="T576" i="340"/>
  <c r="T423" i="340"/>
  <c r="N334" i="340"/>
  <c r="N408" i="340"/>
  <c r="N441" i="340"/>
  <c r="N431" i="340"/>
  <c r="T424" i="340"/>
  <c r="P441" i="340"/>
  <c r="P520" i="340"/>
  <c r="P329" i="340"/>
  <c r="N434" i="340"/>
  <c r="N500" i="340"/>
  <c r="T538" i="340"/>
  <c r="P513" i="340"/>
  <c r="N586" i="340"/>
  <c r="T292" i="340"/>
  <c r="T331" i="340"/>
  <c r="P525" i="340"/>
  <c r="T579" i="340"/>
  <c r="P402" i="340"/>
  <c r="N444" i="340"/>
  <c r="N354" i="340"/>
  <c r="P492" i="340"/>
  <c r="N581" i="340"/>
  <c r="N192" i="340"/>
  <c r="P405" i="340"/>
  <c r="T505" i="340"/>
  <c r="P16" i="340"/>
  <c r="T209" i="340"/>
  <c r="N31" i="340"/>
  <c r="T198" i="340"/>
  <c r="N314" i="340"/>
  <c r="P171" i="340"/>
  <c r="T37" i="340"/>
  <c r="P275" i="340"/>
  <c r="N18" i="340"/>
  <c r="T174" i="340"/>
  <c r="N381" i="340"/>
  <c r="P552" i="340"/>
  <c r="T41" i="340"/>
  <c r="P140" i="340"/>
  <c r="P337" i="340"/>
  <c r="N15" i="340"/>
  <c r="T153" i="340"/>
  <c r="P326" i="340"/>
  <c r="N299" i="340"/>
  <c r="N473" i="340"/>
  <c r="P352" i="340"/>
  <c r="P540" i="340"/>
  <c r="N452" i="340"/>
  <c r="N292" i="340"/>
  <c r="T506" i="340"/>
  <c r="P546" i="340"/>
  <c r="N124" i="340"/>
  <c r="T552" i="340"/>
  <c r="N505" i="340"/>
  <c r="P471" i="340"/>
  <c r="T496" i="340"/>
  <c r="N306" i="340"/>
  <c r="N211" i="340"/>
  <c r="P588" i="340"/>
  <c r="T444" i="340"/>
  <c r="T212" i="340"/>
  <c r="N402" i="340"/>
  <c r="T187" i="340"/>
  <c r="N573" i="340"/>
  <c r="T416" i="340"/>
  <c r="P585" i="340"/>
  <c r="N131" i="340"/>
  <c r="T157" i="340"/>
  <c r="T334" i="340"/>
  <c r="P578" i="340"/>
  <c r="N554" i="340"/>
  <c r="N67" i="340"/>
  <c r="N182" i="340"/>
  <c r="T83" i="340"/>
  <c r="N60" i="340"/>
  <c r="N479" i="340"/>
  <c r="P458" i="340"/>
  <c r="N204" i="340"/>
  <c r="N33" i="340"/>
  <c r="N137" i="340"/>
  <c r="N558" i="340"/>
  <c r="N572" i="340"/>
  <c r="T561" i="340"/>
  <c r="P509" i="340"/>
  <c r="N123" i="340"/>
  <c r="P263" i="340"/>
  <c r="N111" i="340"/>
  <c r="P131" i="340"/>
  <c r="N117" i="340"/>
  <c r="T26" i="340"/>
  <c r="P59" i="340"/>
  <c r="T55" i="340"/>
  <c r="N196" i="340"/>
  <c r="P114" i="340"/>
  <c r="N219" i="340"/>
  <c r="N176" i="340"/>
  <c r="P253" i="340"/>
  <c r="N135" i="340"/>
  <c r="P170" i="340"/>
  <c r="P234" i="340"/>
  <c r="P184" i="340"/>
  <c r="P174" i="340"/>
  <c r="N89" i="340"/>
  <c r="N57" i="340"/>
  <c r="N143" i="340"/>
  <c r="P80" i="340"/>
  <c r="N39" i="340"/>
  <c r="P71" i="340"/>
  <c r="P210" i="340"/>
  <c r="N260" i="340"/>
  <c r="T118" i="340"/>
  <c r="P205" i="340"/>
  <c r="P93" i="340"/>
  <c r="N122" i="340"/>
  <c r="T243" i="340"/>
  <c r="T303" i="340"/>
  <c r="P349" i="340"/>
  <c r="P192" i="340"/>
  <c r="P278" i="340"/>
  <c r="P206" i="340"/>
  <c r="P265" i="340"/>
  <c r="P166" i="340"/>
  <c r="N237" i="340"/>
  <c r="N164" i="340"/>
  <c r="N241" i="340"/>
  <c r="P301" i="340"/>
  <c r="P158" i="340"/>
  <c r="N283" i="340"/>
  <c r="T489" i="340"/>
  <c r="P554" i="340"/>
  <c r="P212" i="340"/>
  <c r="P298" i="340"/>
  <c r="T353" i="340"/>
  <c r="T176" i="340"/>
  <c r="P258" i="340"/>
  <c r="P515" i="340"/>
  <c r="N394" i="340"/>
  <c r="G23" i="349" s="1"/>
  <c r="P237" i="340"/>
  <c r="P313" i="340"/>
  <c r="P411" i="340"/>
  <c r="T472" i="340"/>
  <c r="N457" i="340"/>
  <c r="N284" i="340"/>
  <c r="N318" i="340"/>
  <c r="T370" i="340"/>
  <c r="P438" i="340"/>
  <c r="N320" i="340"/>
  <c r="P287" i="340"/>
  <c r="T377" i="340"/>
  <c r="N461" i="340"/>
  <c r="T531" i="340"/>
  <c r="T319" i="340"/>
  <c r="P451" i="340"/>
  <c r="N257" i="340"/>
  <c r="N432" i="340"/>
  <c r="N560" i="340"/>
  <c r="N421" i="340"/>
  <c r="N585" i="340"/>
  <c r="N439" i="340"/>
  <c r="P464" i="340"/>
  <c r="P521" i="340"/>
  <c r="P567" i="340"/>
  <c r="P457" i="340"/>
  <c r="P502" i="340"/>
  <c r="P565" i="340"/>
  <c r="N515" i="340"/>
  <c r="P292" i="340"/>
  <c r="P406" i="340"/>
  <c r="N466" i="340"/>
  <c r="P536" i="340"/>
  <c r="N545" i="340"/>
  <c r="P344" i="340"/>
  <c r="N424" i="340"/>
  <c r="P479" i="340"/>
  <c r="N557" i="340"/>
  <c r="N341" i="340"/>
  <c r="P437" i="340"/>
  <c r="P500" i="340"/>
  <c r="P528" i="340"/>
  <c r="P408" i="340"/>
  <c r="P455" i="340"/>
  <c r="P497" i="340"/>
  <c r="P12" i="340"/>
  <c r="P196" i="340"/>
  <c r="T412" i="340"/>
  <c r="N533" i="340"/>
  <c r="N300" i="340"/>
  <c r="P49" i="340"/>
  <c r="P216" i="340"/>
  <c r="T57" i="340"/>
  <c r="T203" i="340"/>
  <c r="N20" i="340"/>
  <c r="T184" i="340"/>
  <c r="T68" i="340"/>
  <c r="N282" i="340"/>
  <c r="T19" i="340"/>
  <c r="P246" i="340"/>
  <c r="N26" i="340"/>
  <c r="N206" i="340"/>
  <c r="T388" i="340"/>
  <c r="N561" i="340"/>
  <c r="N51" i="340"/>
  <c r="P156" i="340"/>
  <c r="T341" i="340"/>
  <c r="P571" i="340"/>
  <c r="N337" i="340"/>
  <c r="N326" i="340"/>
  <c r="N506" i="340"/>
  <c r="P560" i="340"/>
  <c r="N485" i="340"/>
  <c r="T308" i="340"/>
  <c r="T510" i="340"/>
  <c r="T546" i="340"/>
  <c r="P190" i="340"/>
  <c r="N482" i="340"/>
  <c r="P423" i="340"/>
  <c r="N547" i="340"/>
  <c r="N475" i="340"/>
  <c r="P350" i="340"/>
  <c r="N223" i="340"/>
  <c r="N559" i="340"/>
  <c r="T215" i="340"/>
  <c r="N491" i="340"/>
  <c r="P191" i="340"/>
  <c r="N448" i="340"/>
  <c r="N152" i="340"/>
  <c r="T159" i="340"/>
  <c r="T342" i="340"/>
  <c r="N98" i="340"/>
  <c r="P264" i="340"/>
  <c r="P142" i="340"/>
  <c r="T504" i="340"/>
  <c r="N185" i="340"/>
  <c r="T89" i="340"/>
  <c r="N114" i="340"/>
  <c r="N70" i="340"/>
  <c r="N582" i="340"/>
  <c r="AD373" i="340"/>
  <c r="O20" i="349" s="1"/>
  <c r="R373" i="340"/>
  <c r="I20" i="349" s="1"/>
  <c r="Z373" i="340"/>
  <c r="M20" i="349" s="1"/>
  <c r="N95" i="340"/>
  <c r="N48" i="340"/>
  <c r="T295" i="340"/>
  <c r="N254" i="340"/>
  <c r="T469" i="340"/>
  <c r="P430" i="340"/>
  <c r="P56" i="340"/>
  <c r="P11" i="340"/>
  <c r="N37" i="340"/>
  <c r="N104" i="340"/>
  <c r="N153" i="340"/>
  <c r="P83" i="340"/>
  <c r="T34" i="340"/>
  <c r="N17" i="340"/>
  <c r="T86" i="340"/>
  <c r="P138" i="340"/>
  <c r="T33" i="340"/>
  <c r="T30" i="340"/>
  <c r="N166" i="340"/>
  <c r="P57" i="340"/>
  <c r="N140" i="340"/>
  <c r="N52" i="340"/>
  <c r="N110" i="340"/>
  <c r="N44" i="340"/>
  <c r="P115" i="340"/>
  <c r="P179" i="340"/>
  <c r="P111" i="340"/>
  <c r="P91" i="340"/>
  <c r="N146" i="340"/>
  <c r="P95" i="340"/>
  <c r="P77" i="340"/>
  <c r="P143" i="340"/>
  <c r="P75" i="340"/>
  <c r="N149" i="340"/>
  <c r="P219" i="340"/>
  <c r="N263" i="340"/>
  <c r="N82" i="340"/>
  <c r="P122" i="340"/>
  <c r="N210" i="340"/>
  <c r="P291" i="340"/>
  <c r="N115" i="340"/>
  <c r="N194" i="340"/>
  <c r="N270" i="340"/>
  <c r="N169" i="340"/>
  <c r="N250" i="340"/>
  <c r="P358" i="340"/>
  <c r="T192" i="340"/>
  <c r="T283" i="340"/>
  <c r="T206" i="340"/>
  <c r="P276" i="340"/>
  <c r="P197" i="340"/>
  <c r="N258" i="340"/>
  <c r="T166" i="340"/>
  <c r="N243" i="340"/>
  <c r="N290" i="340"/>
  <c r="N181" i="340"/>
  <c r="P254" i="340"/>
  <c r="N305" i="340"/>
  <c r="P236" i="340"/>
  <c r="N200" i="340"/>
  <c r="N285" i="340"/>
  <c r="N565" i="340"/>
  <c r="P231" i="340"/>
  <c r="N304" i="340"/>
  <c r="P363" i="340"/>
  <c r="P176" i="340"/>
  <c r="P260" i="340"/>
  <c r="N342" i="340"/>
  <c r="T529" i="340"/>
  <c r="N158" i="340"/>
  <c r="T237" i="340"/>
  <c r="P172" i="340"/>
  <c r="P334" i="340"/>
  <c r="T431" i="340"/>
  <c r="T473" i="340"/>
  <c r="N309" i="340"/>
  <c r="N422" i="340"/>
  <c r="N459" i="340"/>
  <c r="P510" i="340"/>
  <c r="P227" i="340"/>
  <c r="P320" i="340"/>
  <c r="N440" i="340"/>
  <c r="P182" i="340"/>
  <c r="N310" i="340"/>
  <c r="T287" i="340"/>
  <c r="P354" i="340"/>
  <c r="T382" i="340"/>
  <c r="N465" i="340"/>
  <c r="N544" i="340"/>
  <c r="P323" i="340"/>
  <c r="N413" i="340"/>
  <c r="P463" i="340"/>
  <c r="P553" i="340"/>
  <c r="N583" i="340"/>
  <c r="T321" i="340"/>
  <c r="T455" i="340"/>
  <c r="N523" i="340"/>
  <c r="P303" i="340"/>
  <c r="P318" i="340"/>
  <c r="P431" i="340"/>
  <c r="N451" i="340"/>
  <c r="N514" i="340"/>
  <c r="T586" i="340"/>
  <c r="N315" i="340"/>
  <c r="N377" i="340"/>
  <c r="N471" i="340"/>
  <c r="N426" i="340"/>
  <c r="T488" i="340"/>
  <c r="P532" i="340"/>
  <c r="T567" i="340"/>
  <c r="P370" i="340"/>
  <c r="N464" i="340"/>
  <c r="T509" i="340"/>
  <c r="T565" i="340"/>
  <c r="P346" i="340"/>
  <c r="N405" i="340"/>
  <c r="P485" i="340"/>
  <c r="P517" i="340"/>
  <c r="N480" i="340"/>
  <c r="N435" i="340"/>
  <c r="N346" i="340"/>
  <c r="N412" i="340"/>
  <c r="N467" i="340"/>
  <c r="T536" i="340"/>
  <c r="P551" i="340"/>
  <c r="N365" i="340"/>
  <c r="N427" i="340"/>
  <c r="N493" i="340"/>
  <c r="N528" i="340"/>
  <c r="N353" i="340"/>
  <c r="P444" i="340"/>
  <c r="N474" i="340"/>
  <c r="N509" i="340"/>
  <c r="P545" i="340"/>
  <c r="N489" i="340"/>
  <c r="N385" i="340"/>
  <c r="T468" i="340"/>
  <c r="N578" i="340"/>
  <c r="N373" i="340"/>
  <c r="G20" i="349" s="1"/>
  <c r="N417" i="340"/>
  <c r="N463" i="340"/>
  <c r="N501" i="340"/>
  <c r="P583" i="340"/>
  <c r="T13" i="340"/>
  <c r="N236" i="340"/>
  <c r="T413" i="340"/>
  <c r="P537" i="340"/>
  <c r="T322" i="340"/>
  <c r="N59" i="340"/>
  <c r="P218" i="340"/>
  <c r="P66" i="340"/>
  <c r="T211" i="340"/>
  <c r="N21" i="340"/>
  <c r="T224" i="340"/>
  <c r="T91" i="340"/>
  <c r="P110" i="340"/>
  <c r="T20" i="340"/>
  <c r="P269" i="340"/>
  <c r="P26" i="340"/>
  <c r="P250" i="340"/>
  <c r="T389" i="340"/>
  <c r="N54" i="340"/>
  <c r="T193" i="340"/>
  <c r="N344" i="340"/>
  <c r="N576" i="340"/>
  <c r="T31" i="340"/>
  <c r="N193" i="340"/>
  <c r="P351" i="340"/>
  <c r="T335" i="340"/>
  <c r="P516" i="340"/>
  <c r="N429" i="340"/>
  <c r="P498" i="340"/>
  <c r="T564" i="340"/>
  <c r="N562" i="340"/>
  <c r="P309" i="340"/>
  <c r="T514" i="340"/>
  <c r="N548" i="340"/>
  <c r="T312" i="340"/>
  <c r="N498" i="340"/>
  <c r="P454" i="340"/>
  <c r="P564" i="340"/>
  <c r="N488" i="340"/>
  <c r="N536" i="340"/>
  <c r="P385" i="340"/>
  <c r="N331" i="340"/>
  <c r="P450" i="340"/>
  <c r="T219" i="340"/>
  <c r="N492" i="340"/>
  <c r="N23" i="340"/>
  <c r="N207" i="340"/>
  <c r="N41" i="340"/>
  <c r="N462" i="340"/>
  <c r="N156" i="340"/>
  <c r="T179" i="340"/>
  <c r="T344" i="340"/>
  <c r="N154" i="340"/>
  <c r="P272" i="340"/>
  <c r="P146" i="340"/>
  <c r="T534" i="340"/>
  <c r="N187" i="340"/>
  <c r="T117" i="340"/>
  <c r="N147" i="340"/>
  <c r="N301" i="340"/>
  <c r="N103" i="340"/>
  <c r="P40" i="340"/>
  <c r="V373" i="340"/>
  <c r="K20" i="349" s="1"/>
  <c r="AB30" i="340"/>
  <c r="X61" i="340"/>
  <c r="S101" i="340"/>
  <c r="S218" i="340"/>
  <c r="AF33" i="340"/>
  <c r="AF65" i="340"/>
  <c r="AD104" i="340"/>
  <c r="AF235" i="340"/>
  <c r="AA36" i="340"/>
  <c r="S68" i="340"/>
  <c r="AF108" i="340"/>
  <c r="S254" i="340"/>
  <c r="AB6" i="340"/>
  <c r="AA39" i="340"/>
  <c r="S71" i="340"/>
  <c r="AD112" i="340"/>
  <c r="AF275" i="340"/>
  <c r="W11" i="340"/>
  <c r="Z41" i="340"/>
  <c r="AF74" i="340"/>
  <c r="R117" i="340"/>
  <c r="X301" i="340"/>
  <c r="W13" i="340"/>
  <c r="S122" i="340"/>
  <c r="V15" i="340"/>
  <c r="X47" i="340"/>
  <c r="W80" i="340"/>
  <c r="V131" i="340"/>
  <c r="S49" i="340"/>
  <c r="W143" i="340"/>
  <c r="S51" i="340"/>
  <c r="AB152" i="340"/>
  <c r="O21" i="340"/>
  <c r="R54" i="340"/>
  <c r="R90" i="340"/>
  <c r="W164" i="340"/>
  <c r="O26" i="340"/>
  <c r="AF55" i="340"/>
  <c r="AA93" i="340"/>
  <c r="V59" i="340"/>
  <c r="Z97" i="340"/>
  <c r="Z200" i="340"/>
  <c r="O13" i="340"/>
  <c r="O15" i="340"/>
  <c r="AB18" i="340"/>
  <c r="AF20" i="340"/>
  <c r="AA23" i="340"/>
  <c r="AA28" i="340"/>
  <c r="Z30" i="340"/>
  <c r="X36" i="340"/>
  <c r="S39" i="340"/>
  <c r="S41" i="340"/>
  <c r="R44" i="340"/>
  <c r="AF45" i="340"/>
  <c r="AE50" i="340"/>
  <c r="AE52" i="340"/>
  <c r="AD55" i="340"/>
  <c r="AA57" i="340"/>
  <c r="V65" i="340"/>
  <c r="AD67" i="340"/>
  <c r="S74" i="340"/>
  <c r="AE76" i="340"/>
  <c r="Z83" i="340"/>
  <c r="O86" i="340"/>
  <c r="V89" i="340"/>
  <c r="W93" i="340"/>
  <c r="AF100" i="340"/>
  <c r="AA104" i="340"/>
  <c r="O108" i="340"/>
  <c r="W112" i="340"/>
  <c r="W116" i="340"/>
  <c r="AA121" i="340"/>
  <c r="AE129" i="340"/>
  <c r="AD151" i="340"/>
  <c r="X180" i="340"/>
  <c r="V213" i="340"/>
  <c r="Z234" i="340"/>
  <c r="AA249" i="340"/>
  <c r="AA269" i="340"/>
  <c r="AB299" i="340"/>
  <c r="R364" i="340"/>
  <c r="W6" i="340"/>
  <c r="V11" i="340"/>
  <c r="O17" i="340"/>
  <c r="O19" i="340"/>
  <c r="AB23" i="340"/>
  <c r="AF28" i="340"/>
  <c r="AA30" i="340"/>
  <c r="AA33" i="340"/>
  <c r="Z36" i="340"/>
  <c r="X41" i="340"/>
  <c r="S44" i="340"/>
  <c r="S47" i="340"/>
  <c r="R49" i="340"/>
  <c r="AF50" i="340"/>
  <c r="AE55" i="340"/>
  <c r="W61" i="340"/>
  <c r="W65" i="340"/>
  <c r="R71" i="340"/>
  <c r="Z74" i="340"/>
  <c r="AF76" i="340"/>
  <c r="AF83" i="340"/>
  <c r="R86" i="340"/>
  <c r="AD89" i="340"/>
  <c r="X93" i="340"/>
  <c r="O97" i="340"/>
  <c r="R101" i="340"/>
  <c r="AB104" i="340"/>
  <c r="AA108" i="340"/>
  <c r="AB112" i="340"/>
  <c r="X116" i="340"/>
  <c r="R122" i="340"/>
  <c r="Z142" i="340"/>
  <c r="AA160" i="340"/>
  <c r="AE199" i="340"/>
  <c r="AE216" i="340"/>
  <c r="AF250" i="340"/>
  <c r="AE275" i="340"/>
  <c r="AF299" i="340"/>
  <c r="AE381" i="340"/>
  <c r="AD6" i="340"/>
  <c r="X11" i="340"/>
  <c r="AB13" i="340"/>
  <c r="W15" i="340"/>
  <c r="W17" i="340"/>
  <c r="V19" i="340"/>
  <c r="O29" i="340"/>
  <c r="O31" i="340"/>
  <c r="AB36" i="340"/>
  <c r="AF39" i="340"/>
  <c r="AA41" i="340"/>
  <c r="AA44" i="340"/>
  <c r="Z47" i="340"/>
  <c r="X51" i="340"/>
  <c r="S54" i="340"/>
  <c r="S56" i="340"/>
  <c r="W59" i="340"/>
  <c r="Z61" i="340"/>
  <c r="R66" i="340"/>
  <c r="AB71" i="340"/>
  <c r="O75" i="340"/>
  <c r="O77" i="340"/>
  <c r="AE80" i="340"/>
  <c r="AB86" i="340"/>
  <c r="S90" i="340"/>
  <c r="AD93" i="340"/>
  <c r="AF97" i="340"/>
  <c r="V101" i="340"/>
  <c r="AE112" i="340"/>
  <c r="AB117" i="340"/>
  <c r="AD122" i="340"/>
  <c r="AA134" i="340"/>
  <c r="AF143" i="340"/>
  <c r="AD152" i="340"/>
  <c r="S169" i="340"/>
  <c r="AD184" i="340"/>
  <c r="O204" i="340"/>
  <c r="R219" i="340"/>
  <c r="AE236" i="340"/>
  <c r="W256" i="340"/>
  <c r="V311" i="340"/>
  <c r="AB385" i="340"/>
  <c r="AE6" i="340"/>
  <c r="AE11" i="340"/>
  <c r="AD13" i="340"/>
  <c r="X15" i="340"/>
  <c r="AB17" i="340"/>
  <c r="W19" i="340"/>
  <c r="W21" i="340"/>
  <c r="V26" i="340"/>
  <c r="O34" i="340"/>
  <c r="O37" i="340"/>
  <c r="AB41" i="340"/>
  <c r="AF44" i="340"/>
  <c r="AA47" i="340"/>
  <c r="AA49" i="340"/>
  <c r="Z51" i="340"/>
  <c r="X56" i="340"/>
  <c r="X59" i="340"/>
  <c r="AF61" i="340"/>
  <c r="S66" i="340"/>
  <c r="V68" i="340"/>
  <c r="X77" i="340"/>
  <c r="R84" i="340"/>
  <c r="O88" i="340"/>
  <c r="S95" i="340"/>
  <c r="Z101" i="340"/>
  <c r="AA106" i="340"/>
  <c r="R110" i="340"/>
  <c r="V114" i="340"/>
  <c r="AE117" i="340"/>
  <c r="AF122" i="340"/>
  <c r="O136" i="340"/>
  <c r="S154" i="340"/>
  <c r="O185" i="340"/>
  <c r="Z205" i="340"/>
  <c r="AE219" i="340"/>
  <c r="R240" i="340"/>
  <c r="AD313" i="340"/>
  <c r="Z429" i="340"/>
  <c r="AF6" i="340"/>
  <c r="AE13" i="340"/>
  <c r="AE15" i="340"/>
  <c r="AD17" i="340"/>
  <c r="X19" i="340"/>
  <c r="AB21" i="340"/>
  <c r="W26" i="340"/>
  <c r="W29" i="340"/>
  <c r="V31" i="340"/>
  <c r="O40" i="340"/>
  <c r="O43" i="340"/>
  <c r="AB47" i="340"/>
  <c r="AF49" i="340"/>
  <c r="AA51" i="340"/>
  <c r="AA54" i="340"/>
  <c r="Z56" i="340"/>
  <c r="Z59" i="340"/>
  <c r="AB68" i="340"/>
  <c r="O72" i="340"/>
  <c r="R75" i="340"/>
  <c r="AD77" i="340"/>
  <c r="O82" i="340"/>
  <c r="AA84" i="340"/>
  <c r="R88" i="340"/>
  <c r="V90" i="340"/>
  <c r="Z95" i="340"/>
  <c r="O98" i="340"/>
  <c r="AD106" i="340"/>
  <c r="V110" i="340"/>
  <c r="AD114" i="340"/>
  <c r="AF117" i="340"/>
  <c r="X123" i="340"/>
  <c r="R145" i="340"/>
  <c r="X156" i="340"/>
  <c r="O170" i="340"/>
  <c r="V190" i="340"/>
  <c r="V206" i="340"/>
  <c r="AB241" i="340"/>
  <c r="AA258" i="340"/>
  <c r="AE281" i="340"/>
  <c r="R449" i="340"/>
  <c r="S8" i="340"/>
  <c r="R12" i="340"/>
  <c r="AF13" i="340"/>
  <c r="AE17" i="340"/>
  <c r="AE19" i="340"/>
  <c r="AD21" i="340"/>
  <c r="X26" i="340"/>
  <c r="AB29" i="340"/>
  <c r="W31" i="340"/>
  <c r="W34" i="340"/>
  <c r="V37" i="340"/>
  <c r="O45" i="340"/>
  <c r="O48" i="340"/>
  <c r="AB51" i="340"/>
  <c r="AF54" i="340"/>
  <c r="AA56" i="340"/>
  <c r="O60" i="340"/>
  <c r="V63" i="340"/>
  <c r="V66" i="340"/>
  <c r="X75" i="340"/>
  <c r="AE77" i="340"/>
  <c r="AD95" i="340"/>
  <c r="R98" i="340"/>
  <c r="V103" i="340"/>
  <c r="AF106" i="340"/>
  <c r="AD110" i="340"/>
  <c r="AE114" i="340"/>
  <c r="X124" i="340"/>
  <c r="R136" i="340"/>
  <c r="X146" i="340"/>
  <c r="Z156" i="340"/>
  <c r="V170" i="340"/>
  <c r="X192" i="340"/>
  <c r="Z206" i="340"/>
  <c r="W223" i="340"/>
  <c r="W242" i="340"/>
  <c r="AB258" i="340"/>
  <c r="X284" i="340"/>
  <c r="AF315" i="340"/>
  <c r="X8" i="340"/>
  <c r="S12" i="340"/>
  <c r="S14" i="340"/>
  <c r="R16" i="340"/>
  <c r="AF17" i="340"/>
  <c r="AE21" i="340"/>
  <c r="AE26" i="340"/>
  <c r="AD29" i="340"/>
  <c r="X31" i="340"/>
  <c r="AB34" i="340"/>
  <c r="W37" i="340"/>
  <c r="W40" i="340"/>
  <c r="V43" i="340"/>
  <c r="O50" i="340"/>
  <c r="O52" i="340"/>
  <c r="AB56" i="340"/>
  <c r="W63" i="340"/>
  <c r="AE66" i="340"/>
  <c r="R70" i="340"/>
  <c r="R72" i="340"/>
  <c r="AF75" i="340"/>
  <c r="AF77" i="340"/>
  <c r="X82" i="340"/>
  <c r="O85" i="340"/>
  <c r="V88" i="340"/>
  <c r="S91" i="340"/>
  <c r="AF95" i="340"/>
  <c r="AB98" i="340"/>
  <c r="Z103" i="340"/>
  <c r="AE118" i="340"/>
  <c r="Z124" i="340"/>
  <c r="S136" i="340"/>
  <c r="AB147" i="340"/>
  <c r="AD156" i="340"/>
  <c r="AE172" i="340"/>
  <c r="Z192" i="340"/>
  <c r="AA206" i="340"/>
  <c r="AA225" i="340"/>
  <c r="X242" i="340"/>
  <c r="S261" i="340"/>
  <c r="AF334" i="340"/>
  <c r="Z8" i="340"/>
  <c r="X14" i="340"/>
  <c r="S16" i="340"/>
  <c r="S18" i="340"/>
  <c r="R20" i="340"/>
  <c r="AF21" i="340"/>
  <c r="AE29" i="340"/>
  <c r="AE31" i="340"/>
  <c r="AD34" i="340"/>
  <c r="X37" i="340"/>
  <c r="AB40" i="340"/>
  <c r="W43" i="340"/>
  <c r="W45" i="340"/>
  <c r="V48" i="340"/>
  <c r="O55" i="340"/>
  <c r="V60" i="340"/>
  <c r="X63" i="340"/>
  <c r="S70" i="340"/>
  <c r="AA72" i="340"/>
  <c r="AF82" i="340"/>
  <c r="AB88" i="340"/>
  <c r="V91" i="340"/>
  <c r="AA103" i="340"/>
  <c r="W107" i="340"/>
  <c r="V111" i="340"/>
  <c r="Z119" i="340"/>
  <c r="AA124" i="340"/>
  <c r="AB137" i="340"/>
  <c r="AD147" i="340"/>
  <c r="AE156" i="340"/>
  <c r="AE175" i="340"/>
  <c r="AA192" i="340"/>
  <c r="R227" i="340"/>
  <c r="AE242" i="340"/>
  <c r="V264" i="340"/>
  <c r="X286" i="340"/>
  <c r="R335" i="340"/>
  <c r="AA8" i="340"/>
  <c r="AA12" i="340"/>
  <c r="Z14" i="340"/>
  <c r="X18" i="340"/>
  <c r="S20" i="340"/>
  <c r="S23" i="340"/>
  <c r="R28" i="340"/>
  <c r="AF29" i="340"/>
  <c r="AE34" i="340"/>
  <c r="AE37" i="340"/>
  <c r="AD40" i="340"/>
  <c r="X43" i="340"/>
  <c r="AB45" i="340"/>
  <c r="W48" i="340"/>
  <c r="W50" i="340"/>
  <c r="V52" i="340"/>
  <c r="W57" i="340"/>
  <c r="X60" i="340"/>
  <c r="AF63" i="340"/>
  <c r="R67" i="340"/>
  <c r="AF72" i="340"/>
  <c r="O76" i="340"/>
  <c r="W78" i="340"/>
  <c r="R85" i="340"/>
  <c r="R89" i="340"/>
  <c r="X91" i="340"/>
  <c r="R100" i="340"/>
  <c r="AB103" i="340"/>
  <c r="AE107" i="340"/>
  <c r="W111" i="340"/>
  <c r="AB115" i="340"/>
  <c r="AA119" i="340"/>
  <c r="R127" i="340"/>
  <c r="AE147" i="340"/>
  <c r="R158" i="340"/>
  <c r="S193" i="340"/>
  <c r="R212" i="340"/>
  <c r="S227" i="340"/>
  <c r="O246" i="340"/>
  <c r="W264" i="340"/>
  <c r="AA335" i="340"/>
  <c r="AB8" i="340"/>
  <c r="AF12" i="340"/>
  <c r="AA14" i="340"/>
  <c r="AA16" i="340"/>
  <c r="Z18" i="340"/>
  <c r="X23" i="340"/>
  <c r="S28" i="340"/>
  <c r="S30" i="340"/>
  <c r="R33" i="340"/>
  <c r="AF34" i="340"/>
  <c r="AE40" i="340"/>
  <c r="AE43" i="340"/>
  <c r="AD45" i="340"/>
  <c r="X48" i="340"/>
  <c r="AB50" i="340"/>
  <c r="W52" i="340"/>
  <c r="W55" i="340"/>
  <c r="X57" i="340"/>
  <c r="AA60" i="340"/>
  <c r="S65" i="340"/>
  <c r="AB70" i="340"/>
  <c r="AB78" i="340"/>
  <c r="O83" i="340"/>
  <c r="AB85" i="340"/>
  <c r="S89" i="340"/>
  <c r="Z91" i="340"/>
  <c r="AE96" i="340"/>
  <c r="S100" i="340"/>
  <c r="O104" i="340"/>
  <c r="AF107" i="340"/>
  <c r="X111" i="340"/>
  <c r="AB119" i="340"/>
  <c r="V128" i="340"/>
  <c r="R140" i="340"/>
  <c r="X148" i="340"/>
  <c r="V159" i="340"/>
  <c r="V176" i="340"/>
  <c r="S196" i="340"/>
  <c r="S212" i="340"/>
  <c r="W249" i="340"/>
  <c r="O265" i="340"/>
  <c r="AA353" i="340"/>
  <c r="O6" i="340"/>
  <c r="O11" i="340"/>
  <c r="AB14" i="340"/>
  <c r="AF16" i="340"/>
  <c r="AA18" i="340"/>
  <c r="AA20" i="340"/>
  <c r="Z23" i="340"/>
  <c r="X30" i="340"/>
  <c r="S33" i="340"/>
  <c r="S36" i="340"/>
  <c r="R39" i="340"/>
  <c r="AF40" i="340"/>
  <c r="AE45" i="340"/>
  <c r="AE48" i="340"/>
  <c r="AD50" i="340"/>
  <c r="X52" i="340"/>
  <c r="AB55" i="340"/>
  <c r="Z57" i="340"/>
  <c r="W67" i="340"/>
  <c r="O71" i="340"/>
  <c r="X76" i="340"/>
  <c r="AD78" i="340"/>
  <c r="O93" i="340"/>
  <c r="AF96" i="340"/>
  <c r="Z104" i="340"/>
  <c r="V116" i="340"/>
  <c r="AE119" i="340"/>
  <c r="R129" i="340"/>
  <c r="AB140" i="340"/>
  <c r="W159" i="340"/>
  <c r="S178" i="340"/>
  <c r="AA198" i="340"/>
  <c r="Z212" i="340"/>
  <c r="AD230" i="340"/>
  <c r="Z249" i="340"/>
  <c r="AA298" i="340"/>
  <c r="AF353" i="340"/>
  <c r="R6" i="340"/>
  <c r="AD8" i="340"/>
  <c r="Z11" i="340"/>
  <c r="V12" i="340"/>
  <c r="R13" i="340"/>
  <c r="AD14" i="340"/>
  <c r="Z15" i="340"/>
  <c r="V16" i="340"/>
  <c r="R17" i="340"/>
  <c r="AD18" i="340"/>
  <c r="Z19" i="340"/>
  <c r="V20" i="340"/>
  <c r="R21" i="340"/>
  <c r="AD23" i="340"/>
  <c r="Z26" i="340"/>
  <c r="V28" i="340"/>
  <c r="R29" i="340"/>
  <c r="AD30" i="340"/>
  <c r="Z31" i="340"/>
  <c r="V33" i="340"/>
  <c r="R34" i="340"/>
  <c r="AD36" i="340"/>
  <c r="Z37" i="340"/>
  <c r="V39" i="340"/>
  <c r="R40" i="340"/>
  <c r="AD41" i="340"/>
  <c r="Z43" i="340"/>
  <c r="V44" i="340"/>
  <c r="R45" i="340"/>
  <c r="AD47" i="340"/>
  <c r="Z48" i="340"/>
  <c r="V49" i="340"/>
  <c r="R50" i="340"/>
  <c r="AD51" i="340"/>
  <c r="Z52" i="340"/>
  <c r="V54" i="340"/>
  <c r="R55" i="340"/>
  <c r="AD56" i="340"/>
  <c r="AB57" i="340"/>
  <c r="AB59" i="340"/>
  <c r="AB60" i="340"/>
  <c r="AA61" i="340"/>
  <c r="Z63" i="340"/>
  <c r="X65" i="340"/>
  <c r="X66" i="340"/>
  <c r="X67" i="340"/>
  <c r="W68" i="340"/>
  <c r="V70" i="340"/>
  <c r="S75" i="340"/>
  <c r="R76" i="340"/>
  <c r="R80" i="340"/>
  <c r="R82" i="340"/>
  <c r="R83" i="340"/>
  <c r="S84" i="340"/>
  <c r="V86" i="340"/>
  <c r="W88" i="340"/>
  <c r="W89" i="340"/>
  <c r="W90" i="340"/>
  <c r="AB91" i="340"/>
  <c r="AE93" i="340"/>
  <c r="O96" i="340"/>
  <c r="W100" i="340"/>
  <c r="AB101" i="340"/>
  <c r="AD103" i="340"/>
  <c r="AE104" i="340"/>
  <c r="O107" i="340"/>
  <c r="R108" i="340"/>
  <c r="W110" i="340"/>
  <c r="AA111" i="340"/>
  <c r="AF112" i="340"/>
  <c r="V115" i="340"/>
  <c r="AA116" i="340"/>
  <c r="O118" i="340"/>
  <c r="X127" i="340"/>
  <c r="Z131" i="340"/>
  <c r="AF136" i="340"/>
  <c r="R141" i="340"/>
  <c r="S145" i="340"/>
  <c r="AE152" i="340"/>
  <c r="V157" i="340"/>
  <c r="AE160" i="340"/>
  <c r="AA170" i="340"/>
  <c r="V185" i="340"/>
  <c r="O194" i="340"/>
  <c r="AA200" i="340"/>
  <c r="AD206" i="340"/>
  <c r="Z215" i="340"/>
  <c r="X221" i="340"/>
  <c r="V228" i="340"/>
  <c r="R243" i="340"/>
  <c r="S252" i="340"/>
  <c r="AD258" i="340"/>
  <c r="AF278" i="340"/>
  <c r="X303" i="340"/>
  <c r="S318" i="340"/>
  <c r="AE341" i="340"/>
  <c r="S364" i="340"/>
  <c r="AD388" i="340"/>
  <c r="X459" i="340"/>
  <c r="S6" i="340"/>
  <c r="O8" i="340"/>
  <c r="AE8" i="340"/>
  <c r="AA11" i="340"/>
  <c r="W12" i="340"/>
  <c r="S13" i="340"/>
  <c r="O14" i="340"/>
  <c r="AE14" i="340"/>
  <c r="AA15" i="340"/>
  <c r="W16" i="340"/>
  <c r="S17" i="340"/>
  <c r="O18" i="340"/>
  <c r="AE18" i="340"/>
  <c r="AA19" i="340"/>
  <c r="W20" i="340"/>
  <c r="S21" i="340"/>
  <c r="O23" i="340"/>
  <c r="AE23" i="340"/>
  <c r="AA26" i="340"/>
  <c r="W28" i="340"/>
  <c r="S29" i="340"/>
  <c r="O30" i="340"/>
  <c r="AE30" i="340"/>
  <c r="AA31" i="340"/>
  <c r="W33" i="340"/>
  <c r="S34" i="340"/>
  <c r="O36" i="340"/>
  <c r="AE36" i="340"/>
  <c r="AA37" i="340"/>
  <c r="W39" i="340"/>
  <c r="S40" i="340"/>
  <c r="O41" i="340"/>
  <c r="AE41" i="340"/>
  <c r="AA43" i="340"/>
  <c r="W44" i="340"/>
  <c r="S45" i="340"/>
  <c r="O47" i="340"/>
  <c r="AE47" i="340"/>
  <c r="AA48" i="340"/>
  <c r="W49" i="340"/>
  <c r="S50" i="340"/>
  <c r="O51" i="340"/>
  <c r="AE51" i="340"/>
  <c r="AA52" i="340"/>
  <c r="W54" i="340"/>
  <c r="S55" i="340"/>
  <c r="O56" i="340"/>
  <c r="AE56" i="340"/>
  <c r="AD57" i="340"/>
  <c r="AE59" i="340"/>
  <c r="AD60" i="340"/>
  <c r="AB61" i="340"/>
  <c r="AA63" i="340"/>
  <c r="Z65" i="340"/>
  <c r="AA66" i="340"/>
  <c r="Z67" i="340"/>
  <c r="X68" i="340"/>
  <c r="W70" i="340"/>
  <c r="V71" i="340"/>
  <c r="W72" i="340"/>
  <c r="V74" i="340"/>
  <c r="S76" i="340"/>
  <c r="R77" i="340"/>
  <c r="S78" i="340"/>
  <c r="S80" i="340"/>
  <c r="S82" i="340"/>
  <c r="W85" i="340"/>
  <c r="X86" i="340"/>
  <c r="X88" i="340"/>
  <c r="X89" i="340"/>
  <c r="Z90" i="340"/>
  <c r="AE91" i="340"/>
  <c r="R97" i="340"/>
  <c r="V98" i="340"/>
  <c r="Z100" i="340"/>
  <c r="AD101" i="340"/>
  <c r="AE103" i="340"/>
  <c r="V108" i="340"/>
  <c r="X110" i="340"/>
  <c r="AD111" i="340"/>
  <c r="O114" i="340"/>
  <c r="W115" i="340"/>
  <c r="AF116" i="340"/>
  <c r="Z118" i="340"/>
  <c r="R121" i="340"/>
  <c r="Z127" i="340"/>
  <c r="AA131" i="340"/>
  <c r="V137" i="340"/>
  <c r="S141" i="340"/>
  <c r="AD145" i="340"/>
  <c r="R149" i="340"/>
  <c r="AD157" i="340"/>
  <c r="AF160" i="340"/>
  <c r="W171" i="340"/>
  <c r="O179" i="340"/>
  <c r="W185" i="340"/>
  <c r="O209" i="340"/>
  <c r="AA215" i="340"/>
  <c r="Z221" i="340"/>
  <c r="AF228" i="340"/>
  <c r="O237" i="340"/>
  <c r="AD252" i="340"/>
  <c r="AE258" i="340"/>
  <c r="O279" i="340"/>
  <c r="V290" i="340"/>
  <c r="AA303" i="340"/>
  <c r="W319" i="340"/>
  <c r="O345" i="340"/>
  <c r="X392" i="340"/>
  <c r="Z463" i="340"/>
  <c r="AF8" i="340"/>
  <c r="AB11" i="340"/>
  <c r="X12" i="340"/>
  <c r="AF14" i="340"/>
  <c r="AB15" i="340"/>
  <c r="X16" i="340"/>
  <c r="AF18" i="340"/>
  <c r="AB19" i="340"/>
  <c r="X20" i="340"/>
  <c r="AF23" i="340"/>
  <c r="AB26" i="340"/>
  <c r="X28" i="340"/>
  <c r="AF30" i="340"/>
  <c r="AB31" i="340"/>
  <c r="X33" i="340"/>
  <c r="AF36" i="340"/>
  <c r="AB37" i="340"/>
  <c r="X39" i="340"/>
  <c r="AF41" i="340"/>
  <c r="AB43" i="340"/>
  <c r="X44" i="340"/>
  <c r="AF47" i="340"/>
  <c r="AB48" i="340"/>
  <c r="X49" i="340"/>
  <c r="AF51" i="340"/>
  <c r="AB52" i="340"/>
  <c r="X54" i="340"/>
  <c r="AF56" i="340"/>
  <c r="AF57" i="340"/>
  <c r="AF59" i="340"/>
  <c r="AE60" i="340"/>
  <c r="AD61" i="340"/>
  <c r="AB63" i="340"/>
  <c r="AB65" i="340"/>
  <c r="AB66" i="340"/>
  <c r="AA67" i="340"/>
  <c r="Z68" i="340"/>
  <c r="X70" i="340"/>
  <c r="X71" i="340"/>
  <c r="X72" i="340"/>
  <c r="W74" i="340"/>
  <c r="V75" i="340"/>
  <c r="V83" i="340"/>
  <c r="W84" i="340"/>
  <c r="X85" i="340"/>
  <c r="Z86" i="340"/>
  <c r="Z88" i="340"/>
  <c r="Z89" i="340"/>
  <c r="AD90" i="340"/>
  <c r="AF91" i="340"/>
  <c r="R96" i="340"/>
  <c r="S97" i="340"/>
  <c r="X98" i="340"/>
  <c r="AA100" i="340"/>
  <c r="AE101" i="340"/>
  <c r="AF103" i="340"/>
  <c r="S107" i="340"/>
  <c r="X108" i="340"/>
  <c r="Z110" i="340"/>
  <c r="AF111" i="340"/>
  <c r="R114" i="340"/>
  <c r="X115" i="340"/>
  <c r="AA118" i="340"/>
  <c r="S121" i="340"/>
  <c r="R123" i="340"/>
  <c r="AA127" i="340"/>
  <c r="R134" i="340"/>
  <c r="Z137" i="340"/>
  <c r="X141" i="340"/>
  <c r="R146" i="340"/>
  <c r="S149" i="340"/>
  <c r="Z153" i="340"/>
  <c r="AE157" i="340"/>
  <c r="W172" i="340"/>
  <c r="AA179" i="340"/>
  <c r="W187" i="340"/>
  <c r="O196" i="340"/>
  <c r="O201" i="340"/>
  <c r="V209" i="340"/>
  <c r="AB215" i="340"/>
  <c r="V222" i="340"/>
  <c r="S230" i="340"/>
  <c r="V237" i="340"/>
  <c r="AF244" i="340"/>
  <c r="AE252" i="340"/>
  <c r="X269" i="340"/>
  <c r="W279" i="340"/>
  <c r="AF291" i="340"/>
  <c r="AF303" i="340"/>
  <c r="AD321" i="340"/>
  <c r="R345" i="340"/>
  <c r="AA364" i="340"/>
  <c r="Z406" i="340"/>
  <c r="O473" i="340"/>
  <c r="V6" i="340"/>
  <c r="R8" i="340"/>
  <c r="AD11" i="340"/>
  <c r="Z12" i="340"/>
  <c r="V13" i="340"/>
  <c r="R14" i="340"/>
  <c r="AD15" i="340"/>
  <c r="Z16" i="340"/>
  <c r="V17" i="340"/>
  <c r="R18" i="340"/>
  <c r="AD19" i="340"/>
  <c r="Z20" i="340"/>
  <c r="V21" i="340"/>
  <c r="R23" i="340"/>
  <c r="AD26" i="340"/>
  <c r="Z28" i="340"/>
  <c r="V29" i="340"/>
  <c r="R30" i="340"/>
  <c r="AD31" i="340"/>
  <c r="Z33" i="340"/>
  <c r="V34" i="340"/>
  <c r="R36" i="340"/>
  <c r="AD37" i="340"/>
  <c r="Z39" i="340"/>
  <c r="V40" i="340"/>
  <c r="R41" i="340"/>
  <c r="AD43" i="340"/>
  <c r="Z44" i="340"/>
  <c r="V45" i="340"/>
  <c r="R47" i="340"/>
  <c r="AD48" i="340"/>
  <c r="Z49" i="340"/>
  <c r="V50" i="340"/>
  <c r="R51" i="340"/>
  <c r="AD52" i="340"/>
  <c r="Z54" i="340"/>
  <c r="V55" i="340"/>
  <c r="R56" i="340"/>
  <c r="O59" i="340"/>
  <c r="AF60" i="340"/>
  <c r="AE61" i="340"/>
  <c r="AD63" i="340"/>
  <c r="AE65" i="340"/>
  <c r="AD66" i="340"/>
  <c r="AB67" i="340"/>
  <c r="AA68" i="340"/>
  <c r="Z70" i="340"/>
  <c r="AA71" i="340"/>
  <c r="Z72" i="340"/>
  <c r="X74" i="340"/>
  <c r="W75" i="340"/>
  <c r="V76" i="340"/>
  <c r="W77" i="340"/>
  <c r="V78" i="340"/>
  <c r="V80" i="340"/>
  <c r="V82" i="340"/>
  <c r="W83" i="340"/>
  <c r="Z84" i="340"/>
  <c r="Z85" i="340"/>
  <c r="AA86" i="340"/>
  <c r="AA88" i="340"/>
  <c r="AA89" i="340"/>
  <c r="AF90" i="340"/>
  <c r="R95" i="340"/>
  <c r="S96" i="340"/>
  <c r="V97" i="340"/>
  <c r="AA98" i="340"/>
  <c r="AD100" i="340"/>
  <c r="AF101" i="340"/>
  <c r="R106" i="340"/>
  <c r="V107" i="340"/>
  <c r="Z108" i="340"/>
  <c r="AB110" i="340"/>
  <c r="S114" i="340"/>
  <c r="AA115" i="340"/>
  <c r="O117" i="340"/>
  <c r="AB118" i="340"/>
  <c r="Z121" i="340"/>
  <c r="S123" i="340"/>
  <c r="AF127" i="340"/>
  <c r="Z134" i="340"/>
  <c r="AA137" i="340"/>
  <c r="S146" i="340"/>
  <c r="R154" i="340"/>
  <c r="R164" i="340"/>
  <c r="AD172" i="340"/>
  <c r="AB179" i="340"/>
  <c r="O190" i="340"/>
  <c r="R196" i="340"/>
  <c r="AE201" i="340"/>
  <c r="AF209" i="340"/>
  <c r="AD215" i="340"/>
  <c r="V223" i="340"/>
  <c r="Z230" i="340"/>
  <c r="V239" i="340"/>
  <c r="V253" i="340"/>
  <c r="R261" i="340"/>
  <c r="Z269" i="340"/>
  <c r="AB280" i="340"/>
  <c r="S304" i="340"/>
  <c r="X323" i="340"/>
  <c r="AE345" i="340"/>
  <c r="AA406" i="340"/>
  <c r="AD475" i="340"/>
  <c r="AF306" i="340"/>
  <c r="AB323" i="340"/>
  <c r="AF345" i="340"/>
  <c r="W369" i="340"/>
  <c r="W408" i="340"/>
  <c r="AA567" i="340"/>
  <c r="X6" i="340"/>
  <c r="AF11" i="340"/>
  <c r="AB12" i="340"/>
  <c r="X13" i="340"/>
  <c r="AF15" i="340"/>
  <c r="AB16" i="340"/>
  <c r="X17" i="340"/>
  <c r="AF19" i="340"/>
  <c r="AB20" i="340"/>
  <c r="X21" i="340"/>
  <c r="AF26" i="340"/>
  <c r="AB28" i="340"/>
  <c r="X29" i="340"/>
  <c r="K29" i="340" s="1"/>
  <c r="AF31" i="340"/>
  <c r="AB33" i="340"/>
  <c r="X34" i="340"/>
  <c r="AF37" i="340"/>
  <c r="AB39" i="340"/>
  <c r="X40" i="340"/>
  <c r="AF43" i="340"/>
  <c r="AB44" i="340"/>
  <c r="X45" i="340"/>
  <c r="AF48" i="340"/>
  <c r="AB49" i="340"/>
  <c r="X50" i="340"/>
  <c r="AF52" i="340"/>
  <c r="AB54" i="340"/>
  <c r="X55" i="340"/>
  <c r="S57" i="340"/>
  <c r="R59" i="340"/>
  <c r="O61" i="340"/>
  <c r="O65" i="340"/>
  <c r="AF66" i="340"/>
  <c r="AE67" i="340"/>
  <c r="AD68" i="340"/>
  <c r="AE70" i="340"/>
  <c r="AD71" i="340"/>
  <c r="AB72" i="340"/>
  <c r="AA74" i="340"/>
  <c r="Z75" i="340"/>
  <c r="AA76" i="340"/>
  <c r="Z77" i="340"/>
  <c r="X78" i="340"/>
  <c r="X80" i="340"/>
  <c r="Z82" i="340"/>
  <c r="AB83" i="340"/>
  <c r="AB84" i="340"/>
  <c r="AD85" i="340"/>
  <c r="AD86" i="340"/>
  <c r="AD88" i="340"/>
  <c r="O91" i="340"/>
  <c r="R93" i="340"/>
  <c r="V96" i="340"/>
  <c r="AB97" i="340"/>
  <c r="AD98" i="340"/>
  <c r="O103" i="340"/>
  <c r="R104" i="340"/>
  <c r="W106" i="340"/>
  <c r="Z107" i="340"/>
  <c r="AB108" i="340"/>
  <c r="AE110" i="340"/>
  <c r="S112" i="340"/>
  <c r="X114" i="340"/>
  <c r="AD115" i="340"/>
  <c r="AF118" i="340"/>
  <c r="AF121" i="340"/>
  <c r="AF123" i="340"/>
  <c r="AF134" i="340"/>
  <c r="V138" i="340"/>
  <c r="AA142" i="340"/>
  <c r="Z146" i="340"/>
  <c r="S151" i="340"/>
  <c r="AA158" i="340"/>
  <c r="O166" i="340"/>
  <c r="AF172" i="340"/>
  <c r="W181" i="340"/>
  <c r="W190" i="340"/>
  <c r="X197" i="340"/>
  <c r="S210" i="340"/>
  <c r="AA217" i="340"/>
  <c r="AD223" i="340"/>
  <c r="AA231" i="340"/>
  <c r="S240" i="340"/>
  <c r="R246" i="340"/>
  <c r="X261" i="340"/>
  <c r="O282" i="340"/>
  <c r="S293" i="340"/>
  <c r="AB309" i="340"/>
  <c r="O325" i="340"/>
  <c r="AE350" i="340"/>
  <c r="AA370" i="340"/>
  <c r="AD411" i="340"/>
  <c r="Z6" i="340"/>
  <c r="V8" i="340"/>
  <c r="R11" i="340"/>
  <c r="AD12" i="340"/>
  <c r="Z13" i="340"/>
  <c r="V14" i="340"/>
  <c r="R15" i="340"/>
  <c r="AD16" i="340"/>
  <c r="Z17" i="340"/>
  <c r="V18" i="340"/>
  <c r="R19" i="340"/>
  <c r="AD20" i="340"/>
  <c r="Z21" i="340"/>
  <c r="V23" i="340"/>
  <c r="R26" i="340"/>
  <c r="AD28" i="340"/>
  <c r="Z29" i="340"/>
  <c r="V30" i="340"/>
  <c r="R31" i="340"/>
  <c r="AD33" i="340"/>
  <c r="Z34" i="340"/>
  <c r="V36" i="340"/>
  <c r="R37" i="340"/>
  <c r="AD39" i="340"/>
  <c r="Z40" i="340"/>
  <c r="V41" i="340"/>
  <c r="R43" i="340"/>
  <c r="AD44" i="340"/>
  <c r="Z45" i="340"/>
  <c r="V47" i="340"/>
  <c r="R48" i="340"/>
  <c r="AD49" i="340"/>
  <c r="Z50" i="340"/>
  <c r="V51" i="340"/>
  <c r="R52" i="340"/>
  <c r="AD54" i="340"/>
  <c r="Z55" i="340"/>
  <c r="V56" i="340"/>
  <c r="S59" i="340"/>
  <c r="R60" i="340"/>
  <c r="O66" i="340"/>
  <c r="AF67" i="340"/>
  <c r="AF68" i="340"/>
  <c r="AF70" i="340"/>
  <c r="AE71" i="340"/>
  <c r="AD72" i="340"/>
  <c r="AB74" i="340"/>
  <c r="AB75" i="340"/>
  <c r="AB76" i="340"/>
  <c r="AA77" i="340"/>
  <c r="Z78" i="340"/>
  <c r="Z80" i="340"/>
  <c r="AB82" i="340"/>
  <c r="AD83" i="340"/>
  <c r="AD84" i="340"/>
  <c r="AE85" i="340"/>
  <c r="AE86" i="340"/>
  <c r="AF88" i="340"/>
  <c r="O90" i="340"/>
  <c r="V95" i="340"/>
  <c r="Z96" i="340"/>
  <c r="AD97" i="340"/>
  <c r="AE98" i="340"/>
  <c r="O101" i="340"/>
  <c r="V104" i="340"/>
  <c r="X106" i="340"/>
  <c r="AB107" i="340"/>
  <c r="AD108" i="340"/>
  <c r="AA114" i="340"/>
  <c r="AE115" i="340"/>
  <c r="V117" i="340"/>
  <c r="O122" i="340"/>
  <c r="O129" i="340"/>
  <c r="AA138" i="340"/>
  <c r="AB142" i="340"/>
  <c r="O147" i="340"/>
  <c r="X151" i="340"/>
  <c r="V154" i="340"/>
  <c r="S159" i="340"/>
  <c r="Z181" i="340"/>
  <c r="AF190" i="340"/>
  <c r="R204" i="340"/>
  <c r="V211" i="340"/>
  <c r="AE223" i="340"/>
  <c r="V234" i="340"/>
  <c r="AD240" i="340"/>
  <c r="W247" i="340"/>
  <c r="O256" i="340"/>
  <c r="AA261" i="340"/>
  <c r="W326" i="340"/>
  <c r="O352" i="340"/>
  <c r="AB370" i="340"/>
  <c r="Z418" i="340"/>
  <c r="AA6" i="340"/>
  <c r="W8" i="340"/>
  <c r="S11" i="340"/>
  <c r="O12" i="340"/>
  <c r="AE12" i="340"/>
  <c r="AA13" i="340"/>
  <c r="W14" i="340"/>
  <c r="S15" i="340"/>
  <c r="O16" i="340"/>
  <c r="AE16" i="340"/>
  <c r="AA17" i="340"/>
  <c r="W18" i="340"/>
  <c r="S19" i="340"/>
  <c r="O20" i="340"/>
  <c r="AE20" i="340"/>
  <c r="AA21" i="340"/>
  <c r="W23" i="340"/>
  <c r="S26" i="340"/>
  <c r="O28" i="340"/>
  <c r="AE28" i="340"/>
  <c r="AA29" i="340"/>
  <c r="W30" i="340"/>
  <c r="S31" i="340"/>
  <c r="O33" i="340"/>
  <c r="AE33" i="340"/>
  <c r="AA34" i="340"/>
  <c r="W36" i="340"/>
  <c r="S37" i="340"/>
  <c r="O39" i="340"/>
  <c r="AE39" i="340"/>
  <c r="AA40" i="340"/>
  <c r="W41" i="340"/>
  <c r="S43" i="340"/>
  <c r="O44" i="340"/>
  <c r="AE44" i="340"/>
  <c r="AA45" i="340"/>
  <c r="W47" i="340"/>
  <c r="S48" i="340"/>
  <c r="O49" i="340"/>
  <c r="AE49" i="340"/>
  <c r="AA50" i="340"/>
  <c r="W51" i="340"/>
  <c r="S52" i="340"/>
  <c r="O54" i="340"/>
  <c r="AE54" i="340"/>
  <c r="AA55" i="340"/>
  <c r="W56" i="340"/>
  <c r="V57" i="340"/>
  <c r="S60" i="340"/>
  <c r="R61" i="340"/>
  <c r="S63" i="340"/>
  <c r="R65" i="340"/>
  <c r="O67" i="340"/>
  <c r="O70" i="340"/>
  <c r="AF71" i="340"/>
  <c r="AE72" i="340"/>
  <c r="AD74" i="340"/>
  <c r="AE75" i="340"/>
  <c r="AD76" i="340"/>
  <c r="AB77" i="340"/>
  <c r="AA78" i="340"/>
  <c r="AB80" i="340"/>
  <c r="AE82" i="340"/>
  <c r="AE83" i="340"/>
  <c r="AF84" i="340"/>
  <c r="AF85" i="340"/>
  <c r="AF86" i="340"/>
  <c r="R91" i="340"/>
  <c r="V93" i="340"/>
  <c r="W95" i="340"/>
  <c r="AD96" i="340"/>
  <c r="AE97" i="340"/>
  <c r="R103" i="340"/>
  <c r="X104" i="340"/>
  <c r="Z106" i="340"/>
  <c r="AD107" i="340"/>
  <c r="AE108" i="340"/>
  <c r="R111" i="340"/>
  <c r="V112" i="340"/>
  <c r="AB114" i="340"/>
  <c r="R116" i="340"/>
  <c r="W117" i="340"/>
  <c r="O119" i="340"/>
  <c r="V124" i="340"/>
  <c r="W135" i="340"/>
  <c r="AF138" i="340"/>
  <c r="AD142" i="340"/>
  <c r="AA147" i="340"/>
  <c r="Z151" i="340"/>
  <c r="O156" i="340"/>
  <c r="V166" i="340"/>
  <c r="AD175" i="340"/>
  <c r="AA181" i="340"/>
  <c r="AD191" i="340"/>
  <c r="V198" i="340"/>
  <c r="S204" i="340"/>
  <c r="AE211" i="340"/>
  <c r="R218" i="340"/>
  <c r="AE224" i="340"/>
  <c r="W234" i="340"/>
  <c r="AE240" i="340"/>
  <c r="S249" i="340"/>
  <c r="Z263" i="340"/>
  <c r="AD275" i="340"/>
  <c r="W298" i="340"/>
  <c r="X310" i="340"/>
  <c r="X330" i="340"/>
  <c r="AF352" i="340"/>
  <c r="AF370" i="340"/>
  <c r="AF428" i="340"/>
  <c r="S335" i="340"/>
  <c r="O358" i="340"/>
  <c r="AA385" i="340"/>
  <c r="V432" i="340"/>
  <c r="O57" i="340"/>
  <c r="AE57" i="340"/>
  <c r="AA59" i="340"/>
  <c r="W60" i="340"/>
  <c r="S61" i="340"/>
  <c r="O63" i="340"/>
  <c r="AE63" i="340"/>
  <c r="AA65" i="340"/>
  <c r="W66" i="340"/>
  <c r="S67" i="340"/>
  <c r="O68" i="340"/>
  <c r="AE68" i="340"/>
  <c r="AA70" i="340"/>
  <c r="W71" i="340"/>
  <c r="S72" i="340"/>
  <c r="O74" i="340"/>
  <c r="AE74" i="340"/>
  <c r="AA75" i="340"/>
  <c r="W76" i="340"/>
  <c r="S77" i="340"/>
  <c r="O78" i="340"/>
  <c r="AF78" i="340"/>
  <c r="AD80" i="340"/>
  <c r="AA82" i="340"/>
  <c r="X83" i="340"/>
  <c r="V84" i="340"/>
  <c r="S85" i="340"/>
  <c r="AE88" i="340"/>
  <c r="AB89" i="340"/>
  <c r="AB90" i="340"/>
  <c r="AA91" i="340"/>
  <c r="Z93" i="340"/>
  <c r="X95" i="340"/>
  <c r="W96" i="340"/>
  <c r="X97" i="340"/>
  <c r="W98" i="340"/>
  <c r="V100" i="340"/>
  <c r="S103" i="340"/>
  <c r="S106" i="340"/>
  <c r="R107" i="340"/>
  <c r="O110" i="340"/>
  <c r="O112" i="340"/>
  <c r="AF114" i="340"/>
  <c r="Z123" i="340"/>
  <c r="AB124" i="340"/>
  <c r="S129" i="340"/>
  <c r="AB131" i="340"/>
  <c r="R135" i="340"/>
  <c r="X136" i="340"/>
  <c r="AD137" i="340"/>
  <c r="S140" i="340"/>
  <c r="Z141" i="340"/>
  <c r="AE142" i="340"/>
  <c r="AD146" i="340"/>
  <c r="V149" i="340"/>
  <c r="AE151" i="340"/>
  <c r="R153" i="340"/>
  <c r="W154" i="340"/>
  <c r="AF156" i="340"/>
  <c r="V158" i="340"/>
  <c r="AB159" i="340"/>
  <c r="O163" i="340"/>
  <c r="W166" i="340"/>
  <c r="AD170" i="340"/>
  <c r="W176" i="340"/>
  <c r="S182" i="340"/>
  <c r="X185" i="340"/>
  <c r="Z196" i="340"/>
  <c r="O199" i="340"/>
  <c r="X201" i="340"/>
  <c r="AE204" i="340"/>
  <c r="AE206" i="340"/>
  <c r="Z210" i="340"/>
  <c r="AA212" i="340"/>
  <c r="AE215" i="340"/>
  <c r="V218" i="340"/>
  <c r="AE221" i="340"/>
  <c r="R224" i="340"/>
  <c r="V227" i="340"/>
  <c r="AE230" i="340"/>
  <c r="R235" i="340"/>
  <c r="W237" i="340"/>
  <c r="AF240" i="340"/>
  <c r="V243" i="340"/>
  <c r="AB246" i="340"/>
  <c r="W253" i="340"/>
  <c r="AE256" i="340"/>
  <c r="O259" i="340"/>
  <c r="AB261" i="340"/>
  <c r="AB265" i="340"/>
  <c r="R270" i="340"/>
  <c r="Z279" i="340"/>
  <c r="O283" i="340"/>
  <c r="W287" i="340"/>
  <c r="W293" i="340"/>
  <c r="W311" i="340"/>
  <c r="X319" i="340"/>
  <c r="AA326" i="340"/>
  <c r="AB335" i="340"/>
  <c r="AE346" i="340"/>
  <c r="AF388" i="340"/>
  <c r="AE434" i="340"/>
  <c r="Z478" i="340"/>
  <c r="R118" i="340"/>
  <c r="V119" i="340"/>
  <c r="V121" i="340"/>
  <c r="V122" i="340"/>
  <c r="AB123" i="340"/>
  <c r="AD124" i="340"/>
  <c r="R128" i="340"/>
  <c r="X129" i="340"/>
  <c r="AD131" i="340"/>
  <c r="S135" i="340"/>
  <c r="Z136" i="340"/>
  <c r="AE137" i="340"/>
  <c r="AD141" i="340"/>
  <c r="V145" i="340"/>
  <c r="AE146" i="340"/>
  <c r="R148" i="340"/>
  <c r="W149" i="340"/>
  <c r="AF151" i="340"/>
  <c r="V153" i="340"/>
  <c r="AB154" i="340"/>
  <c r="W158" i="340"/>
  <c r="AD159" i="340"/>
  <c r="V163" i="340"/>
  <c r="AD166" i="340"/>
  <c r="S171" i="340"/>
  <c r="Z174" i="340"/>
  <c r="Z176" i="340"/>
  <c r="O180" i="340"/>
  <c r="V182" i="340"/>
  <c r="Z185" i="340"/>
  <c r="O191" i="340"/>
  <c r="Z193" i="340"/>
  <c r="AE196" i="340"/>
  <c r="Z201" i="340"/>
  <c r="AF204" i="340"/>
  <c r="R207" i="340"/>
  <c r="AA210" i="340"/>
  <c r="W216" i="340"/>
  <c r="W218" i="340"/>
  <c r="R222" i="340"/>
  <c r="S224" i="340"/>
  <c r="W227" i="340"/>
  <c r="W235" i="340"/>
  <c r="AD237" i="340"/>
  <c r="W243" i="340"/>
  <c r="AD246" i="340"/>
  <c r="O250" i="340"/>
  <c r="X253" i="340"/>
  <c r="O257" i="340"/>
  <c r="Z259" i="340"/>
  <c r="O263" i="340"/>
  <c r="AD265" i="340"/>
  <c r="X270" i="340"/>
  <c r="R276" i="340"/>
  <c r="AA279" i="340"/>
  <c r="AF283" i="340"/>
  <c r="R289" i="340"/>
  <c r="X293" i="340"/>
  <c r="AB300" i="340"/>
  <c r="Z305" i="340"/>
  <c r="AA311" i="340"/>
  <c r="AE319" i="340"/>
  <c r="AF346" i="340"/>
  <c r="W366" i="340"/>
  <c r="W373" i="340"/>
  <c r="V389" i="340"/>
  <c r="X416" i="340"/>
  <c r="AE438" i="340"/>
  <c r="Z488" i="340"/>
  <c r="R57" i="340"/>
  <c r="AD59" i="340"/>
  <c r="Z60" i="340"/>
  <c r="V61" i="340"/>
  <c r="R63" i="340"/>
  <c r="AD65" i="340"/>
  <c r="Z66" i="340"/>
  <c r="V67" i="340"/>
  <c r="R68" i="340"/>
  <c r="AD70" i="340"/>
  <c r="Z71" i="340"/>
  <c r="V72" i="340"/>
  <c r="R74" i="340"/>
  <c r="AD75" i="340"/>
  <c r="Z76" i="340"/>
  <c r="V77" i="340"/>
  <c r="R78" i="340"/>
  <c r="O80" i="340"/>
  <c r="AF80" i="340"/>
  <c r="AD82" i="340"/>
  <c r="AA83" i="340"/>
  <c r="X84" i="340"/>
  <c r="V85" i="340"/>
  <c r="S86" i="340"/>
  <c r="AF89" i="340"/>
  <c r="AE90" i="340"/>
  <c r="AD91" i="340"/>
  <c r="AB93" i="340"/>
  <c r="AA95" i="340"/>
  <c r="AB96" i="340"/>
  <c r="AA97" i="340"/>
  <c r="Z98" i="340"/>
  <c r="X100" i="340"/>
  <c r="W101" i="340"/>
  <c r="X103" i="340"/>
  <c r="W104" i="340"/>
  <c r="V106" i="340"/>
  <c r="S108" i="340"/>
  <c r="S111" i="340"/>
  <c r="R112" i="340"/>
  <c r="O115" i="340"/>
  <c r="S116" i="340"/>
  <c r="S117" i="340"/>
  <c r="S118" i="340"/>
  <c r="W119" i="340"/>
  <c r="W121" i="340"/>
  <c r="W122" i="340"/>
  <c r="AD123" i="340"/>
  <c r="AE124" i="340"/>
  <c r="S128" i="340"/>
  <c r="Z129" i="340"/>
  <c r="AE131" i="340"/>
  <c r="AD136" i="340"/>
  <c r="V140" i="340"/>
  <c r="AE141" i="340"/>
  <c r="R143" i="340"/>
  <c r="W145" i="340"/>
  <c r="AF146" i="340"/>
  <c r="V148" i="340"/>
  <c r="AB149" i="340"/>
  <c r="W153" i="340"/>
  <c r="AD154" i="340"/>
  <c r="O157" i="340"/>
  <c r="X158" i="340"/>
  <c r="AA163" i="340"/>
  <c r="AE166" i="340"/>
  <c r="AA174" i="340"/>
  <c r="AA176" i="340"/>
  <c r="V180" i="340"/>
  <c r="AE182" i="340"/>
  <c r="R187" i="340"/>
  <c r="R191" i="340"/>
  <c r="AA193" i="340"/>
  <c r="R199" i="340"/>
  <c r="AA201" i="340"/>
  <c r="R205" i="340"/>
  <c r="W207" i="340"/>
  <c r="AB210" i="340"/>
  <c r="R213" i="340"/>
  <c r="X216" i="340"/>
  <c r="AD218" i="340"/>
  <c r="S222" i="340"/>
  <c r="AB224" i="340"/>
  <c r="O228" i="340"/>
  <c r="O231" i="340"/>
  <c r="AD235" i="340"/>
  <c r="AE237" i="340"/>
  <c r="O241" i="340"/>
  <c r="Z243" i="340"/>
  <c r="O247" i="340"/>
  <c r="V250" i="340"/>
  <c r="Z253" i="340"/>
  <c r="AA259" i="340"/>
  <c r="AE265" i="340"/>
  <c r="AE270" i="340"/>
  <c r="AF276" i="340"/>
  <c r="R280" i="340"/>
  <c r="AB289" i="340"/>
  <c r="AF293" i="340"/>
  <c r="AD300" i="340"/>
  <c r="AD306" i="340"/>
  <c r="W312" i="340"/>
  <c r="O320" i="340"/>
  <c r="Z329" i="340"/>
  <c r="Z356" i="340"/>
  <c r="AB366" i="340"/>
  <c r="AE377" i="340"/>
  <c r="AE389" i="340"/>
  <c r="Z416" i="340"/>
  <c r="V441" i="340"/>
  <c r="O492" i="340"/>
  <c r="X118" i="340"/>
  <c r="X119" i="340"/>
  <c r="X121" i="340"/>
  <c r="AB122" i="340"/>
  <c r="AE123" i="340"/>
  <c r="AD129" i="340"/>
  <c r="V135" i="340"/>
  <c r="AE136" i="340"/>
  <c r="R138" i="340"/>
  <c r="W140" i="340"/>
  <c r="AF141" i="340"/>
  <c r="V143" i="340"/>
  <c r="AB145" i="340"/>
  <c r="W148" i="340"/>
  <c r="AD149" i="340"/>
  <c r="O152" i="340"/>
  <c r="X153" i="340"/>
  <c r="Z158" i="340"/>
  <c r="O160" i="340"/>
  <c r="AB163" i="340"/>
  <c r="AF166" i="340"/>
  <c r="V171" i="340"/>
  <c r="AE174" i="340"/>
  <c r="R178" i="340"/>
  <c r="W180" i="340"/>
  <c r="AF182" i="340"/>
  <c r="S187" i="340"/>
  <c r="S191" i="340"/>
  <c r="W197" i="340"/>
  <c r="AD199" i="340"/>
  <c r="AD201" i="340"/>
  <c r="S205" i="340"/>
  <c r="Z207" i="340"/>
  <c r="AD210" i="340"/>
  <c r="S213" i="340"/>
  <c r="AD216" i="340"/>
  <c r="O219" i="340"/>
  <c r="AD224" i="340"/>
  <c r="V231" i="340"/>
  <c r="AE235" i="340"/>
  <c r="AA241" i="340"/>
  <c r="AA243" i="340"/>
  <c r="V247" i="340"/>
  <c r="W250" i="340"/>
  <c r="AA253" i="340"/>
  <c r="S257" i="340"/>
  <c r="X263" i="340"/>
  <c r="AF265" i="340"/>
  <c r="S280" i="340"/>
  <c r="W284" i="340"/>
  <c r="O295" i="340"/>
  <c r="AE306" i="340"/>
  <c r="S313" i="340"/>
  <c r="AA329" i="340"/>
  <c r="AD341" i="340"/>
  <c r="O350" i="340"/>
  <c r="AA356" i="340"/>
  <c r="S367" i="340"/>
  <c r="R380" i="340"/>
  <c r="S390" i="340"/>
  <c r="X418" i="340"/>
  <c r="AE533" i="340"/>
  <c r="W128" i="340"/>
  <c r="AF129" i="340"/>
  <c r="V134" i="340"/>
  <c r="AB135" i="340"/>
  <c r="W138" i="340"/>
  <c r="AD140" i="340"/>
  <c r="O142" i="340"/>
  <c r="X143" i="340"/>
  <c r="Z148" i="340"/>
  <c r="O151" i="340"/>
  <c r="V152" i="340"/>
  <c r="AA153" i="340"/>
  <c r="Z157" i="340"/>
  <c r="AF158" i="340"/>
  <c r="R160" i="340"/>
  <c r="S164" i="340"/>
  <c r="Z169" i="340"/>
  <c r="Z171" i="340"/>
  <c r="O175" i="340"/>
  <c r="AD178" i="340"/>
  <c r="AE180" i="340"/>
  <c r="O184" i="340"/>
  <c r="Z187" i="340"/>
  <c r="AE191" i="340"/>
  <c r="Z197" i="340"/>
  <c r="O200" i="340"/>
  <c r="V203" i="340"/>
  <c r="AA205" i="340"/>
  <c r="W211" i="340"/>
  <c r="W213" i="340"/>
  <c r="R217" i="340"/>
  <c r="AA219" i="340"/>
  <c r="W228" i="340"/>
  <c r="AD231" i="340"/>
  <c r="W239" i="340"/>
  <c r="S244" i="340"/>
  <c r="X247" i="340"/>
  <c r="AB257" i="340"/>
  <c r="V260" i="340"/>
  <c r="AA266" i="340"/>
  <c r="R272" i="340"/>
  <c r="AE277" i="340"/>
  <c r="AF280" i="340"/>
  <c r="Z284" i="340"/>
  <c r="X290" i="340"/>
  <c r="X295" i="340"/>
  <c r="AE313" i="340"/>
  <c r="AE321" i="340"/>
  <c r="AD330" i="340"/>
  <c r="AF341" i="340"/>
  <c r="W361" i="340"/>
  <c r="S368" i="340"/>
  <c r="AF381" i="340"/>
  <c r="Z392" i="340"/>
  <c r="V449" i="340"/>
  <c r="O124" i="340"/>
  <c r="V127" i="340"/>
  <c r="AB128" i="340"/>
  <c r="W134" i="340"/>
  <c r="AD135" i="340"/>
  <c r="O137" i="340"/>
  <c r="X138" i="340"/>
  <c r="Z143" i="340"/>
  <c r="O146" i="340"/>
  <c r="V147" i="340"/>
  <c r="AA148" i="340"/>
  <c r="Z152" i="340"/>
  <c r="AF153" i="340"/>
  <c r="R156" i="340"/>
  <c r="AA157" i="340"/>
  <c r="S160" i="340"/>
  <c r="AD169" i="340"/>
  <c r="V175" i="340"/>
  <c r="AE178" i="340"/>
  <c r="R181" i="340"/>
  <c r="R184" i="340"/>
  <c r="AA187" i="340"/>
  <c r="V192" i="340"/>
  <c r="W194" i="340"/>
  <c r="AA197" i="340"/>
  <c r="R200" i="340"/>
  <c r="W203" i="340"/>
  <c r="AB205" i="340"/>
  <c r="R209" i="340"/>
  <c r="AA211" i="340"/>
  <c r="S217" i="340"/>
  <c r="AB219" i="340"/>
  <c r="O223" i="340"/>
  <c r="O225" i="340"/>
  <c r="AD228" i="340"/>
  <c r="S234" i="340"/>
  <c r="Z236" i="340"/>
  <c r="Z239" i="340"/>
  <c r="O242" i="340"/>
  <c r="V244" i="340"/>
  <c r="Z247" i="340"/>
  <c r="O252" i="340"/>
  <c r="Z254" i="340"/>
  <c r="W260" i="340"/>
  <c r="R264" i="340"/>
  <c r="AB266" i="340"/>
  <c r="AA272" i="340"/>
  <c r="AF277" i="340"/>
  <c r="AB281" i="340"/>
  <c r="AD285" i="340"/>
  <c r="AB290" i="340"/>
  <c r="S308" i="340"/>
  <c r="S314" i="340"/>
  <c r="X322" i="340"/>
  <c r="X331" i="340"/>
  <c r="S342" i="340"/>
  <c r="X351" i="340"/>
  <c r="X361" i="340"/>
  <c r="AA402" i="340"/>
  <c r="S423" i="340"/>
  <c r="O452" i="340"/>
  <c r="AA110" i="340"/>
  <c r="Z111" i="340"/>
  <c r="Z112" i="340"/>
  <c r="Z114" i="340"/>
  <c r="Z115" i="340"/>
  <c r="Z116" i="340"/>
  <c r="AD117" i="340"/>
  <c r="AD118" i="340"/>
  <c r="AD119" i="340"/>
  <c r="O123" i="340"/>
  <c r="W127" i="340"/>
  <c r="AD128" i="340"/>
  <c r="O131" i="340"/>
  <c r="X134" i="340"/>
  <c r="Z138" i="340"/>
  <c r="O141" i="340"/>
  <c r="V142" i="340"/>
  <c r="AA143" i="340"/>
  <c r="Z147" i="340"/>
  <c r="AF148" i="340"/>
  <c r="R151" i="340"/>
  <c r="AA152" i="340"/>
  <c r="S156" i="340"/>
  <c r="AB157" i="340"/>
  <c r="R159" i="340"/>
  <c r="Z160" i="340"/>
  <c r="V164" i="340"/>
  <c r="AE169" i="340"/>
  <c r="R172" i="340"/>
  <c r="W175" i="340"/>
  <c r="AF178" i="340"/>
  <c r="V181" i="340"/>
  <c r="AB184" i="340"/>
  <c r="W192" i="340"/>
  <c r="AD194" i="340"/>
  <c r="AD197" i="340"/>
  <c r="S200" i="340"/>
  <c r="O206" i="340"/>
  <c r="S209" i="340"/>
  <c r="AD211" i="340"/>
  <c r="O215" i="340"/>
  <c r="AD219" i="340"/>
  <c r="S223" i="340"/>
  <c r="Z225" i="340"/>
  <c r="AE228" i="340"/>
  <c r="AA236" i="340"/>
  <c r="AA239" i="340"/>
  <c r="V242" i="340"/>
  <c r="AE244" i="340"/>
  <c r="R249" i="340"/>
  <c r="R252" i="340"/>
  <c r="AA254" i="340"/>
  <c r="X260" i="340"/>
  <c r="S264" i="340"/>
  <c r="O269" i="340"/>
  <c r="AD281" i="340"/>
  <c r="AE285" i="340"/>
  <c r="X291" i="340"/>
  <c r="V298" i="340"/>
  <c r="W303" i="340"/>
  <c r="X309" i="340"/>
  <c r="W323" i="340"/>
  <c r="AE331" i="340"/>
  <c r="W342" i="340"/>
  <c r="S363" i="340"/>
  <c r="X382" i="340"/>
  <c r="AF452" i="340"/>
  <c r="X90" i="340"/>
  <c r="AF93" i="340"/>
  <c r="AB95" i="340"/>
  <c r="X96" i="340"/>
  <c r="AF98" i="340"/>
  <c r="AB100" i="340"/>
  <c r="X101" i="340"/>
  <c r="AF104" i="340"/>
  <c r="AB106" i="340"/>
  <c r="X107" i="340"/>
  <c r="AF110" i="340"/>
  <c r="AB111" i="340"/>
  <c r="X112" i="340"/>
  <c r="AF115" i="340"/>
  <c r="AB116" i="340"/>
  <c r="X117" i="340"/>
  <c r="AF119" i="340"/>
  <c r="AB121" i="340"/>
  <c r="X122" i="340"/>
  <c r="AF124" i="340"/>
  <c r="AB127" i="340"/>
  <c r="X128" i="340"/>
  <c r="AF131" i="340"/>
  <c r="AB134" i="340"/>
  <c r="X135" i="340"/>
  <c r="AF137" i="340"/>
  <c r="AB138" i="340"/>
  <c r="X140" i="340"/>
  <c r="AF142" i="340"/>
  <c r="AB143" i="340"/>
  <c r="X145" i="340"/>
  <c r="AF147" i="340"/>
  <c r="AB148" i="340"/>
  <c r="X149" i="340"/>
  <c r="AF152" i="340"/>
  <c r="AB153" i="340"/>
  <c r="X154" i="340"/>
  <c r="AF157" i="340"/>
  <c r="AB158" i="340"/>
  <c r="X159" i="340"/>
  <c r="W163" i="340"/>
  <c r="Z164" i="340"/>
  <c r="W170" i="340"/>
  <c r="AA171" i="340"/>
  <c r="O174" i="340"/>
  <c r="X175" i="340"/>
  <c r="R179" i="340"/>
  <c r="Z180" i="340"/>
  <c r="O182" i="340"/>
  <c r="S184" i="340"/>
  <c r="AA185" i="340"/>
  <c r="Z191" i="340"/>
  <c r="AD192" i="340"/>
  <c r="R194" i="340"/>
  <c r="AA196" i="340"/>
  <c r="AE197" i="340"/>
  <c r="S199" i="340"/>
  <c r="AB200" i="340"/>
  <c r="R203" i="340"/>
  <c r="V204" i="340"/>
  <c r="AD205" i="340"/>
  <c r="S207" i="340"/>
  <c r="W209" i="340"/>
  <c r="AE210" i="340"/>
  <c r="AD213" i="340"/>
  <c r="V217" i="340"/>
  <c r="AE218" i="340"/>
  <c r="O221" i="340"/>
  <c r="W222" i="340"/>
  <c r="AF223" i="340"/>
  <c r="V225" i="340"/>
  <c r="Z227" i="340"/>
  <c r="W231" i="340"/>
  <c r="AA234" i="340"/>
  <c r="O236" i="340"/>
  <c r="X237" i="340"/>
  <c r="R241" i="340"/>
  <c r="Z242" i="340"/>
  <c r="O244" i="340"/>
  <c r="S246" i="340"/>
  <c r="AA247" i="340"/>
  <c r="Z252" i="340"/>
  <c r="AD253" i="340"/>
  <c r="R256" i="340"/>
  <c r="AD257" i="340"/>
  <c r="AA260" i="340"/>
  <c r="S263" i="340"/>
  <c r="AE264" i="340"/>
  <c r="AD269" i="340"/>
  <c r="AB272" i="340"/>
  <c r="R278" i="340"/>
  <c r="W280" i="340"/>
  <c r="AB282" i="340"/>
  <c r="AB284" i="340"/>
  <c r="AA287" i="340"/>
  <c r="Z291" i="340"/>
  <c r="AB298" i="340"/>
  <c r="AE301" i="340"/>
  <c r="AE304" i="340"/>
  <c r="X308" i="340"/>
  <c r="AB311" i="340"/>
  <c r="W315" i="340"/>
  <c r="Z320" i="340"/>
  <c r="R325" i="340"/>
  <c r="AE330" i="340"/>
  <c r="X337" i="340"/>
  <c r="AB342" i="340"/>
  <c r="W349" i="340"/>
  <c r="R353" i="340"/>
  <c r="AE364" i="340"/>
  <c r="X368" i="340"/>
  <c r="O383" i="340"/>
  <c r="X408" i="340"/>
  <c r="X419" i="340"/>
  <c r="AF434" i="340"/>
  <c r="AB453" i="340"/>
  <c r="R115" i="340"/>
  <c r="AD116" i="340"/>
  <c r="Z117" i="340"/>
  <c r="V118" i="340"/>
  <c r="R119" i="340"/>
  <c r="AD121" i="340"/>
  <c r="Z122" i="340"/>
  <c r="V123" i="340"/>
  <c r="R124" i="340"/>
  <c r="AD127" i="340"/>
  <c r="Z128" i="340"/>
  <c r="V129" i="340"/>
  <c r="R131" i="340"/>
  <c r="AD134" i="340"/>
  <c r="Z135" i="340"/>
  <c r="V136" i="340"/>
  <c r="R137" i="340"/>
  <c r="AD138" i="340"/>
  <c r="Z140" i="340"/>
  <c r="V141" i="340"/>
  <c r="R142" i="340"/>
  <c r="AD143" i="340"/>
  <c r="Z145" i="340"/>
  <c r="V146" i="340"/>
  <c r="R147" i="340"/>
  <c r="AD148" i="340"/>
  <c r="Z149" i="340"/>
  <c r="V151" i="340"/>
  <c r="R152" i="340"/>
  <c r="AD153" i="340"/>
  <c r="Z154" i="340"/>
  <c r="V156" i="340"/>
  <c r="R157" i="340"/>
  <c r="AD158" i="340"/>
  <c r="Z159" i="340"/>
  <c r="V160" i="340"/>
  <c r="X163" i="340"/>
  <c r="AA164" i="340"/>
  <c r="O169" i="340"/>
  <c r="X170" i="340"/>
  <c r="R174" i="340"/>
  <c r="Z175" i="340"/>
  <c r="O178" i="340"/>
  <c r="S179" i="340"/>
  <c r="AA180" i="340"/>
  <c r="Z184" i="340"/>
  <c r="AD185" i="340"/>
  <c r="R190" i="340"/>
  <c r="AA191" i="340"/>
  <c r="AE192" i="340"/>
  <c r="S194" i="340"/>
  <c r="AB196" i="340"/>
  <c r="R198" i="340"/>
  <c r="V199" i="340"/>
  <c r="AD200" i="340"/>
  <c r="S203" i="340"/>
  <c r="W204" i="340"/>
  <c r="AE205" i="340"/>
  <c r="AD209" i="340"/>
  <c r="V212" i="340"/>
  <c r="AE213" i="340"/>
  <c r="O216" i="340"/>
  <c r="W217" i="340"/>
  <c r="AF218" i="340"/>
  <c r="V221" i="340"/>
  <c r="Z222" i="340"/>
  <c r="W225" i="340"/>
  <c r="AA227" i="340"/>
  <c r="O230" i="340"/>
  <c r="X231" i="340"/>
  <c r="R236" i="340"/>
  <c r="Z237" i="340"/>
  <c r="O240" i="340"/>
  <c r="S241" i="340"/>
  <c r="AA242" i="340"/>
  <c r="Z246" i="340"/>
  <c r="AD247" i="340"/>
  <c r="R250" i="340"/>
  <c r="AA252" i="340"/>
  <c r="AE253" i="340"/>
  <c r="S256" i="340"/>
  <c r="AE257" i="340"/>
  <c r="W259" i="340"/>
  <c r="AD260" i="340"/>
  <c r="AF264" i="340"/>
  <c r="R266" i="340"/>
  <c r="AF269" i="340"/>
  <c r="AE272" i="340"/>
  <c r="AB276" i="340"/>
  <c r="X278" i="340"/>
  <c r="X280" i="340"/>
  <c r="AD282" i="340"/>
  <c r="AF284" i="340"/>
  <c r="AB287" i="340"/>
  <c r="AA291" i="340"/>
  <c r="X294" i="340"/>
  <c r="AF298" i="340"/>
  <c r="AF301" i="340"/>
  <c r="O305" i="340"/>
  <c r="AB308" i="340"/>
  <c r="AE311" i="340"/>
  <c r="AA315" i="340"/>
  <c r="O331" i="340"/>
  <c r="AE337" i="340"/>
  <c r="Z349" i="340"/>
  <c r="S353" i="340"/>
  <c r="AF358" i="340"/>
  <c r="AE368" i="340"/>
  <c r="Z377" i="340"/>
  <c r="AB391" i="340"/>
  <c r="X437" i="340"/>
  <c r="W457" i="340"/>
  <c r="AE78" i="340"/>
  <c r="AA80" i="340"/>
  <c r="W82" i="340"/>
  <c r="S83" i="340"/>
  <c r="O84" i="340"/>
  <c r="AE84" i="340"/>
  <c r="AA85" i="340"/>
  <c r="W86" i="340"/>
  <c r="S88" i="340"/>
  <c r="O89" i="340"/>
  <c r="AE89" i="340"/>
  <c r="AA90" i="340"/>
  <c r="W91" i="340"/>
  <c r="S93" i="340"/>
  <c r="O95" i="340"/>
  <c r="AE95" i="340"/>
  <c r="AA96" i="340"/>
  <c r="W97" i="340"/>
  <c r="S98" i="340"/>
  <c r="O100" i="340"/>
  <c r="AE100" i="340"/>
  <c r="AA101" i="340"/>
  <c r="W103" i="340"/>
  <c r="S104" i="340"/>
  <c r="O106" i="340"/>
  <c r="AE106" i="340"/>
  <c r="AA107" i="340"/>
  <c r="W108" i="340"/>
  <c r="S110" i="340"/>
  <c r="O111" i="340"/>
  <c r="AE111" i="340"/>
  <c r="AA112" i="340"/>
  <c r="W114" i="340"/>
  <c r="S115" i="340"/>
  <c r="O116" i="340"/>
  <c r="AE116" i="340"/>
  <c r="AA117" i="340"/>
  <c r="W118" i="340"/>
  <c r="S119" i="340"/>
  <c r="O121" i="340"/>
  <c r="AE121" i="340"/>
  <c r="AA122" i="340"/>
  <c r="W123" i="340"/>
  <c r="S124" i="340"/>
  <c r="O127" i="340"/>
  <c r="AE127" i="340"/>
  <c r="AA128" i="340"/>
  <c r="W129" i="340"/>
  <c r="S131" i="340"/>
  <c r="O134" i="340"/>
  <c r="AE134" i="340"/>
  <c r="AA135" i="340"/>
  <c r="W136" i="340"/>
  <c r="S137" i="340"/>
  <c r="O138" i="340"/>
  <c r="AE138" i="340"/>
  <c r="AA140" i="340"/>
  <c r="W141" i="340"/>
  <c r="S142" i="340"/>
  <c r="O143" i="340"/>
  <c r="AE143" i="340"/>
  <c r="AA145" i="340"/>
  <c r="W146" i="340"/>
  <c r="S147" i="340"/>
  <c r="O148" i="340"/>
  <c r="AE148" i="340"/>
  <c r="AA149" i="340"/>
  <c r="W151" i="340"/>
  <c r="S152" i="340"/>
  <c r="O153" i="340"/>
  <c r="AE153" i="340"/>
  <c r="AA154" i="340"/>
  <c r="W156" i="340"/>
  <c r="S157" i="340"/>
  <c r="O158" i="340"/>
  <c r="AE158" i="340"/>
  <c r="AA159" i="340"/>
  <c r="W160" i="340"/>
  <c r="Z163" i="340"/>
  <c r="R169" i="340"/>
  <c r="Z170" i="340"/>
  <c r="O172" i="340"/>
  <c r="S174" i="340"/>
  <c r="AA175" i="340"/>
  <c r="Z179" i="340"/>
  <c r="AD180" i="340"/>
  <c r="R182" i="340"/>
  <c r="AA184" i="340"/>
  <c r="AE185" i="340"/>
  <c r="S190" i="340"/>
  <c r="AB191" i="340"/>
  <c r="R193" i="340"/>
  <c r="V194" i="340"/>
  <c r="AD196" i="340"/>
  <c r="S198" i="340"/>
  <c r="W199" i="340"/>
  <c r="AE200" i="340"/>
  <c r="AD204" i="340"/>
  <c r="V207" i="340"/>
  <c r="AE209" i="340"/>
  <c r="O211" i="340"/>
  <c r="W212" i="340"/>
  <c r="AF213" i="340"/>
  <c r="V216" i="340"/>
  <c r="Z217" i="340"/>
  <c r="W221" i="340"/>
  <c r="AA222" i="340"/>
  <c r="O224" i="340"/>
  <c r="X225" i="340"/>
  <c r="R230" i="340"/>
  <c r="Z231" i="340"/>
  <c r="O235" i="340"/>
  <c r="S236" i="340"/>
  <c r="AA237" i="340"/>
  <c r="Z241" i="340"/>
  <c r="AD242" i="340"/>
  <c r="R244" i="340"/>
  <c r="AA246" i="340"/>
  <c r="AE247" i="340"/>
  <c r="S250" i="340"/>
  <c r="AB252" i="340"/>
  <c r="R254" i="340"/>
  <c r="V256" i="340"/>
  <c r="AF257" i="340"/>
  <c r="X259" i="340"/>
  <c r="AE260" i="340"/>
  <c r="V263" i="340"/>
  <c r="Z266" i="340"/>
  <c r="AF272" i="340"/>
  <c r="AD276" i="340"/>
  <c r="Z278" i="340"/>
  <c r="Z280" i="340"/>
  <c r="AF282" i="340"/>
  <c r="AB285" i="340"/>
  <c r="AE291" i="340"/>
  <c r="AB294" i="340"/>
  <c r="W309" i="340"/>
  <c r="AB315" i="340"/>
  <c r="AA321" i="340"/>
  <c r="AA325" i="340"/>
  <c r="S331" i="340"/>
  <c r="O338" i="340"/>
  <c r="AB344" i="340"/>
  <c r="AB349" i="340"/>
  <c r="W353" i="340"/>
  <c r="S361" i="340"/>
  <c r="V365" i="340"/>
  <c r="AA377" i="340"/>
  <c r="W385" i="340"/>
  <c r="AD391" i="340"/>
  <c r="R411" i="340"/>
  <c r="V438" i="340"/>
  <c r="W459" i="340"/>
  <c r="R527" i="340"/>
  <c r="AE122" i="340"/>
  <c r="AA123" i="340"/>
  <c r="W124" i="340"/>
  <c r="S127" i="340"/>
  <c r="O128" i="340"/>
  <c r="AE128" i="340"/>
  <c r="AA129" i="340"/>
  <c r="W131" i="340"/>
  <c r="S134" i="340"/>
  <c r="O135" i="340"/>
  <c r="AE135" i="340"/>
  <c r="AA136" i="340"/>
  <c r="W137" i="340"/>
  <c r="S138" i="340"/>
  <c r="O140" i="340"/>
  <c r="AE140" i="340"/>
  <c r="AA141" i="340"/>
  <c r="W142" i="340"/>
  <c r="S143" i="340"/>
  <c r="O145" i="340"/>
  <c r="AE145" i="340"/>
  <c r="AA146" i="340"/>
  <c r="W147" i="340"/>
  <c r="S148" i="340"/>
  <c r="O149" i="340"/>
  <c r="AE149" i="340"/>
  <c r="AA151" i="340"/>
  <c r="W152" i="340"/>
  <c r="S153" i="340"/>
  <c r="O154" i="340"/>
  <c r="AE154" i="340"/>
  <c r="AA156" i="340"/>
  <c r="W157" i="340"/>
  <c r="S158" i="340"/>
  <c r="O159" i="340"/>
  <c r="AE159" i="340"/>
  <c r="AB160" i="340"/>
  <c r="AD163" i="340"/>
  <c r="R166" i="340"/>
  <c r="AA169" i="340"/>
  <c r="AE170" i="340"/>
  <c r="S172" i="340"/>
  <c r="AB174" i="340"/>
  <c r="R176" i="340"/>
  <c r="V178" i="340"/>
  <c r="AD179" i="340"/>
  <c r="S181" i="340"/>
  <c r="W182" i="340"/>
  <c r="AE184" i="340"/>
  <c r="AD190" i="340"/>
  <c r="V193" i="340"/>
  <c r="AE194" i="340"/>
  <c r="O197" i="340"/>
  <c r="W198" i="340"/>
  <c r="AF199" i="340"/>
  <c r="V201" i="340"/>
  <c r="Z203" i="340"/>
  <c r="W206" i="340"/>
  <c r="AA207" i="340"/>
  <c r="O210" i="340"/>
  <c r="X211" i="340"/>
  <c r="R215" i="340"/>
  <c r="Z216" i="340"/>
  <c r="O218" i="340"/>
  <c r="S219" i="340"/>
  <c r="AA221" i="340"/>
  <c r="Z224" i="340"/>
  <c r="AD225" i="340"/>
  <c r="R228" i="340"/>
  <c r="AA230" i="340"/>
  <c r="AE231" i="340"/>
  <c r="S235" i="340"/>
  <c r="AB236" i="340"/>
  <c r="R239" i="340"/>
  <c r="V240" i="340"/>
  <c r="AD241" i="340"/>
  <c r="S243" i="340"/>
  <c r="W244" i="340"/>
  <c r="AE246" i="340"/>
  <c r="AD250" i="340"/>
  <c r="V254" i="340"/>
  <c r="AF256" i="340"/>
  <c r="S258" i="340"/>
  <c r="AB259" i="340"/>
  <c r="AF263" i="340"/>
  <c r="S265" i="340"/>
  <c r="AD266" i="340"/>
  <c r="AB270" i="340"/>
  <c r="R275" i="340"/>
  <c r="O277" i="340"/>
  <c r="W281" i="340"/>
  <c r="W283" i="340"/>
  <c r="O286" i="340"/>
  <c r="AF289" i="340"/>
  <c r="R295" i="340"/>
  <c r="O300" i="340"/>
  <c r="R303" i="340"/>
  <c r="AE305" i="340"/>
  <c r="O310" i="340"/>
  <c r="W318" i="340"/>
  <c r="AF321" i="340"/>
  <c r="AE326" i="340"/>
  <c r="AA334" i="340"/>
  <c r="AA338" i="340"/>
  <c r="S345" i="340"/>
  <c r="O351" i="340"/>
  <c r="S354" i="340"/>
  <c r="AB361" i="340"/>
  <c r="Z366" i="340"/>
  <c r="S370" i="340"/>
  <c r="W380" i="340"/>
  <c r="V386" i="340"/>
  <c r="AF394" i="340"/>
  <c r="Z413" i="340"/>
  <c r="R426" i="340"/>
  <c r="S442" i="340"/>
  <c r="AD465" i="340"/>
  <c r="AF128" i="340"/>
  <c r="AB129" i="340"/>
  <c r="X131" i="340"/>
  <c r="AF135" i="340"/>
  <c r="AB136" i="340"/>
  <c r="X137" i="340"/>
  <c r="AF140" i="340"/>
  <c r="AB141" i="340"/>
  <c r="X142" i="340"/>
  <c r="AF145" i="340"/>
  <c r="AB146" i="340"/>
  <c r="X147" i="340"/>
  <c r="AF149" i="340"/>
  <c r="AB151" i="340"/>
  <c r="X152" i="340"/>
  <c r="AF154" i="340"/>
  <c r="AB156" i="340"/>
  <c r="X157" i="340"/>
  <c r="AF159" i="340"/>
  <c r="AD160" i="340"/>
  <c r="AE163" i="340"/>
  <c r="S166" i="340"/>
  <c r="AB169" i="340"/>
  <c r="R171" i="340"/>
  <c r="V172" i="340"/>
  <c r="AD174" i="340"/>
  <c r="S176" i="340"/>
  <c r="W178" i="340"/>
  <c r="AE179" i="340"/>
  <c r="AD182" i="340"/>
  <c r="V187" i="340"/>
  <c r="AE190" i="340"/>
  <c r="O192" i="340"/>
  <c r="W193" i="340"/>
  <c r="AF194" i="340"/>
  <c r="V197" i="340"/>
  <c r="Z198" i="340"/>
  <c r="W201" i="340"/>
  <c r="AA203" i="340"/>
  <c r="O205" i="340"/>
  <c r="X206" i="340"/>
  <c r="R210" i="340"/>
  <c r="Z211" i="340"/>
  <c r="O213" i="340"/>
  <c r="S215" i="340"/>
  <c r="AA216" i="340"/>
  <c r="Z219" i="340"/>
  <c r="AD221" i="340"/>
  <c r="R223" i="340"/>
  <c r="AA224" i="340"/>
  <c r="AE225" i="340"/>
  <c r="S228" i="340"/>
  <c r="AB230" i="340"/>
  <c r="R234" i="340"/>
  <c r="V235" i="340"/>
  <c r="AD236" i="340"/>
  <c r="S239" i="340"/>
  <c r="W240" i="340"/>
  <c r="AE241" i="340"/>
  <c r="AD244" i="340"/>
  <c r="V249" i="340"/>
  <c r="AE250" i="340"/>
  <c r="O253" i="340"/>
  <c r="W254" i="340"/>
  <c r="Z258" i="340"/>
  <c r="AF259" i="340"/>
  <c r="W261" i="340"/>
  <c r="O264" i="340"/>
  <c r="AE266" i="340"/>
  <c r="AD270" i="340"/>
  <c r="AB275" i="340"/>
  <c r="S277" i="340"/>
  <c r="X281" i="340"/>
  <c r="X283" i="340"/>
  <c r="S290" i="340"/>
  <c r="AF292" i="340"/>
  <c r="S300" i="340"/>
  <c r="S303" i="340"/>
  <c r="AF305" i="340"/>
  <c r="R310" i="340"/>
  <c r="X313" i="340"/>
  <c r="V319" i="340"/>
  <c r="W322" i="340"/>
  <c r="AF326" i="340"/>
  <c r="AB334" i="340"/>
  <c r="AE338" i="340"/>
  <c r="S351" i="340"/>
  <c r="O356" i="340"/>
  <c r="O363" i="340"/>
  <c r="AA366" i="340"/>
  <c r="W370" i="340"/>
  <c r="AF380" i="340"/>
  <c r="AB386" i="340"/>
  <c r="V402" i="340"/>
  <c r="AE413" i="340"/>
  <c r="AB466" i="340"/>
  <c r="Z382" i="340"/>
  <c r="O386" i="340"/>
  <c r="Z389" i="340"/>
  <c r="AE391" i="340"/>
  <c r="X402" i="340"/>
  <c r="AE406" i="340"/>
  <c r="V411" i="340"/>
  <c r="AD418" i="340"/>
  <c r="AB422" i="340"/>
  <c r="V425" i="340"/>
  <c r="AD437" i="340"/>
  <c r="W441" i="340"/>
  <c r="W448" i="340"/>
  <c r="AD457" i="340"/>
  <c r="R473" i="340"/>
  <c r="AB506" i="340"/>
  <c r="R561" i="340"/>
  <c r="X164" i="340"/>
  <c r="AF169" i="340"/>
  <c r="AB170" i="340"/>
  <c r="X171" i="340"/>
  <c r="AF174" i="340"/>
  <c r="AB175" i="340"/>
  <c r="X176" i="340"/>
  <c r="AF179" i="340"/>
  <c r="AB180" i="340"/>
  <c r="X181" i="340"/>
  <c r="AF184" i="340"/>
  <c r="AB185" i="340"/>
  <c r="X187" i="340"/>
  <c r="AF191" i="340"/>
  <c r="AB192" i="340"/>
  <c r="X193" i="340"/>
  <c r="AF196" i="340"/>
  <c r="AB197" i="340"/>
  <c r="X198" i="340"/>
  <c r="AF200" i="340"/>
  <c r="AB201" i="340"/>
  <c r="X203" i="340"/>
  <c r="AF205" i="340"/>
  <c r="AB206" i="340"/>
  <c r="X207" i="340"/>
  <c r="AF210" i="340"/>
  <c r="AB211" i="340"/>
  <c r="X212" i="340"/>
  <c r="AF215" i="340"/>
  <c r="AB216" i="340"/>
  <c r="X217" i="340"/>
  <c r="AF219" i="340"/>
  <c r="AB221" i="340"/>
  <c r="X222" i="340"/>
  <c r="AF224" i="340"/>
  <c r="AB225" i="340"/>
  <c r="X227" i="340"/>
  <c r="AF230" i="340"/>
  <c r="AB231" i="340"/>
  <c r="X234" i="340"/>
  <c r="AF236" i="340"/>
  <c r="AB237" i="340"/>
  <c r="X239" i="340"/>
  <c r="AF241" i="340"/>
  <c r="AB242" i="340"/>
  <c r="X243" i="340"/>
  <c r="AF246" i="340"/>
  <c r="AB247" i="340"/>
  <c r="X249" i="340"/>
  <c r="AF252" i="340"/>
  <c r="AB253" i="340"/>
  <c r="X254" i="340"/>
  <c r="R257" i="340"/>
  <c r="O258" i="340"/>
  <c r="AF258" i="340"/>
  <c r="AE259" i="340"/>
  <c r="AB260" i="340"/>
  <c r="Z261" i="340"/>
  <c r="W263" i="340"/>
  <c r="R265" i="340"/>
  <c r="O266" i="340"/>
  <c r="O272" i="340"/>
  <c r="O275" i="340"/>
  <c r="R277" i="340"/>
  <c r="S278" i="340"/>
  <c r="X279" i="340"/>
  <c r="AA280" i="340"/>
  <c r="V283" i="340"/>
  <c r="AA284" i="340"/>
  <c r="S286" i="340"/>
  <c r="AF287" i="340"/>
  <c r="W290" i="340"/>
  <c r="O292" i="340"/>
  <c r="AB293" i="340"/>
  <c r="S295" i="340"/>
  <c r="AE298" i="340"/>
  <c r="X300" i="340"/>
  <c r="O302" i="340"/>
  <c r="AB303" i="340"/>
  <c r="AA305" i="340"/>
  <c r="W308" i="340"/>
  <c r="S310" i="340"/>
  <c r="AF311" i="340"/>
  <c r="O314" i="340"/>
  <c r="R318" i="340"/>
  <c r="S322" i="340"/>
  <c r="S325" i="340"/>
  <c r="W329" i="340"/>
  <c r="W335" i="340"/>
  <c r="Z338" i="340"/>
  <c r="X342" i="340"/>
  <c r="AA345" i="340"/>
  <c r="AA349" i="340"/>
  <c r="AE351" i="340"/>
  <c r="AB353" i="340"/>
  <c r="AE356" i="340"/>
  <c r="AF364" i="340"/>
  <c r="O367" i="340"/>
  <c r="O369" i="340"/>
  <c r="S373" i="340"/>
  <c r="S380" i="340"/>
  <c r="AD382" i="340"/>
  <c r="AA389" i="340"/>
  <c r="R392" i="340"/>
  <c r="Z402" i="340"/>
  <c r="W411" i="340"/>
  <c r="O419" i="340"/>
  <c r="AD422" i="340"/>
  <c r="X429" i="340"/>
  <c r="V434" i="340"/>
  <c r="AF437" i="340"/>
  <c r="AE448" i="340"/>
  <c r="AB452" i="340"/>
  <c r="AA458" i="340"/>
  <c r="AA464" i="340"/>
  <c r="X475" i="340"/>
  <c r="X510" i="340"/>
  <c r="Z532" i="340"/>
  <c r="S561" i="340"/>
  <c r="AB513" i="340"/>
  <c r="X534" i="340"/>
  <c r="AB574" i="340"/>
  <c r="AF163" i="340"/>
  <c r="AB164" i="340"/>
  <c r="X166" i="340"/>
  <c r="AF170" i="340"/>
  <c r="AB171" i="340"/>
  <c r="X172" i="340"/>
  <c r="AF175" i="340"/>
  <c r="AB176" i="340"/>
  <c r="X178" i="340"/>
  <c r="AF180" i="340"/>
  <c r="AB181" i="340"/>
  <c r="X182" i="340"/>
  <c r="AF185" i="340"/>
  <c r="AB187" i="340"/>
  <c r="X190" i="340"/>
  <c r="AF192" i="340"/>
  <c r="AB193" i="340"/>
  <c r="X194" i="340"/>
  <c r="AF197" i="340"/>
  <c r="AB198" i="340"/>
  <c r="X199" i="340"/>
  <c r="AF201" i="340"/>
  <c r="AB203" i="340"/>
  <c r="X204" i="340"/>
  <c r="AF206" i="340"/>
  <c r="AB207" i="340"/>
  <c r="X209" i="340"/>
  <c r="AF211" i="340"/>
  <c r="AB212" i="340"/>
  <c r="X213" i="340"/>
  <c r="AF216" i="340"/>
  <c r="AB217" i="340"/>
  <c r="X218" i="340"/>
  <c r="AF221" i="340"/>
  <c r="AB222" i="340"/>
  <c r="X223" i="340"/>
  <c r="AF225" i="340"/>
  <c r="AB227" i="340"/>
  <c r="X228" i="340"/>
  <c r="AF231" i="340"/>
  <c r="AB234" i="340"/>
  <c r="X235" i="340"/>
  <c r="AF237" i="340"/>
  <c r="AB239" i="340"/>
  <c r="X240" i="340"/>
  <c r="AF242" i="340"/>
  <c r="AB243" i="340"/>
  <c r="X244" i="340"/>
  <c r="AF247" i="340"/>
  <c r="AB249" i="340"/>
  <c r="X250" i="340"/>
  <c r="AF253" i="340"/>
  <c r="AB254" i="340"/>
  <c r="X256" i="340"/>
  <c r="W257" i="340"/>
  <c r="R259" i="340"/>
  <c r="O260" i="340"/>
  <c r="AF260" i="340"/>
  <c r="AD261" i="340"/>
  <c r="AA263" i="340"/>
  <c r="X264" i="340"/>
  <c r="V265" i="340"/>
  <c r="S266" i="340"/>
  <c r="S269" i="340"/>
  <c r="S270" i="340"/>
  <c r="S272" i="340"/>
  <c r="V276" i="340"/>
  <c r="W277" i="340"/>
  <c r="AA278" i="340"/>
  <c r="AB279" i="340"/>
  <c r="O281" i="340"/>
  <c r="Z283" i="340"/>
  <c r="O285" i="340"/>
  <c r="AE286" i="340"/>
  <c r="S289" i="340"/>
  <c r="AE290" i="340"/>
  <c r="AA292" i="340"/>
  <c r="O294" i="340"/>
  <c r="AA295" i="340"/>
  <c r="W299" i="340"/>
  <c r="AE300" i="340"/>
  <c r="W302" i="340"/>
  <c r="V304" i="340"/>
  <c r="O306" i="340"/>
  <c r="AA310" i="340"/>
  <c r="Z312" i="340"/>
  <c r="X314" i="340"/>
  <c r="AA318" i="340"/>
  <c r="AA320" i="340"/>
  <c r="AB322" i="340"/>
  <c r="AE325" i="340"/>
  <c r="AB329" i="340"/>
  <c r="AF335" i="340"/>
  <c r="O341" i="340"/>
  <c r="O344" i="340"/>
  <c r="S350" i="340"/>
  <c r="V354" i="340"/>
  <c r="W363" i="340"/>
  <c r="W365" i="340"/>
  <c r="X367" i="340"/>
  <c r="AA369" i="340"/>
  <c r="X373" i="340"/>
  <c r="O381" i="340"/>
  <c r="V383" i="340"/>
  <c r="AF386" i="340"/>
  <c r="AD392" i="340"/>
  <c r="Z408" i="340"/>
  <c r="S412" i="340"/>
  <c r="AB419" i="340"/>
  <c r="Z423" i="340"/>
  <c r="X426" i="340"/>
  <c r="X430" i="340"/>
  <c r="AE442" i="340"/>
  <c r="AB449" i="340"/>
  <c r="AD453" i="340"/>
  <c r="AB459" i="340"/>
  <c r="O467" i="340"/>
  <c r="AF478" i="340"/>
  <c r="AD496" i="340"/>
  <c r="X515" i="340"/>
  <c r="AE536" i="340"/>
  <c r="AA579" i="340"/>
  <c r="R163" i="340"/>
  <c r="AD164" i="340"/>
  <c r="Z166" i="340"/>
  <c r="V169" i="340"/>
  <c r="R170" i="340"/>
  <c r="AD171" i="340"/>
  <c r="Z172" i="340"/>
  <c r="V174" i="340"/>
  <c r="R175" i="340"/>
  <c r="AD176" i="340"/>
  <c r="Z178" i="340"/>
  <c r="V179" i="340"/>
  <c r="R180" i="340"/>
  <c r="AD181" i="340"/>
  <c r="Z182" i="340"/>
  <c r="V184" i="340"/>
  <c r="R185" i="340"/>
  <c r="AD187" i="340"/>
  <c r="Z190" i="340"/>
  <c r="V191" i="340"/>
  <c r="R192" i="340"/>
  <c r="AD193" i="340"/>
  <c r="Z194" i="340"/>
  <c r="V196" i="340"/>
  <c r="R197" i="340"/>
  <c r="AD198" i="340"/>
  <c r="Z199" i="340"/>
  <c r="V200" i="340"/>
  <c r="R201" i="340"/>
  <c r="AD203" i="340"/>
  <c r="Z204" i="340"/>
  <c r="V205" i="340"/>
  <c r="R206" i="340"/>
  <c r="AD207" i="340"/>
  <c r="Z209" i="340"/>
  <c r="V210" i="340"/>
  <c r="R211" i="340"/>
  <c r="AD212" i="340"/>
  <c r="Z213" i="340"/>
  <c r="V215" i="340"/>
  <c r="R216" i="340"/>
  <c r="AD217" i="340"/>
  <c r="Z218" i="340"/>
  <c r="V219" i="340"/>
  <c r="R221" i="340"/>
  <c r="F221" i="340" s="1"/>
  <c r="AD222" i="340"/>
  <c r="Z223" i="340"/>
  <c r="V224" i="340"/>
  <c r="R225" i="340"/>
  <c r="AD227" i="340"/>
  <c r="Z228" i="340"/>
  <c r="V230" i="340"/>
  <c r="R231" i="340"/>
  <c r="AD234" i="340"/>
  <c r="Z235" i="340"/>
  <c r="V236" i="340"/>
  <c r="R237" i="340"/>
  <c r="AD239" i="340"/>
  <c r="Z240" i="340"/>
  <c r="V241" i="340"/>
  <c r="R242" i="340"/>
  <c r="AD243" i="340"/>
  <c r="Z244" i="340"/>
  <c r="V246" i="340"/>
  <c r="R247" i="340"/>
  <c r="AD249" i="340"/>
  <c r="Z250" i="340"/>
  <c r="V252" i="340"/>
  <c r="R253" i="340"/>
  <c r="AD254" i="340"/>
  <c r="AA256" i="340"/>
  <c r="X257" i="340"/>
  <c r="V258" i="340"/>
  <c r="S259" i="340"/>
  <c r="AE261" i="340"/>
  <c r="AB263" i="340"/>
  <c r="Z264" i="340"/>
  <c r="W265" i="340"/>
  <c r="W275" i="340"/>
  <c r="W276" i="340"/>
  <c r="X277" i="340"/>
  <c r="AB278" i="340"/>
  <c r="AD279" i="340"/>
  <c r="X282" i="340"/>
  <c r="AA283" i="340"/>
  <c r="S285" i="340"/>
  <c r="AF286" i="340"/>
  <c r="W289" i="340"/>
  <c r="O291" i="340"/>
  <c r="AB292" i="340"/>
  <c r="S294" i="340"/>
  <c r="AE295" i="340"/>
  <c r="X299" i="340"/>
  <c r="O301" i="340"/>
  <c r="AA302" i="340"/>
  <c r="W304" i="340"/>
  <c r="O309" i="340"/>
  <c r="AE310" i="340"/>
  <c r="AA312" i="340"/>
  <c r="AE314" i="340"/>
  <c r="AB318" i="340"/>
  <c r="AE320" i="340"/>
  <c r="AF325" i="340"/>
  <c r="O330" i="340"/>
  <c r="O334" i="340"/>
  <c r="S337" i="340"/>
  <c r="S344" i="340"/>
  <c r="V346" i="340"/>
  <c r="W352" i="340"/>
  <c r="W354" i="340"/>
  <c r="AA358" i="340"/>
  <c r="X363" i="340"/>
  <c r="AA365" i="340"/>
  <c r="AD367" i="340"/>
  <c r="AB369" i="340"/>
  <c r="AE373" i="340"/>
  <c r="AB383" i="340"/>
  <c r="X390" i="340"/>
  <c r="O394" i="340"/>
  <c r="V405" i="340"/>
  <c r="AF408" i="340"/>
  <c r="X412" i="340"/>
  <c r="AD419" i="340"/>
  <c r="AD423" i="340"/>
  <c r="Z430" i="340"/>
  <c r="AB435" i="340"/>
  <c r="V439" i="340"/>
  <c r="Z444" i="340"/>
  <c r="O450" i="340"/>
  <c r="AA460" i="340"/>
  <c r="R468" i="340"/>
  <c r="V480" i="340"/>
  <c r="AF496" i="340"/>
  <c r="AF516" i="340"/>
  <c r="W538" i="340"/>
  <c r="X587" i="340"/>
  <c r="S163" i="340"/>
  <c r="O164" i="340"/>
  <c r="AE164" i="340"/>
  <c r="AA166" i="340"/>
  <c r="W169" i="340"/>
  <c r="S170" i="340"/>
  <c r="O171" i="340"/>
  <c r="AE171" i="340"/>
  <c r="AA172" i="340"/>
  <c r="W174" i="340"/>
  <c r="S175" i="340"/>
  <c r="O176" i="340"/>
  <c r="AE176" i="340"/>
  <c r="AA178" i="340"/>
  <c r="W179" i="340"/>
  <c r="S180" i="340"/>
  <c r="O181" i="340"/>
  <c r="AE181" i="340"/>
  <c r="AA182" i="340"/>
  <c r="W184" i="340"/>
  <c r="S185" i="340"/>
  <c r="O187" i="340"/>
  <c r="AE187" i="340"/>
  <c r="AA190" i="340"/>
  <c r="W191" i="340"/>
  <c r="S192" i="340"/>
  <c r="O193" i="340"/>
  <c r="AE193" i="340"/>
  <c r="AA194" i="340"/>
  <c r="W196" i="340"/>
  <c r="S197" i="340"/>
  <c r="O198" i="340"/>
  <c r="AE198" i="340"/>
  <c r="AA199" i="340"/>
  <c r="W200" i="340"/>
  <c r="S201" i="340"/>
  <c r="O203" i="340"/>
  <c r="AE203" i="340"/>
  <c r="AA204" i="340"/>
  <c r="W205" i="340"/>
  <c r="S206" i="340"/>
  <c r="O207" i="340"/>
  <c r="AE207" i="340"/>
  <c r="AA209" i="340"/>
  <c r="W210" i="340"/>
  <c r="S211" i="340"/>
  <c r="O212" i="340"/>
  <c r="AE212" i="340"/>
  <c r="AA213" i="340"/>
  <c r="W215" i="340"/>
  <c r="S216" i="340"/>
  <c r="O217" i="340"/>
  <c r="AE217" i="340"/>
  <c r="AA218" i="340"/>
  <c r="W219" i="340"/>
  <c r="S221" i="340"/>
  <c r="O222" i="340"/>
  <c r="AE222" i="340"/>
  <c r="AA223" i="340"/>
  <c r="W224" i="340"/>
  <c r="S225" i="340"/>
  <c r="O227" i="340"/>
  <c r="AE227" i="340"/>
  <c r="AA228" i="340"/>
  <c r="W230" i="340"/>
  <c r="S231" i="340"/>
  <c r="O234" i="340"/>
  <c r="AE234" i="340"/>
  <c r="AA235" i="340"/>
  <c r="W236" i="340"/>
  <c r="S237" i="340"/>
  <c r="O239" i="340"/>
  <c r="AE239" i="340"/>
  <c r="AA240" i="340"/>
  <c r="W241" i="340"/>
  <c r="S242" i="340"/>
  <c r="O243" i="340"/>
  <c r="AE243" i="340"/>
  <c r="AA244" i="340"/>
  <c r="W246" i="340"/>
  <c r="S247" i="340"/>
  <c r="O249" i="340"/>
  <c r="AE249" i="340"/>
  <c r="AA250" i="340"/>
  <c r="W252" i="340"/>
  <c r="S253" i="340"/>
  <c r="O254" i="340"/>
  <c r="AE254" i="340"/>
  <c r="AB256" i="340"/>
  <c r="Z257" i="340"/>
  <c r="W258" i="340"/>
  <c r="R260" i="340"/>
  <c r="O261" i="340"/>
  <c r="AF261" i="340"/>
  <c r="AD263" i="340"/>
  <c r="AA264" i="340"/>
  <c r="X265" i="340"/>
  <c r="W266" i="340"/>
  <c r="V269" i="340"/>
  <c r="V270" i="340"/>
  <c r="V272" i="340"/>
  <c r="X275" i="340"/>
  <c r="Z276" i="340"/>
  <c r="AB277" i="340"/>
  <c r="AD278" i="340"/>
  <c r="AE279" i="340"/>
  <c r="R281" i="340"/>
  <c r="Z282" i="340"/>
  <c r="AB283" i="340"/>
  <c r="X289" i="340"/>
  <c r="AD292" i="340"/>
  <c r="AF295" i="340"/>
  <c r="Z299" i="340"/>
  <c r="AB302" i="340"/>
  <c r="X304" i="340"/>
  <c r="S309" i="340"/>
  <c r="AF310" i="340"/>
  <c r="AB312" i="340"/>
  <c r="AF318" i="340"/>
  <c r="O321" i="340"/>
  <c r="O323" i="340"/>
  <c r="S330" i="340"/>
  <c r="V337" i="340"/>
  <c r="W344" i="340"/>
  <c r="W346" i="340"/>
  <c r="X350" i="340"/>
  <c r="AA352" i="340"/>
  <c r="X354" i="340"/>
  <c r="AD358" i="340"/>
  <c r="AB363" i="340"/>
  <c r="AE365" i="340"/>
  <c r="AE367" i="340"/>
  <c r="AF369" i="340"/>
  <c r="O377" i="340"/>
  <c r="R381" i="340"/>
  <c r="AE383" i="340"/>
  <c r="R388" i="340"/>
  <c r="AB390" i="340"/>
  <c r="P394" i="340"/>
  <c r="AB405" i="340"/>
  <c r="S409" i="340"/>
  <c r="Z412" i="340"/>
  <c r="W417" i="340"/>
  <c r="R421" i="340"/>
  <c r="R427" i="340"/>
  <c r="AE430" i="340"/>
  <c r="AF435" i="340"/>
  <c r="W439" i="340"/>
  <c r="AB444" i="340"/>
  <c r="AB454" i="340"/>
  <c r="R461" i="340"/>
  <c r="R481" i="340"/>
  <c r="AF497" i="340"/>
  <c r="W520" i="340"/>
  <c r="X540" i="340"/>
  <c r="X160" i="340"/>
  <c r="AF164" i="340"/>
  <c r="AB166" i="340"/>
  <c r="X169" i="340"/>
  <c r="AF171" i="340"/>
  <c r="AB172" i="340"/>
  <c r="X174" i="340"/>
  <c r="AF176" i="340"/>
  <c r="AB178" i="340"/>
  <c r="X179" i="340"/>
  <c r="AF181" i="340"/>
  <c r="AB182" i="340"/>
  <c r="X184" i="340"/>
  <c r="AF187" i="340"/>
  <c r="AB190" i="340"/>
  <c r="X191" i="340"/>
  <c r="AF193" i="340"/>
  <c r="AB194" i="340"/>
  <c r="X196" i="340"/>
  <c r="AF198" i="340"/>
  <c r="AB199" i="340"/>
  <c r="X200" i="340"/>
  <c r="AF203" i="340"/>
  <c r="AB204" i="340"/>
  <c r="X205" i="340"/>
  <c r="AF207" i="340"/>
  <c r="AB209" i="340"/>
  <c r="X210" i="340"/>
  <c r="AF212" i="340"/>
  <c r="AB213" i="340"/>
  <c r="X215" i="340"/>
  <c r="AF217" i="340"/>
  <c r="AB218" i="340"/>
  <c r="X219" i="340"/>
  <c r="AF222" i="340"/>
  <c r="AB223" i="340"/>
  <c r="X224" i="340"/>
  <c r="AF227" i="340"/>
  <c r="AB228" i="340"/>
  <c r="X230" i="340"/>
  <c r="AF234" i="340"/>
  <c r="AB235" i="340"/>
  <c r="X236" i="340"/>
  <c r="AF239" i="340"/>
  <c r="AB240" i="340"/>
  <c r="X241" i="340"/>
  <c r="AF243" i="340"/>
  <c r="AB244" i="340"/>
  <c r="X246" i="340"/>
  <c r="AF249" i="340"/>
  <c r="AB250" i="340"/>
  <c r="X252" i="340"/>
  <c r="AF254" i="340"/>
  <c r="AD256" i="340"/>
  <c r="AA257" i="340"/>
  <c r="X258" i="340"/>
  <c r="V259" i="340"/>
  <c r="S260" i="340"/>
  <c r="AE263" i="340"/>
  <c r="AB264" i="340"/>
  <c r="AA265" i="340"/>
  <c r="X266" i="340"/>
  <c r="W269" i="340"/>
  <c r="W270" i="340"/>
  <c r="Z272" i="340"/>
  <c r="Z275" i="340"/>
  <c r="AA276" i="340"/>
  <c r="AD277" i="340"/>
  <c r="AE278" i="340"/>
  <c r="V281" i="340"/>
  <c r="AA282" i="340"/>
  <c r="AE283" i="340"/>
  <c r="X285" i="340"/>
  <c r="O287" i="340"/>
  <c r="AA289" i="340"/>
  <c r="AE292" i="340"/>
  <c r="W294" i="340"/>
  <c r="AA299" i="340"/>
  <c r="S301" i="340"/>
  <c r="AF302" i="340"/>
  <c r="AB304" i="340"/>
  <c r="AA306" i="340"/>
  <c r="O313" i="340"/>
  <c r="O315" i="340"/>
  <c r="S319" i="340"/>
  <c r="S323" i="340"/>
  <c r="V326" i="340"/>
  <c r="W334" i="340"/>
  <c r="W337" i="340"/>
  <c r="AA341" i="340"/>
  <c r="X344" i="340"/>
  <c r="AA346" i="340"/>
  <c r="AD350" i="340"/>
  <c r="AB352" i="340"/>
  <c r="AE354" i="340"/>
  <c r="AE358" i="340"/>
  <c r="O364" i="340"/>
  <c r="AF365" i="340"/>
  <c r="O368" i="340"/>
  <c r="R370" i="340"/>
  <c r="X381" i="340"/>
  <c r="AF383" i="340"/>
  <c r="AA388" i="340"/>
  <c r="AF390" i="340"/>
  <c r="W394" i="340"/>
  <c r="AF412" i="340"/>
  <c r="AB417" i="340"/>
  <c r="X421" i="340"/>
  <c r="O424" i="340"/>
  <c r="V427" i="340"/>
  <c r="W431" i="340"/>
  <c r="R440" i="340"/>
  <c r="AD444" i="340"/>
  <c r="AD454" i="340"/>
  <c r="S461" i="340"/>
  <c r="Z470" i="340"/>
  <c r="X481" i="340"/>
  <c r="S500" i="340"/>
  <c r="X520" i="340"/>
  <c r="AD543" i="340"/>
  <c r="AA394" i="340"/>
  <c r="O406" i="340"/>
  <c r="X409" i="340"/>
  <c r="AD417" i="340"/>
  <c r="AA421" i="340"/>
  <c r="X424" i="340"/>
  <c r="AF427" i="340"/>
  <c r="X431" i="340"/>
  <c r="Z436" i="340"/>
  <c r="V440" i="340"/>
  <c r="AE444" i="340"/>
  <c r="R451" i="340"/>
  <c r="S455" i="340"/>
  <c r="AA470" i="340"/>
  <c r="R483" i="340"/>
  <c r="Z500" i="340"/>
  <c r="AE388" i="340"/>
  <c r="W391" i="340"/>
  <c r="AB394" i="340"/>
  <c r="S406" i="340"/>
  <c r="AF409" i="340"/>
  <c r="V413" i="340"/>
  <c r="AF421" i="340"/>
  <c r="AE424" i="340"/>
  <c r="AF436" i="340"/>
  <c r="X440" i="340"/>
  <c r="Z445" i="340"/>
  <c r="S451" i="340"/>
  <c r="R457" i="340"/>
  <c r="Z462" i="340"/>
  <c r="AD470" i="340"/>
  <c r="AD485" i="340"/>
  <c r="AA501" i="340"/>
  <c r="AF525" i="340"/>
  <c r="S425" i="340"/>
  <c r="S428" i="340"/>
  <c r="O437" i="340"/>
  <c r="O441" i="340"/>
  <c r="AF445" i="340"/>
  <c r="V451" i="340"/>
  <c r="AF462" i="340"/>
  <c r="W488" i="340"/>
  <c r="O527" i="340"/>
  <c r="X552" i="340"/>
  <c r="V557" i="340"/>
  <c r="AF312" i="340"/>
  <c r="X318" i="340"/>
  <c r="AB319" i="340"/>
  <c r="AF320" i="340"/>
  <c r="X325" i="340"/>
  <c r="AB326" i="340"/>
  <c r="AF329" i="340"/>
  <c r="X335" i="340"/>
  <c r="AB337" i="340"/>
  <c r="AF338" i="340"/>
  <c r="X345" i="340"/>
  <c r="AB346" i="340"/>
  <c r="AF349" i="340"/>
  <c r="X353" i="340"/>
  <c r="AB354" i="340"/>
  <c r="AF356" i="340"/>
  <c r="X364" i="340"/>
  <c r="AB365" i="340"/>
  <c r="AF366" i="340"/>
  <c r="X370" i="340"/>
  <c r="AB373" i="340"/>
  <c r="AF377" i="340"/>
  <c r="V381" i="340"/>
  <c r="AE382" i="340"/>
  <c r="AD386" i="340"/>
  <c r="Z390" i="340"/>
  <c r="O392" i="340"/>
  <c r="X394" i="340"/>
  <c r="AD408" i="340"/>
  <c r="S411" i="340"/>
  <c r="AD412" i="340"/>
  <c r="V416" i="340"/>
  <c r="Z419" i="340"/>
  <c r="R422" i="340"/>
  <c r="AE423" i="340"/>
  <c r="Z425" i="340"/>
  <c r="AB427" i="340"/>
  <c r="AD429" i="340"/>
  <c r="R432" i="340"/>
  <c r="Z437" i="340"/>
  <c r="AB439" i="340"/>
  <c r="O442" i="340"/>
  <c r="W445" i="340"/>
  <c r="X449" i="340"/>
  <c r="AF451" i="340"/>
  <c r="S458" i="340"/>
  <c r="AE461" i="340"/>
  <c r="AE465" i="340"/>
  <c r="X471" i="340"/>
  <c r="R480" i="340"/>
  <c r="AB488" i="340"/>
  <c r="X498" i="340"/>
  <c r="Z510" i="340"/>
  <c r="R523" i="340"/>
  <c r="X536" i="340"/>
  <c r="AB552" i="340"/>
  <c r="S581" i="340"/>
  <c r="AF266" i="340"/>
  <c r="AB269" i="340"/>
  <c r="Z270" i="340"/>
  <c r="X272" i="340"/>
  <c r="V275" i="340"/>
  <c r="S276" i="340"/>
  <c r="O278" i="340"/>
  <c r="AF279" i="340"/>
  <c r="AF281" i="340"/>
  <c r="AE282" i="340"/>
  <c r="AD283" i="340"/>
  <c r="R286" i="340"/>
  <c r="V287" i="340"/>
  <c r="Z289" i="340"/>
  <c r="AD290" i="340"/>
  <c r="R293" i="340"/>
  <c r="V294" i="340"/>
  <c r="Z295" i="340"/>
  <c r="AD298" i="340"/>
  <c r="R301" i="340"/>
  <c r="V302" i="340"/>
  <c r="Z303" i="340"/>
  <c r="AD304" i="340"/>
  <c r="R308" i="340"/>
  <c r="V309" i="340"/>
  <c r="Z310" i="340"/>
  <c r="AD311" i="340"/>
  <c r="R314" i="340"/>
  <c r="V315" i="340"/>
  <c r="Z318" i="340"/>
  <c r="AD319" i="340"/>
  <c r="R322" i="340"/>
  <c r="V323" i="340"/>
  <c r="Z325" i="340"/>
  <c r="AD326" i="340"/>
  <c r="R331" i="340"/>
  <c r="V334" i="340"/>
  <c r="Z335" i="340"/>
  <c r="AD337" i="340"/>
  <c r="R342" i="340"/>
  <c r="V344" i="340"/>
  <c r="Z345" i="340"/>
  <c r="AD346" i="340"/>
  <c r="R351" i="340"/>
  <c r="V352" i="340"/>
  <c r="Z353" i="340"/>
  <c r="AD354" i="340"/>
  <c r="R361" i="340"/>
  <c r="V363" i="340"/>
  <c r="Z364" i="340"/>
  <c r="AD365" i="340"/>
  <c r="R368" i="340"/>
  <c r="V369" i="340"/>
  <c r="Z370" i="340"/>
  <c r="W381" i="340"/>
  <c r="AF382" i="340"/>
  <c r="V385" i="340"/>
  <c r="AE386" i="340"/>
  <c r="AA390" i="340"/>
  <c r="O405" i="340"/>
  <c r="X406" i="340"/>
  <c r="AE408" i="340"/>
  <c r="AE412" i="340"/>
  <c r="W416" i="340"/>
  <c r="O418" i="340"/>
  <c r="AA419" i="340"/>
  <c r="S422" i="340"/>
  <c r="AF423" i="340"/>
  <c r="AA425" i="340"/>
  <c r="AD427" i="340"/>
  <c r="AF429" i="340"/>
  <c r="S432" i="340"/>
  <c r="V435" i="340"/>
  <c r="AB437" i="340"/>
  <c r="X445" i="340"/>
  <c r="AA449" i="340"/>
  <c r="V454" i="340"/>
  <c r="Z458" i="340"/>
  <c r="AF461" i="340"/>
  <c r="AE471" i="340"/>
  <c r="S480" i="340"/>
  <c r="AB489" i="340"/>
  <c r="R500" i="340"/>
  <c r="AE523" i="340"/>
  <c r="AB536" i="340"/>
  <c r="O555" i="340"/>
  <c r="W586" i="340"/>
  <c r="X586" i="340"/>
  <c r="Z256" i="340"/>
  <c r="V257" i="340"/>
  <c r="R258" i="340"/>
  <c r="AD259" i="340"/>
  <c r="Z260" i="340"/>
  <c r="V261" i="340"/>
  <c r="R263" i="340"/>
  <c r="AD264" i="340"/>
  <c r="Z265" i="340"/>
  <c r="V266" i="340"/>
  <c r="R269" i="340"/>
  <c r="O270" i="340"/>
  <c r="AF270" i="340"/>
  <c r="AD272" i="340"/>
  <c r="AA275" i="340"/>
  <c r="X276" i="340"/>
  <c r="V277" i="340"/>
  <c r="V279" i="340"/>
  <c r="S281" i="340"/>
  <c r="R282" i="340"/>
  <c r="R284" i="340"/>
  <c r="V285" i="340"/>
  <c r="Z286" i="340"/>
  <c r="AD287" i="340"/>
  <c r="R291" i="340"/>
  <c r="V292" i="340"/>
  <c r="Z293" i="340"/>
  <c r="AD294" i="340"/>
  <c r="R299" i="340"/>
  <c r="V300" i="340"/>
  <c r="Z301" i="340"/>
  <c r="AD302" i="340"/>
  <c r="R305" i="340"/>
  <c r="V306" i="340"/>
  <c r="Z308" i="340"/>
  <c r="AD309" i="340"/>
  <c r="R312" i="340"/>
  <c r="V313" i="340"/>
  <c r="Z314" i="340"/>
  <c r="AD315" i="340"/>
  <c r="R320" i="340"/>
  <c r="V321" i="340"/>
  <c r="Z322" i="340"/>
  <c r="AD323" i="340"/>
  <c r="R329" i="340"/>
  <c r="V330" i="340"/>
  <c r="Z331" i="340"/>
  <c r="AD334" i="340"/>
  <c r="R338" i="340"/>
  <c r="V341" i="340"/>
  <c r="Z342" i="340"/>
  <c r="AD344" i="340"/>
  <c r="R349" i="340"/>
  <c r="V350" i="340"/>
  <c r="Z351" i="340"/>
  <c r="AD352" i="340"/>
  <c r="R356" i="340"/>
  <c r="V358" i="340"/>
  <c r="Z361" i="340"/>
  <c r="AD363" i="340"/>
  <c r="R366" i="340"/>
  <c r="V367" i="340"/>
  <c r="Z368" i="340"/>
  <c r="AD369" i="340"/>
  <c r="R377" i="340"/>
  <c r="X380" i="340"/>
  <c r="W383" i="340"/>
  <c r="AF385" i="340"/>
  <c r="S388" i="340"/>
  <c r="AB389" i="340"/>
  <c r="R391" i="340"/>
  <c r="AA392" i="340"/>
  <c r="W405" i="340"/>
  <c r="AF406" i="340"/>
  <c r="V409" i="340"/>
  <c r="AE411" i="340"/>
  <c r="W413" i="340"/>
  <c r="O417" i="340"/>
  <c r="AA418" i="340"/>
  <c r="S421" i="340"/>
  <c r="AE422" i="340"/>
  <c r="Z424" i="340"/>
  <c r="V426" i="340"/>
  <c r="Z428" i="340"/>
  <c r="AA430" i="340"/>
  <c r="O434" i="340"/>
  <c r="R436" i="340"/>
  <c r="X438" i="340"/>
  <c r="Z440" i="340"/>
  <c r="AF442" i="340"/>
  <c r="V450" i="340"/>
  <c r="AD452" i="340"/>
  <c r="V455" i="340"/>
  <c r="Z459" i="340"/>
  <c r="V463" i="340"/>
  <c r="S468" i="340"/>
  <c r="AF473" i="340"/>
  <c r="AE482" i="340"/>
  <c r="V492" i="340"/>
  <c r="R502" i="340"/>
  <c r="AA515" i="340"/>
  <c r="V528" i="340"/>
  <c r="O543" i="340"/>
  <c r="V280" i="340"/>
  <c r="S282" i="340"/>
  <c r="S284" i="340"/>
  <c r="W285" i="340"/>
  <c r="AA286" i="340"/>
  <c r="AE287" i="340"/>
  <c r="O290" i="340"/>
  <c r="S291" i="340"/>
  <c r="W292" i="340"/>
  <c r="AA293" i="340"/>
  <c r="AE294" i="340"/>
  <c r="O298" i="340"/>
  <c r="S299" i="340"/>
  <c r="W300" i="340"/>
  <c r="AA301" i="340"/>
  <c r="AE302" i="340"/>
  <c r="O304" i="340"/>
  <c r="S305" i="340"/>
  <c r="W306" i="340"/>
  <c r="AA308" i="340"/>
  <c r="AE309" i="340"/>
  <c r="O311" i="340"/>
  <c r="S312" i="340"/>
  <c r="W313" i="340"/>
  <c r="AA314" i="340"/>
  <c r="AE315" i="340"/>
  <c r="O319" i="340"/>
  <c r="S320" i="340"/>
  <c r="W321" i="340"/>
  <c r="AA322" i="340"/>
  <c r="AE323" i="340"/>
  <c r="O326" i="340"/>
  <c r="S329" i="340"/>
  <c r="W330" i="340"/>
  <c r="AA331" i="340"/>
  <c r="AE334" i="340"/>
  <c r="O337" i="340"/>
  <c r="S338" i="340"/>
  <c r="W341" i="340"/>
  <c r="AA342" i="340"/>
  <c r="AE344" i="340"/>
  <c r="O346" i="340"/>
  <c r="S349" i="340"/>
  <c r="W350" i="340"/>
  <c r="AA351" i="340"/>
  <c r="AE352" i="340"/>
  <c r="O354" i="340"/>
  <c r="S356" i="340"/>
  <c r="W358" i="340"/>
  <c r="AA361" i="340"/>
  <c r="AE363" i="340"/>
  <c r="O365" i="340"/>
  <c r="S366" i="340"/>
  <c r="W367" i="340"/>
  <c r="AA368" i="340"/>
  <c r="AE369" i="340"/>
  <c r="O373" i="340"/>
  <c r="S377" i="340"/>
  <c r="Z380" i="340"/>
  <c r="O382" i="340"/>
  <c r="X383" i="340"/>
  <c r="AD389" i="340"/>
  <c r="S391" i="340"/>
  <c r="AB392" i="340"/>
  <c r="R402" i="340"/>
  <c r="X405" i="340"/>
  <c r="W409" i="340"/>
  <c r="AF411" i="340"/>
  <c r="X413" i="340"/>
  <c r="AB418" i="340"/>
  <c r="AF422" i="340"/>
  <c r="AA424" i="340"/>
  <c r="W426" i="340"/>
  <c r="AB428" i="340"/>
  <c r="AD430" i="340"/>
  <c r="S436" i="340"/>
  <c r="Z438" i="340"/>
  <c r="V448" i="340"/>
  <c r="X450" i="340"/>
  <c r="AE452" i="340"/>
  <c r="W455" i="340"/>
  <c r="AA459" i="340"/>
  <c r="W463" i="340"/>
  <c r="V468" i="340"/>
  <c r="AF482" i="340"/>
  <c r="W493" i="340"/>
  <c r="AE504" i="340"/>
  <c r="AD515" i="340"/>
  <c r="S543" i="340"/>
  <c r="X305" i="340"/>
  <c r="AB306" i="340"/>
  <c r="AF308" i="340"/>
  <c r="X312" i="340"/>
  <c r="AB313" i="340"/>
  <c r="AF314" i="340"/>
  <c r="X320" i="340"/>
  <c r="AB321" i="340"/>
  <c r="AF322" i="340"/>
  <c r="X329" i="340"/>
  <c r="AB330" i="340"/>
  <c r="AF331" i="340"/>
  <c r="X338" i="340"/>
  <c r="AB341" i="340"/>
  <c r="AF342" i="340"/>
  <c r="X349" i="340"/>
  <c r="AB350" i="340"/>
  <c r="AF351" i="340"/>
  <c r="X356" i="340"/>
  <c r="AB358" i="340"/>
  <c r="AF361" i="340"/>
  <c r="X366" i="340"/>
  <c r="AB367" i="340"/>
  <c r="AF368" i="340"/>
  <c r="T373" i="340"/>
  <c r="X377" i="340"/>
  <c r="AD383" i="340"/>
  <c r="S386" i="340"/>
  <c r="AB388" i="340"/>
  <c r="R390" i="340"/>
  <c r="X391" i="340"/>
  <c r="W402" i="340"/>
  <c r="AF405" i="340"/>
  <c r="V408" i="340"/>
  <c r="AB409" i="340"/>
  <c r="R412" i="340"/>
  <c r="AD413" i="340"/>
  <c r="V417" i="340"/>
  <c r="Z421" i="340"/>
  <c r="R423" i="340"/>
  <c r="R425" i="340"/>
  <c r="O429" i="340"/>
  <c r="V431" i="340"/>
  <c r="X434" i="340"/>
  <c r="AD436" i="340"/>
  <c r="R439" i="340"/>
  <c r="S441" i="340"/>
  <c r="AA444" i="340"/>
  <c r="AD448" i="340"/>
  <c r="R453" i="340"/>
  <c r="S457" i="340"/>
  <c r="Z460" i="340"/>
  <c r="S464" i="340"/>
  <c r="W469" i="340"/>
  <c r="Z475" i="340"/>
  <c r="S485" i="340"/>
  <c r="AA496" i="340"/>
  <c r="Z517" i="340"/>
  <c r="R532" i="340"/>
  <c r="AB545" i="340"/>
  <c r="Z574" i="340"/>
  <c r="X576" i="340"/>
  <c r="Z277" i="340"/>
  <c r="V278" i="340"/>
  <c r="R279" i="340"/>
  <c r="AD280" i="340"/>
  <c r="Z281" i="340"/>
  <c r="V282" i="340"/>
  <c r="R283" i="340"/>
  <c r="AD284" i="340"/>
  <c r="Z285" i="340"/>
  <c r="V286" i="340"/>
  <c r="R287" i="340"/>
  <c r="AD289" i="340"/>
  <c r="Z290" i="340"/>
  <c r="V291" i="340"/>
  <c r="R292" i="340"/>
  <c r="AD293" i="340"/>
  <c r="Z294" i="340"/>
  <c r="V295" i="340"/>
  <c r="R298" i="340"/>
  <c r="AD299" i="340"/>
  <c r="Z300" i="340"/>
  <c r="V301" i="340"/>
  <c r="R302" i="340"/>
  <c r="AD303" i="340"/>
  <c r="Z304" i="340"/>
  <c r="V305" i="340"/>
  <c r="R306" i="340"/>
  <c r="AD308" i="340"/>
  <c r="Z309" i="340"/>
  <c r="V310" i="340"/>
  <c r="R311" i="340"/>
  <c r="AD312" i="340"/>
  <c r="Z313" i="340"/>
  <c r="V314" i="340"/>
  <c r="R315" i="340"/>
  <c r="AD318" i="340"/>
  <c r="Z319" i="340"/>
  <c r="V320" i="340"/>
  <c r="R321" i="340"/>
  <c r="AD322" i="340"/>
  <c r="Z323" i="340"/>
  <c r="V325" i="340"/>
  <c r="R326" i="340"/>
  <c r="AD329" i="340"/>
  <c r="Z330" i="340"/>
  <c r="V331" i="340"/>
  <c r="R334" i="340"/>
  <c r="AD335" i="340"/>
  <c r="Z337" i="340"/>
  <c r="V338" i="340"/>
  <c r="R341" i="340"/>
  <c r="AD342" i="340"/>
  <c r="Z344" i="340"/>
  <c r="V345" i="340"/>
  <c r="R346" i="340"/>
  <c r="AD349" i="340"/>
  <c r="Z350" i="340"/>
  <c r="V351" i="340"/>
  <c r="R352" i="340"/>
  <c r="AD353" i="340"/>
  <c r="Z354" i="340"/>
  <c r="V356" i="340"/>
  <c r="R358" i="340"/>
  <c r="AD361" i="340"/>
  <c r="Z363" i="340"/>
  <c r="V364" i="340"/>
  <c r="R365" i="340"/>
  <c r="AD366" i="340"/>
  <c r="Z367" i="340"/>
  <c r="V368" i="340"/>
  <c r="R369" i="340"/>
  <c r="AD370" i="340"/>
  <c r="V377" i="340"/>
  <c r="S381" i="340"/>
  <c r="R382" i="340"/>
  <c r="R385" i="340"/>
  <c r="O388" i="340"/>
  <c r="AF389" i="340"/>
  <c r="AF391" i="340"/>
  <c r="AE392" i="340"/>
  <c r="AB402" i="340"/>
  <c r="AD405" i="340"/>
  <c r="AB406" i="340"/>
  <c r="AA408" i="340"/>
  <c r="Z409" i="340"/>
  <c r="X411" i="340"/>
  <c r="AA412" i="340"/>
  <c r="AA413" i="340"/>
  <c r="AA416" i="340"/>
  <c r="AE417" i="340"/>
  <c r="AE418" i="340"/>
  <c r="AE419" i="340"/>
  <c r="O422" i="340"/>
  <c r="O423" i="340"/>
  <c r="V424" i="340"/>
  <c r="W425" i="340"/>
  <c r="AE426" i="340"/>
  <c r="O428" i="340"/>
  <c r="AA429" i="340"/>
  <c r="S431" i="340"/>
  <c r="X432" i="340"/>
  <c r="O435" i="340"/>
  <c r="AA436" i="340"/>
  <c r="X439" i="340"/>
  <c r="AB442" i="340"/>
  <c r="X448" i="340"/>
  <c r="W451" i="340"/>
  <c r="AE454" i="340"/>
  <c r="AE459" i="340"/>
  <c r="O462" i="340"/>
  <c r="V464" i="340"/>
  <c r="AD466" i="340"/>
  <c r="R469" i="340"/>
  <c r="Z471" i="340"/>
  <c r="AA478" i="340"/>
  <c r="S481" i="340"/>
  <c r="X493" i="340"/>
  <c r="R498" i="340"/>
  <c r="AB501" i="340"/>
  <c r="V506" i="340"/>
  <c r="R513" i="340"/>
  <c r="R517" i="340"/>
  <c r="AB528" i="340"/>
  <c r="AF533" i="340"/>
  <c r="AF538" i="340"/>
  <c r="AE545" i="340"/>
  <c r="AB555" i="340"/>
  <c r="R566" i="340"/>
  <c r="S580" i="340"/>
  <c r="AE269" i="340"/>
  <c r="AA270" i="340"/>
  <c r="W272" i="340"/>
  <c r="S275" i="340"/>
  <c r="O276" i="340"/>
  <c r="AE276" i="340"/>
  <c r="AA277" i="340"/>
  <c r="W278" i="340"/>
  <c r="S279" i="340"/>
  <c r="O280" i="340"/>
  <c r="AE280" i="340"/>
  <c r="AA281" i="340"/>
  <c r="W282" i="340"/>
  <c r="S283" i="340"/>
  <c r="O284" i="340"/>
  <c r="AE284" i="340"/>
  <c r="AA285" i="340"/>
  <c r="W286" i="340"/>
  <c r="S287" i="340"/>
  <c r="O289" i="340"/>
  <c r="AE289" i="340"/>
  <c r="AA290" i="340"/>
  <c r="W291" i="340"/>
  <c r="S292" i="340"/>
  <c r="O293" i="340"/>
  <c r="AE293" i="340"/>
  <c r="AA294" i="340"/>
  <c r="W295" i="340"/>
  <c r="S298" i="340"/>
  <c r="O299" i="340"/>
  <c r="AE299" i="340"/>
  <c r="AA300" i="340"/>
  <c r="W301" i="340"/>
  <c r="S302" i="340"/>
  <c r="O303" i="340"/>
  <c r="AE303" i="340"/>
  <c r="AA304" i="340"/>
  <c r="W305" i="340"/>
  <c r="S306" i="340"/>
  <c r="O308" i="340"/>
  <c r="AE308" i="340"/>
  <c r="AA309" i="340"/>
  <c r="W310" i="340"/>
  <c r="S311" i="340"/>
  <c r="O312" i="340"/>
  <c r="AE312" i="340"/>
  <c r="AA313" i="340"/>
  <c r="W314" i="340"/>
  <c r="S315" i="340"/>
  <c r="O318" i="340"/>
  <c r="AE318" i="340"/>
  <c r="AA319" i="340"/>
  <c r="W320" i="340"/>
  <c r="S321" i="340"/>
  <c r="O322" i="340"/>
  <c r="AE322" i="340"/>
  <c r="AA323" i="340"/>
  <c r="W325" i="340"/>
  <c r="S326" i="340"/>
  <c r="O329" i="340"/>
  <c r="AE329" i="340"/>
  <c r="AA330" i="340"/>
  <c r="W331" i="340"/>
  <c r="S334" i="340"/>
  <c r="O335" i="340"/>
  <c r="AE335" i="340"/>
  <c r="AA337" i="340"/>
  <c r="W338" i="340"/>
  <c r="S341" i="340"/>
  <c r="O342" i="340"/>
  <c r="AE342" i="340"/>
  <c r="AA344" i="340"/>
  <c r="W345" i="340"/>
  <c r="S346" i="340"/>
  <c r="O349" i="340"/>
  <c r="AE349" i="340"/>
  <c r="AA350" i="340"/>
  <c r="W351" i="340"/>
  <c r="S352" i="340"/>
  <c r="O353" i="340"/>
  <c r="AE353" i="340"/>
  <c r="AA354" i="340"/>
  <c r="W356" i="340"/>
  <c r="S358" i="340"/>
  <c r="O361" i="340"/>
  <c r="AE361" i="340"/>
  <c r="AA363" i="340"/>
  <c r="W364" i="340"/>
  <c r="S365" i="340"/>
  <c r="O366" i="340"/>
  <c r="AE366" i="340"/>
  <c r="AA367" i="340"/>
  <c r="W368" i="340"/>
  <c r="S369" i="340"/>
  <c r="O370" i="340"/>
  <c r="AE370" i="340"/>
  <c r="AA373" i="340"/>
  <c r="W377" i="340"/>
  <c r="V380" i="340"/>
  <c r="S382" i="340"/>
  <c r="S385" i="340"/>
  <c r="R386" i="340"/>
  <c r="O389" i="340"/>
  <c r="O391" i="340"/>
  <c r="AF392" i="340"/>
  <c r="AE394" i="340"/>
  <c r="AF402" i="340"/>
  <c r="AE405" i="340"/>
  <c r="AD406" i="340"/>
  <c r="AB408" i="340"/>
  <c r="AA409" i="340"/>
  <c r="AB411" i="340"/>
  <c r="AB412" i="340"/>
  <c r="AB413" i="340"/>
  <c r="AF416" i="340"/>
  <c r="AF417" i="340"/>
  <c r="AF418" i="340"/>
  <c r="W424" i="340"/>
  <c r="X425" i="340"/>
  <c r="AF426" i="340"/>
  <c r="R428" i="340"/>
  <c r="AB429" i="340"/>
  <c r="Z432" i="340"/>
  <c r="AB436" i="340"/>
  <c r="AA439" i="340"/>
  <c r="R441" i="340"/>
  <c r="AD442" i="340"/>
  <c r="Z448" i="340"/>
  <c r="R450" i="340"/>
  <c r="AD451" i="340"/>
  <c r="R455" i="340"/>
  <c r="R458" i="340"/>
  <c r="R460" i="340"/>
  <c r="W464" i="340"/>
  <c r="AE466" i="340"/>
  <c r="S469" i="340"/>
  <c r="AA471" i="340"/>
  <c r="O474" i="340"/>
  <c r="AB478" i="340"/>
  <c r="V485" i="340"/>
  <c r="O490" i="340"/>
  <c r="Z493" i="340"/>
  <c r="S498" i="340"/>
  <c r="AD501" i="340"/>
  <c r="W506" i="340"/>
  <c r="S513" i="340"/>
  <c r="S517" i="340"/>
  <c r="V523" i="340"/>
  <c r="AD528" i="340"/>
  <c r="AF545" i="340"/>
  <c r="AE555" i="340"/>
  <c r="S566" i="340"/>
  <c r="X460" i="340"/>
  <c r="S462" i="340"/>
  <c r="X464" i="340"/>
  <c r="AF466" i="340"/>
  <c r="AB471" i="340"/>
  <c r="R474" i="340"/>
  <c r="AD478" i="340"/>
  <c r="V481" i="340"/>
  <c r="W485" i="340"/>
  <c r="R490" i="340"/>
  <c r="AA493" i="340"/>
  <c r="V498" i="340"/>
  <c r="AE501" i="340"/>
  <c r="Z506" i="340"/>
  <c r="V517" i="340"/>
  <c r="X523" i="340"/>
  <c r="AF528" i="340"/>
  <c r="R546" i="340"/>
  <c r="S557" i="340"/>
  <c r="AE580" i="340"/>
  <c r="AB467" i="340"/>
  <c r="X472" i="340"/>
  <c r="O475" i="340"/>
  <c r="AA479" i="340"/>
  <c r="AD486" i="340"/>
  <c r="S491" i="340"/>
  <c r="W499" i="340"/>
  <c r="R504" i="340"/>
  <c r="AB509" i="340"/>
  <c r="AD514" i="340"/>
  <c r="Z519" i="340"/>
  <c r="S531" i="340"/>
  <c r="AB535" i="340"/>
  <c r="AE541" i="340"/>
  <c r="AB548" i="340"/>
  <c r="AA559" i="340"/>
  <c r="AB572" i="340"/>
  <c r="O584" i="340"/>
  <c r="AF285" i="340"/>
  <c r="AB286" i="340"/>
  <c r="X287" i="340"/>
  <c r="AF290" i="340"/>
  <c r="AB291" i="340"/>
  <c r="X292" i="340"/>
  <c r="AF294" i="340"/>
  <c r="AB295" i="340"/>
  <c r="X298" i="340"/>
  <c r="AF300" i="340"/>
  <c r="AB301" i="340"/>
  <c r="X302" i="340"/>
  <c r="AF304" i="340"/>
  <c r="AB305" i="340"/>
  <c r="X306" i="340"/>
  <c r="AF309" i="340"/>
  <c r="AB310" i="340"/>
  <c r="X311" i="340"/>
  <c r="AF313" i="340"/>
  <c r="AB314" i="340"/>
  <c r="X315" i="340"/>
  <c r="AF319" i="340"/>
  <c r="AB320" i="340"/>
  <c r="X321" i="340"/>
  <c r="AF323" i="340"/>
  <c r="AB325" i="340"/>
  <c r="X326" i="340"/>
  <c r="AF330" i="340"/>
  <c r="AB331" i="340"/>
  <c r="X334" i="340"/>
  <c r="AF337" i="340"/>
  <c r="AB338" i="340"/>
  <c r="X341" i="340"/>
  <c r="AF344" i="340"/>
  <c r="AB345" i="340"/>
  <c r="X346" i="340"/>
  <c r="AF350" i="340"/>
  <c r="AB351" i="340"/>
  <c r="X352" i="340"/>
  <c r="AF354" i="340"/>
  <c r="AB356" i="340"/>
  <c r="X358" i="340"/>
  <c r="AF363" i="340"/>
  <c r="AB364" i="340"/>
  <c r="X365" i="340"/>
  <c r="AF367" i="340"/>
  <c r="AB368" i="340"/>
  <c r="X369" i="340"/>
  <c r="P373" i="340"/>
  <c r="AF373" i="340"/>
  <c r="AB377" i="340"/>
  <c r="AA380" i="340"/>
  <c r="AB381" i="340"/>
  <c r="AA382" i="340"/>
  <c r="Z383" i="340"/>
  <c r="X385" i="340"/>
  <c r="W386" i="340"/>
  <c r="X388" i="340"/>
  <c r="W389" i="340"/>
  <c r="V390" i="340"/>
  <c r="S392" i="340"/>
  <c r="T394" i="340"/>
  <c r="S402" i="340"/>
  <c r="R405" i="340"/>
  <c r="O408" i="340"/>
  <c r="O411" i="340"/>
  <c r="R416" i="340"/>
  <c r="R417" i="340"/>
  <c r="R418" i="340"/>
  <c r="V419" i="340"/>
  <c r="V421" i="340"/>
  <c r="V422" i="340"/>
  <c r="AA423" i="340"/>
  <c r="AB424" i="340"/>
  <c r="O426" i="340"/>
  <c r="S427" i="340"/>
  <c r="AD428" i="340"/>
  <c r="V430" i="340"/>
  <c r="AA431" i="340"/>
  <c r="R434" i="340"/>
  <c r="AD435" i="340"/>
  <c r="AA438" i="340"/>
  <c r="S440" i="340"/>
  <c r="AE441" i="340"/>
  <c r="AA445" i="340"/>
  <c r="S449" i="340"/>
  <c r="Z450" i="340"/>
  <c r="AE453" i="340"/>
  <c r="O457" i="340"/>
  <c r="AD458" i="340"/>
  <c r="V465" i="340"/>
  <c r="AD467" i="340"/>
  <c r="R470" i="340"/>
  <c r="Z472" i="340"/>
  <c r="AB479" i="340"/>
  <c r="V482" i="340"/>
  <c r="AE486" i="340"/>
  <c r="O496" i="340"/>
  <c r="X499" i="340"/>
  <c r="S504" i="340"/>
  <c r="AD509" i="340"/>
  <c r="AE514" i="340"/>
  <c r="AA519" i="340"/>
  <c r="R525" i="340"/>
  <c r="AD535" i="340"/>
  <c r="AF541" i="340"/>
  <c r="AF548" i="340"/>
  <c r="AB559" i="340"/>
  <c r="AE572" i="340"/>
  <c r="V284" i="340"/>
  <c r="R285" i="340"/>
  <c r="AD286" i="340"/>
  <c r="Z287" i="340"/>
  <c r="V289" i="340"/>
  <c r="R290" i="340"/>
  <c r="AD291" i="340"/>
  <c r="Z292" i="340"/>
  <c r="V293" i="340"/>
  <c r="R294" i="340"/>
  <c r="AD295" i="340"/>
  <c r="Z298" i="340"/>
  <c r="V299" i="340"/>
  <c r="R300" i="340"/>
  <c r="AD301" i="340"/>
  <c r="Z302" i="340"/>
  <c r="V303" i="340"/>
  <c r="R304" i="340"/>
  <c r="AD305" i="340"/>
  <c r="Z306" i="340"/>
  <c r="V308" i="340"/>
  <c r="R309" i="340"/>
  <c r="AD310" i="340"/>
  <c r="Z311" i="340"/>
  <c r="V312" i="340"/>
  <c r="R313" i="340"/>
  <c r="AD314" i="340"/>
  <c r="Z315" i="340"/>
  <c r="V318" i="340"/>
  <c r="R319" i="340"/>
  <c r="AD320" i="340"/>
  <c r="Z321" i="340"/>
  <c r="V322" i="340"/>
  <c r="R323" i="340"/>
  <c r="AD325" i="340"/>
  <c r="Z326" i="340"/>
  <c r="V329" i="340"/>
  <c r="R330" i="340"/>
  <c r="AD331" i="340"/>
  <c r="Z334" i="340"/>
  <c r="V335" i="340"/>
  <c r="R337" i="340"/>
  <c r="AD338" i="340"/>
  <c r="Z341" i="340"/>
  <c r="V342" i="340"/>
  <c r="R344" i="340"/>
  <c r="AD345" i="340"/>
  <c r="Z346" i="340"/>
  <c r="V349" i="340"/>
  <c r="R350" i="340"/>
  <c r="AD351" i="340"/>
  <c r="Z352" i="340"/>
  <c r="V353" i="340"/>
  <c r="R354" i="340"/>
  <c r="AD356" i="340"/>
  <c r="Z358" i="340"/>
  <c r="V361" i="340"/>
  <c r="R363" i="340"/>
  <c r="AD364" i="340"/>
  <c r="Z365" i="340"/>
  <c r="V366" i="340"/>
  <c r="R367" i="340"/>
  <c r="AD368" i="340"/>
  <c r="Z369" i="340"/>
  <c r="V370" i="340"/>
  <c r="AD377" i="340"/>
  <c r="AB380" i="340"/>
  <c r="AD381" i="340"/>
  <c r="AB382" i="340"/>
  <c r="AA383" i="340"/>
  <c r="Z385" i="340"/>
  <c r="X386" i="340"/>
  <c r="Z388" i="340"/>
  <c r="X389" i="340"/>
  <c r="W390" i="340"/>
  <c r="V391" i="340"/>
  <c r="S405" i="340"/>
  <c r="R406" i="340"/>
  <c r="R409" i="340"/>
  <c r="O412" i="340"/>
  <c r="O413" i="340"/>
  <c r="S416" i="340"/>
  <c r="S417" i="340"/>
  <c r="S418" i="340"/>
  <c r="W419" i="340"/>
  <c r="W421" i="340"/>
  <c r="W422" i="340"/>
  <c r="AB423" i="340"/>
  <c r="AD424" i="340"/>
  <c r="AE428" i="340"/>
  <c r="W430" i="340"/>
  <c r="AB431" i="340"/>
  <c r="S434" i="340"/>
  <c r="AE435" i="340"/>
  <c r="W437" i="340"/>
  <c r="AD438" i="340"/>
  <c r="AF441" i="340"/>
  <c r="R444" i="340"/>
  <c r="AB445" i="340"/>
  <c r="AF450" i="340"/>
  <c r="S452" i="340"/>
  <c r="AF453" i="340"/>
  <c r="AE458" i="340"/>
  <c r="O461" i="340"/>
  <c r="O463" i="340"/>
  <c r="W465" i="340"/>
  <c r="AE467" i="340"/>
  <c r="S470" i="340"/>
  <c r="AA472" i="340"/>
  <c r="R475" i="340"/>
  <c r="AD479" i="340"/>
  <c r="W482" i="340"/>
  <c r="AF486" i="340"/>
  <c r="Z491" i="340"/>
  <c r="AD499" i="340"/>
  <c r="AF514" i="340"/>
  <c r="S525" i="340"/>
  <c r="Z531" i="340"/>
  <c r="AF535" i="340"/>
  <c r="X542" i="340"/>
  <c r="O551" i="340"/>
  <c r="W560" i="340"/>
  <c r="AF572" i="340"/>
  <c r="AA466" i="340"/>
  <c r="O469" i="340"/>
  <c r="W471" i="340"/>
  <c r="AE473" i="340"/>
  <c r="W478" i="340"/>
  <c r="R485" i="340"/>
  <c r="AA489" i="340"/>
  <c r="V493" i="340"/>
  <c r="AE497" i="340"/>
  <c r="Z501" i="340"/>
  <c r="O506" i="340"/>
  <c r="O513" i="340"/>
  <c r="AE516" i="340"/>
  <c r="AD533" i="340"/>
  <c r="V538" i="340"/>
  <c r="AA545" i="340"/>
  <c r="AF554" i="340"/>
  <c r="O566" i="340"/>
  <c r="AF578" i="340"/>
  <c r="AE429" i="340"/>
  <c r="AB430" i="340"/>
  <c r="Z431" i="340"/>
  <c r="W432" i="340"/>
  <c r="R435" i="340"/>
  <c r="AE437" i="340"/>
  <c r="AB438" i="340"/>
  <c r="Z439" i="340"/>
  <c r="W440" i="340"/>
  <c r="R442" i="340"/>
  <c r="O444" i="340"/>
  <c r="AF444" i="340"/>
  <c r="AD445" i="340"/>
  <c r="AB448" i="340"/>
  <c r="Z449" i="340"/>
  <c r="W450" i="340"/>
  <c r="R452" i="340"/>
  <c r="O453" i="340"/>
  <c r="O454" i="340"/>
  <c r="V457" i="340"/>
  <c r="AB458" i="340"/>
  <c r="AD459" i="340"/>
  <c r="R462" i="340"/>
  <c r="X463" i="340"/>
  <c r="Z464" i="340"/>
  <c r="AF465" i="340"/>
  <c r="V469" i="340"/>
  <c r="AB470" i="340"/>
  <c r="AD471" i="340"/>
  <c r="S474" i="340"/>
  <c r="AA475" i="340"/>
  <c r="AE478" i="340"/>
  <c r="W481" i="340"/>
  <c r="X485" i="340"/>
  <c r="AA488" i="340"/>
  <c r="S490" i="340"/>
  <c r="AB493" i="340"/>
  <c r="AE496" i="340"/>
  <c r="W498" i="340"/>
  <c r="AF501" i="340"/>
  <c r="O505" i="340"/>
  <c r="AA506" i="340"/>
  <c r="AA510" i="340"/>
  <c r="V513" i="340"/>
  <c r="AB515" i="340"/>
  <c r="X517" i="340"/>
  <c r="Z520" i="340"/>
  <c r="Z523" i="340"/>
  <c r="S532" i="340"/>
  <c r="R534" i="340"/>
  <c r="AD536" i="340"/>
  <c r="S546" i="340"/>
  <c r="AA552" i="340"/>
  <c r="X561" i="340"/>
  <c r="O567" i="340"/>
  <c r="W576" i="340"/>
  <c r="AA586" i="340"/>
  <c r="AA463" i="340"/>
  <c r="O466" i="340"/>
  <c r="V467" i="340"/>
  <c r="W468" i="340"/>
  <c r="AD469" i="340"/>
  <c r="AE470" i="340"/>
  <c r="R472" i="340"/>
  <c r="S473" i="340"/>
  <c r="AA474" i="340"/>
  <c r="AE475" i="340"/>
  <c r="S479" i="340"/>
  <c r="W480" i="340"/>
  <c r="AF481" i="340"/>
  <c r="S483" i="340"/>
  <c r="R486" i="340"/>
  <c r="AD488" i="340"/>
  <c r="AE490" i="340"/>
  <c r="W492" i="340"/>
  <c r="V494" i="340"/>
  <c r="O499" i="340"/>
  <c r="AA500" i="340"/>
  <c r="Z502" i="340"/>
  <c r="R505" i="340"/>
  <c r="O511" i="340"/>
  <c r="AF515" i="340"/>
  <c r="O521" i="340"/>
  <c r="V524" i="340"/>
  <c r="S527" i="340"/>
  <c r="AB529" i="340"/>
  <c r="AB532" i="340"/>
  <c r="AF536" i="340"/>
  <c r="V541" i="340"/>
  <c r="AE543" i="340"/>
  <c r="W547" i="340"/>
  <c r="X558" i="340"/>
  <c r="R562" i="340"/>
  <c r="R571" i="340"/>
  <c r="AE576" i="340"/>
  <c r="AF582" i="340"/>
  <c r="AA587" i="340"/>
  <c r="AF413" i="340"/>
  <c r="AB416" i="340"/>
  <c r="X417" i="340"/>
  <c r="J417" i="340" s="1"/>
  <c r="AF419" i="340"/>
  <c r="AB421" i="340"/>
  <c r="X422" i="340"/>
  <c r="AF424" i="340"/>
  <c r="AB425" i="340"/>
  <c r="Z426" i="340"/>
  <c r="W427" i="340"/>
  <c r="R429" i="340"/>
  <c r="O430" i="340"/>
  <c r="AF430" i="340"/>
  <c r="AD431" i="340"/>
  <c r="AB432" i="340"/>
  <c r="Z434" i="340"/>
  <c r="W435" i="340"/>
  <c r="R437" i="340"/>
  <c r="O438" i="340"/>
  <c r="AF438" i="340"/>
  <c r="AD439" i="340"/>
  <c r="AA440" i="340"/>
  <c r="X441" i="340"/>
  <c r="V442" i="340"/>
  <c r="R445" i="340"/>
  <c r="O448" i="340"/>
  <c r="AF448" i="340"/>
  <c r="AD449" i="340"/>
  <c r="AA450" i="340"/>
  <c r="X451" i="340"/>
  <c r="V452" i="340"/>
  <c r="S453" i="340"/>
  <c r="W454" i="340"/>
  <c r="X455" i="340"/>
  <c r="AE457" i="340"/>
  <c r="AF458" i="340"/>
  <c r="S460" i="340"/>
  <c r="AA462" i="340"/>
  <c r="AB463" i="340"/>
  <c r="O465" i="340"/>
  <c r="W467" i="340"/>
  <c r="X468" i="340"/>
  <c r="AE469" i="340"/>
  <c r="AF470" i="340"/>
  <c r="S472" i="340"/>
  <c r="AB474" i="340"/>
  <c r="AF475" i="340"/>
  <c r="V479" i="340"/>
  <c r="X480" i="340"/>
  <c r="V483" i="340"/>
  <c r="S486" i="340"/>
  <c r="AE488" i="340"/>
  <c r="Z492" i="340"/>
  <c r="W494" i="340"/>
  <c r="O497" i="340"/>
  <c r="R499" i="340"/>
  <c r="AD500" i="340"/>
  <c r="AA502" i="340"/>
  <c r="S505" i="340"/>
  <c r="W509" i="340"/>
  <c r="R511" i="340"/>
  <c r="R514" i="340"/>
  <c r="R521" i="340"/>
  <c r="W524" i="340"/>
  <c r="AF529" i="340"/>
  <c r="AE532" i="340"/>
  <c r="Z541" i="340"/>
  <c r="AE547" i="340"/>
  <c r="O553" i="340"/>
  <c r="AE558" i="340"/>
  <c r="S571" i="340"/>
  <c r="AF576" i="340"/>
  <c r="S588" i="340"/>
  <c r="AD380" i="340"/>
  <c r="Z381" i="340"/>
  <c r="V382" i="340"/>
  <c r="R383" i="340"/>
  <c r="AD385" i="340"/>
  <c r="Z386" i="340"/>
  <c r="V388" i="340"/>
  <c r="R389" i="340"/>
  <c r="AD390" i="340"/>
  <c r="Z391" i="340"/>
  <c r="V392" i="340"/>
  <c r="AD402" i="340"/>
  <c r="Z405" i="340"/>
  <c r="V406" i="340"/>
  <c r="R408" i="340"/>
  <c r="AD409" i="340"/>
  <c r="Z411" i="340"/>
  <c r="V412" i="340"/>
  <c r="R413" i="340"/>
  <c r="AD416" i="340"/>
  <c r="Z417" i="340"/>
  <c r="V418" i="340"/>
  <c r="R419" i="340"/>
  <c r="AD421" i="340"/>
  <c r="Z422" i="340"/>
  <c r="V423" i="340"/>
  <c r="R424" i="340"/>
  <c r="AD425" i="340"/>
  <c r="AA426" i="340"/>
  <c r="X427" i="340"/>
  <c r="V428" i="340"/>
  <c r="S429" i="340"/>
  <c r="AF431" i="340"/>
  <c r="AD432" i="340"/>
  <c r="AA434" i="340"/>
  <c r="X435" i="340"/>
  <c r="V436" i="340"/>
  <c r="S437" i="340"/>
  <c r="AE439" i="340"/>
  <c r="AB440" i="340"/>
  <c r="Z441" i="340"/>
  <c r="X442" i="340"/>
  <c r="V444" i="340"/>
  <c r="S445" i="340"/>
  <c r="AE449" i="340"/>
  <c r="AB450" i="340"/>
  <c r="Z451" i="340"/>
  <c r="W452" i="340"/>
  <c r="X453" i="340"/>
  <c r="X454" i="340"/>
  <c r="Z455" i="340"/>
  <c r="AF457" i="340"/>
  <c r="V461" i="340"/>
  <c r="AB462" i="340"/>
  <c r="AD463" i="340"/>
  <c r="R466" i="340"/>
  <c r="X467" i="340"/>
  <c r="Z468" i="340"/>
  <c r="AF469" i="340"/>
  <c r="V473" i="340"/>
  <c r="AD474" i="340"/>
  <c r="W479" i="340"/>
  <c r="Z480" i="340"/>
  <c r="O482" i="340"/>
  <c r="W483" i="340"/>
  <c r="AF488" i="340"/>
  <c r="O491" i="340"/>
  <c r="AA492" i="340"/>
  <c r="X494" i="340"/>
  <c r="S499" i="340"/>
  <c r="AE500" i="340"/>
  <c r="AB502" i="340"/>
  <c r="X509" i="340"/>
  <c r="S511" i="340"/>
  <c r="O516" i="340"/>
  <c r="V519" i="340"/>
  <c r="S521" i="340"/>
  <c r="X524" i="340"/>
  <c r="V527" i="340"/>
  <c r="AF532" i="340"/>
  <c r="R535" i="340"/>
  <c r="R537" i="340"/>
  <c r="AA541" i="340"/>
  <c r="R544" i="340"/>
  <c r="AF547" i="340"/>
  <c r="AE562" i="340"/>
  <c r="O577" i="340"/>
  <c r="W583" i="340"/>
  <c r="O380" i="340"/>
  <c r="AE380" i="340"/>
  <c r="AA381" i="340"/>
  <c r="W382" i="340"/>
  <c r="S383" i="340"/>
  <c r="O385" i="340"/>
  <c r="AE385" i="340"/>
  <c r="AA386" i="340"/>
  <c r="W388" i="340"/>
  <c r="S389" i="340"/>
  <c r="O390" i="340"/>
  <c r="AE390" i="340"/>
  <c r="AA391" i="340"/>
  <c r="W392" i="340"/>
  <c r="S394" i="340"/>
  <c r="O402" i="340"/>
  <c r="AE402" i="340"/>
  <c r="AA405" i="340"/>
  <c r="W406" i="340"/>
  <c r="S408" i="340"/>
  <c r="O409" i="340"/>
  <c r="AE409" i="340"/>
  <c r="AA411" i="340"/>
  <c r="W412" i="340"/>
  <c r="S413" i="340"/>
  <c r="O416" i="340"/>
  <c r="AE416" i="340"/>
  <c r="AA417" i="340"/>
  <c r="W418" i="340"/>
  <c r="S419" i="340"/>
  <c r="O421" i="340"/>
  <c r="AE421" i="340"/>
  <c r="AA422" i="340"/>
  <c r="W423" i="340"/>
  <c r="S424" i="340"/>
  <c r="O425" i="340"/>
  <c r="AE425" i="340"/>
  <c r="AB426" i="340"/>
  <c r="Z427" i="340"/>
  <c r="W428" i="340"/>
  <c r="R430" i="340"/>
  <c r="AE432" i="340"/>
  <c r="AB434" i="340"/>
  <c r="Z435" i="340"/>
  <c r="W436" i="340"/>
  <c r="R438" i="340"/>
  <c r="O439" i="340"/>
  <c r="AF439" i="340"/>
  <c r="AD440" i="340"/>
  <c r="AB441" i="340"/>
  <c r="Z442" i="340"/>
  <c r="W444" i="340"/>
  <c r="R448" i="340"/>
  <c r="O449" i="340"/>
  <c r="AF449" i="340"/>
  <c r="AD450" i="340"/>
  <c r="AA451" i="340"/>
  <c r="X452" i="340"/>
  <c r="Z453" i="340"/>
  <c r="Z454" i="340"/>
  <c r="AA455" i="340"/>
  <c r="O459" i="340"/>
  <c r="V460" i="340"/>
  <c r="W461" i="340"/>
  <c r="AD462" i="340"/>
  <c r="AE463" i="340"/>
  <c r="R465" i="340"/>
  <c r="S466" i="340"/>
  <c r="Z467" i="340"/>
  <c r="AA468" i="340"/>
  <c r="O471" i="340"/>
  <c r="V472" i="340"/>
  <c r="W473" i="340"/>
  <c r="AE474" i="340"/>
  <c r="O478" i="340"/>
  <c r="X479" i="340"/>
  <c r="AA480" i="340"/>
  <c r="X483" i="340"/>
  <c r="Z486" i="340"/>
  <c r="R489" i="340"/>
  <c r="AB492" i="340"/>
  <c r="AD494" i="340"/>
  <c r="V497" i="340"/>
  <c r="AF500" i="340"/>
  <c r="Z505" i="340"/>
  <c r="Z509" i="340"/>
  <c r="Z514" i="340"/>
  <c r="W519" i="340"/>
  <c r="AD524" i="340"/>
  <c r="AD527" i="340"/>
  <c r="W535" i="340"/>
  <c r="AA537" i="340"/>
  <c r="AB541" i="340"/>
  <c r="S544" i="340"/>
  <c r="AF553" i="340"/>
  <c r="S559" i="340"/>
  <c r="AF562" i="340"/>
  <c r="S572" i="340"/>
  <c r="AF577" i="340"/>
  <c r="X583" i="340"/>
  <c r="V588" i="340"/>
  <c r="X423" i="340"/>
  <c r="AF425" i="340"/>
  <c r="AD426" i="340"/>
  <c r="AA427" i="340"/>
  <c r="X428" i="340"/>
  <c r="V429" i="340"/>
  <c r="R431" i="340"/>
  <c r="O432" i="340"/>
  <c r="AF432" i="340"/>
  <c r="AD434" i="340"/>
  <c r="AA435" i="340"/>
  <c r="X436" i="340"/>
  <c r="V437" i="340"/>
  <c r="S438" i="340"/>
  <c r="AF440" i="340"/>
  <c r="AD441" i="340"/>
  <c r="AA442" i="340"/>
  <c r="X444" i="340"/>
  <c r="V445" i="340"/>
  <c r="S448" i="340"/>
  <c r="AE450" i="340"/>
  <c r="AB451" i="340"/>
  <c r="Z452" i="340"/>
  <c r="AA453" i="340"/>
  <c r="AA454" i="340"/>
  <c r="O458" i="340"/>
  <c r="V459" i="340"/>
  <c r="W460" i="340"/>
  <c r="AD461" i="340"/>
  <c r="AE462" i="340"/>
  <c r="R464" i="340"/>
  <c r="S465" i="340"/>
  <c r="Z466" i="340"/>
  <c r="AA467" i="340"/>
  <c r="O470" i="340"/>
  <c r="V471" i="340"/>
  <c r="W472" i="340"/>
  <c r="AD473" i="340"/>
  <c r="V478" i="340"/>
  <c r="Z479" i="340"/>
  <c r="O481" i="340"/>
  <c r="S482" i="340"/>
  <c r="O485" i="340"/>
  <c r="AA486" i="340"/>
  <c r="Z489" i="340"/>
  <c r="R491" i="340"/>
  <c r="S493" i="340"/>
  <c r="AE494" i="340"/>
  <c r="AD497" i="340"/>
  <c r="V499" i="340"/>
  <c r="W501" i="340"/>
  <c r="O504" i="340"/>
  <c r="AA509" i="340"/>
  <c r="AF511" i="340"/>
  <c r="AA514" i="340"/>
  <c r="AD516" i="340"/>
  <c r="X519" i="340"/>
  <c r="AF524" i="340"/>
  <c r="R528" i="340"/>
  <c r="R531" i="340"/>
  <c r="AA533" i="340"/>
  <c r="X535" i="340"/>
  <c r="R538" i="340"/>
  <c r="AD541" i="340"/>
  <c r="W545" i="340"/>
  <c r="Z548" i="340"/>
  <c r="AE554" i="340"/>
  <c r="Z559" i="340"/>
  <c r="W565" i="340"/>
  <c r="AE578" i="340"/>
  <c r="AD583" i="340"/>
  <c r="AF454" i="340"/>
  <c r="AB455" i="340"/>
  <c r="X457" i="340"/>
  <c r="AF459" i="340"/>
  <c r="AB460" i="340"/>
  <c r="X461" i="340"/>
  <c r="AF463" i="340"/>
  <c r="AB464" i="340"/>
  <c r="X465" i="340"/>
  <c r="AF467" i="340"/>
  <c r="AB468" i="340"/>
  <c r="X469" i="340"/>
  <c r="AF471" i="340"/>
  <c r="AB472" i="340"/>
  <c r="X473" i="340"/>
  <c r="V474" i="340"/>
  <c r="S475" i="340"/>
  <c r="AE479" i="340"/>
  <c r="AB480" i="340"/>
  <c r="Z481" i="340"/>
  <c r="Z482" i="340"/>
  <c r="Z483" i="340"/>
  <c r="AE485" i="340"/>
  <c r="S489" i="340"/>
  <c r="V490" i="340"/>
  <c r="AA491" i="340"/>
  <c r="AD492" i="340"/>
  <c r="O494" i="340"/>
  <c r="R496" i="340"/>
  <c r="W497" i="340"/>
  <c r="Z498" i="340"/>
  <c r="AE499" i="340"/>
  <c r="S502" i="340"/>
  <c r="V504" i="340"/>
  <c r="AA505" i="340"/>
  <c r="AD506" i="340"/>
  <c r="R510" i="340"/>
  <c r="V511" i="340"/>
  <c r="AD513" i="340"/>
  <c r="V516" i="340"/>
  <c r="AA517" i="340"/>
  <c r="V521" i="340"/>
  <c r="AF523" i="340"/>
  <c r="AE527" i="340"/>
  <c r="R529" i="340"/>
  <c r="AB531" i="340"/>
  <c r="O533" i="340"/>
  <c r="Z534" i="340"/>
  <c r="AB537" i="340"/>
  <c r="AA540" i="340"/>
  <c r="Z542" i="340"/>
  <c r="Z544" i="340"/>
  <c r="O547" i="340"/>
  <c r="V551" i="340"/>
  <c r="W557" i="340"/>
  <c r="X560" i="340"/>
  <c r="S564" i="340"/>
  <c r="AB567" i="340"/>
  <c r="R573" i="340"/>
  <c r="O578" i="340"/>
  <c r="AD581" i="340"/>
  <c r="R585" i="340"/>
  <c r="W588" i="340"/>
  <c r="V453" i="340"/>
  <c r="R454" i="340"/>
  <c r="AD455" i="340"/>
  <c r="Z457" i="340"/>
  <c r="V458" i="340"/>
  <c r="R459" i="340"/>
  <c r="AD460" i="340"/>
  <c r="Z461" i="340"/>
  <c r="V462" i="340"/>
  <c r="R463" i="340"/>
  <c r="AD464" i="340"/>
  <c r="Z465" i="340"/>
  <c r="V466" i="340"/>
  <c r="R467" i="340"/>
  <c r="AD468" i="340"/>
  <c r="Z469" i="340"/>
  <c r="V470" i="340"/>
  <c r="R471" i="340"/>
  <c r="AD472" i="340"/>
  <c r="Z473" i="340"/>
  <c r="W474" i="340"/>
  <c r="R478" i="340"/>
  <c r="O479" i="340"/>
  <c r="AF479" i="340"/>
  <c r="AD480" i="340"/>
  <c r="AA481" i="340"/>
  <c r="AA482" i="340"/>
  <c r="AA483" i="340"/>
  <c r="O488" i="340"/>
  <c r="V489" i="340"/>
  <c r="W490" i="340"/>
  <c r="AD491" i="340"/>
  <c r="AE492" i="340"/>
  <c r="R494" i="340"/>
  <c r="S496" i="340"/>
  <c r="Z497" i="340"/>
  <c r="AA498" i="340"/>
  <c r="O501" i="340"/>
  <c r="V502" i="340"/>
  <c r="W504" i="340"/>
  <c r="AD505" i="340"/>
  <c r="AE506" i="340"/>
  <c r="W511" i="340"/>
  <c r="AF513" i="340"/>
  <c r="X516" i="340"/>
  <c r="AB517" i="340"/>
  <c r="S520" i="340"/>
  <c r="X521" i="340"/>
  <c r="V525" i="340"/>
  <c r="AF531" i="340"/>
  <c r="AB534" i="340"/>
  <c r="O536" i="340"/>
  <c r="AB540" i="340"/>
  <c r="AB542" i="340"/>
  <c r="AA544" i="340"/>
  <c r="R547" i="340"/>
  <c r="W551" i="340"/>
  <c r="X557" i="340"/>
  <c r="AB560" i="340"/>
  <c r="S570" i="340"/>
  <c r="W573" i="340"/>
  <c r="AA578" i="340"/>
  <c r="AE581" i="340"/>
  <c r="X588" i="340"/>
  <c r="S426" i="340"/>
  <c r="O427" i="340"/>
  <c r="AE427" i="340"/>
  <c r="AA428" i="340"/>
  <c r="W429" i="340"/>
  <c r="S430" i="340"/>
  <c r="O431" i="340"/>
  <c r="AE431" i="340"/>
  <c r="AA432" i="340"/>
  <c r="W434" i="340"/>
  <c r="S435" i="340"/>
  <c r="O436" i="340"/>
  <c r="AE436" i="340"/>
  <c r="AA437" i="340"/>
  <c r="W438" i="340"/>
  <c r="S439" i="340"/>
  <c r="O440" i="340"/>
  <c r="AE440" i="340"/>
  <c r="AA441" i="340"/>
  <c r="W442" i="340"/>
  <c r="S444" i="340"/>
  <c r="O445" i="340"/>
  <c r="AE445" i="340"/>
  <c r="AA448" i="340"/>
  <c r="W449" i="340"/>
  <c r="S450" i="340"/>
  <c r="O451" i="340"/>
  <c r="AE451" i="340"/>
  <c r="AA452" i="340"/>
  <c r="W453" i="340"/>
  <c r="S454" i="340"/>
  <c r="O455" i="340"/>
  <c r="AE455" i="340"/>
  <c r="AA457" i="340"/>
  <c r="W458" i="340"/>
  <c r="S459" i="340"/>
  <c r="O460" i="340"/>
  <c r="AE460" i="340"/>
  <c r="AA461" i="340"/>
  <c r="W462" i="340"/>
  <c r="S463" i="340"/>
  <c r="O464" i="340"/>
  <c r="AE464" i="340"/>
  <c r="AA465" i="340"/>
  <c r="W466" i="340"/>
  <c r="S467" i="340"/>
  <c r="O468" i="340"/>
  <c r="AE468" i="340"/>
  <c r="AA469" i="340"/>
  <c r="W470" i="340"/>
  <c r="S471" i="340"/>
  <c r="O472" i="340"/>
  <c r="AE472" i="340"/>
  <c r="AA473" i="340"/>
  <c r="X474" i="340"/>
  <c r="V475" i="340"/>
  <c r="S478" i="340"/>
  <c r="AE480" i="340"/>
  <c r="AD481" i="340"/>
  <c r="AB482" i="340"/>
  <c r="AB483" i="340"/>
  <c r="O486" i="340"/>
  <c r="W489" i="340"/>
  <c r="X490" i="340"/>
  <c r="AE491" i="340"/>
  <c r="AF492" i="340"/>
  <c r="S494" i="340"/>
  <c r="AA497" i="340"/>
  <c r="AB498" i="340"/>
  <c r="O500" i="340"/>
  <c r="W502" i="340"/>
  <c r="X504" i="340"/>
  <c r="AE505" i="340"/>
  <c r="AF506" i="340"/>
  <c r="V510" i="340"/>
  <c r="X511" i="340"/>
  <c r="R515" i="340"/>
  <c r="Z516" i="340"/>
  <c r="AD517" i="340"/>
  <c r="Z521" i="340"/>
  <c r="R524" i="340"/>
  <c r="W525" i="340"/>
  <c r="O528" i="340"/>
  <c r="V529" i="340"/>
  <c r="R533" i="340"/>
  <c r="AD534" i="340"/>
  <c r="O538" i="340"/>
  <c r="AD540" i="340"/>
  <c r="AF542" i="340"/>
  <c r="AB544" i="340"/>
  <c r="S547" i="340"/>
  <c r="X551" i="340"/>
  <c r="AA554" i="340"/>
  <c r="O558" i="340"/>
  <c r="AE560" i="340"/>
  <c r="W564" i="340"/>
  <c r="X570" i="340"/>
  <c r="AB573" i="340"/>
  <c r="AB578" i="340"/>
  <c r="AF581" i="340"/>
  <c r="O586" i="340"/>
  <c r="AF455" i="340"/>
  <c r="AB457" i="340"/>
  <c r="X458" i="340"/>
  <c r="AF460" i="340"/>
  <c r="AB461" i="340"/>
  <c r="X462" i="340"/>
  <c r="AF464" i="340"/>
  <c r="AB465" i="340"/>
  <c r="X466" i="340"/>
  <c r="AF468" i="340"/>
  <c r="AB469" i="340"/>
  <c r="X470" i="340"/>
  <c r="AF472" i="340"/>
  <c r="AB473" i="340"/>
  <c r="Z474" i="340"/>
  <c r="W475" i="340"/>
  <c r="R479" i="340"/>
  <c r="O480" i="340"/>
  <c r="AE481" i="340"/>
  <c r="AD482" i="340"/>
  <c r="V488" i="340"/>
  <c r="X489" i="340"/>
  <c r="AD490" i="340"/>
  <c r="AF491" i="340"/>
  <c r="R493" i="340"/>
  <c r="Z496" i="340"/>
  <c r="AB497" i="340"/>
  <c r="V501" i="340"/>
  <c r="X502" i="340"/>
  <c r="AD504" i="340"/>
  <c r="AF505" i="340"/>
  <c r="R509" i="340"/>
  <c r="W510" i="340"/>
  <c r="AE511" i="340"/>
  <c r="O514" i="340"/>
  <c r="W515" i="340"/>
  <c r="AB516" i="340"/>
  <c r="O519" i="340"/>
  <c r="V520" i="340"/>
  <c r="AF521" i="340"/>
  <c r="AD525" i="340"/>
  <c r="AA529" i="340"/>
  <c r="O532" i="340"/>
  <c r="Z533" i="340"/>
  <c r="AF534" i="340"/>
  <c r="V536" i="340"/>
  <c r="O541" i="340"/>
  <c r="O545" i="340"/>
  <c r="S552" i="340"/>
  <c r="AB554" i="340"/>
  <c r="W558" i="340"/>
  <c r="AF560" i="340"/>
  <c r="AA570" i="340"/>
  <c r="X574" i="340"/>
  <c r="AD578" i="340"/>
  <c r="AE582" i="340"/>
  <c r="R482" i="340"/>
  <c r="AD483" i="340"/>
  <c r="Z485" i="340"/>
  <c r="V486" i="340"/>
  <c r="R488" i="340"/>
  <c r="AD489" i="340"/>
  <c r="Z490" i="340"/>
  <c r="V491" i="340"/>
  <c r="R492" i="340"/>
  <c r="AD493" i="340"/>
  <c r="Z494" i="340"/>
  <c r="V496" i="340"/>
  <c r="R497" i="340"/>
  <c r="AD498" i="340"/>
  <c r="Z499" i="340"/>
  <c r="V500" i="340"/>
  <c r="R501" i="340"/>
  <c r="AD502" i="340"/>
  <c r="Z504" i="340"/>
  <c r="V505" i="340"/>
  <c r="R506" i="340"/>
  <c r="AE509" i="340"/>
  <c r="AB510" i="340"/>
  <c r="Z511" i="340"/>
  <c r="X513" i="340"/>
  <c r="V514" i="340"/>
  <c r="S515" i="340"/>
  <c r="AE517" i="340"/>
  <c r="AB519" i="340"/>
  <c r="AB520" i="340"/>
  <c r="AB521" i="340"/>
  <c r="AA523" i="340"/>
  <c r="Z524" i="340"/>
  <c r="X525" i="340"/>
  <c r="X527" i="340"/>
  <c r="X528" i="340"/>
  <c r="W529" i="340"/>
  <c r="V531" i="340"/>
  <c r="S535" i="340"/>
  <c r="R536" i="340"/>
  <c r="S537" i="340"/>
  <c r="AB538" i="340"/>
  <c r="AE540" i="340"/>
  <c r="W543" i="340"/>
  <c r="AD544" i="340"/>
  <c r="O548" i="340"/>
  <c r="Z551" i="340"/>
  <c r="W553" i="340"/>
  <c r="AD559" i="340"/>
  <c r="AA561" i="340"/>
  <c r="X564" i="340"/>
  <c r="V571" i="340"/>
  <c r="AE573" i="340"/>
  <c r="AB579" i="340"/>
  <c r="W584" i="340"/>
  <c r="AB586" i="340"/>
  <c r="O483" i="340"/>
  <c r="AE483" i="340"/>
  <c r="AA485" i="340"/>
  <c r="W486" i="340"/>
  <c r="S488" i="340"/>
  <c r="O489" i="340"/>
  <c r="AE489" i="340"/>
  <c r="AA490" i="340"/>
  <c r="W491" i="340"/>
  <c r="S492" i="340"/>
  <c r="O493" i="340"/>
  <c r="AE493" i="340"/>
  <c r="AA494" i="340"/>
  <c r="W496" i="340"/>
  <c r="S497" i="340"/>
  <c r="O498" i="340"/>
  <c r="AE498" i="340"/>
  <c r="AA499" i="340"/>
  <c r="W500" i="340"/>
  <c r="S501" i="340"/>
  <c r="O502" i="340"/>
  <c r="AE502" i="340"/>
  <c r="AA504" i="340"/>
  <c r="W505" i="340"/>
  <c r="S506" i="340"/>
  <c r="O509" i="340"/>
  <c r="AF509" i="340"/>
  <c r="AD510" i="340"/>
  <c r="AB511" i="340"/>
  <c r="Z513" i="340"/>
  <c r="W514" i="340"/>
  <c r="R516" i="340"/>
  <c r="O517" i="340"/>
  <c r="AF517" i="340"/>
  <c r="AD519" i="340"/>
  <c r="AD520" i="340"/>
  <c r="AD521" i="340"/>
  <c r="AB523" i="340"/>
  <c r="AA524" i="340"/>
  <c r="Z525" i="340"/>
  <c r="Z527" i="340"/>
  <c r="Z528" i="340"/>
  <c r="X529" i="340"/>
  <c r="W531" i="340"/>
  <c r="V532" i="340"/>
  <c r="V533" i="340"/>
  <c r="V534" i="340"/>
  <c r="S536" i="340"/>
  <c r="W537" i="340"/>
  <c r="AD538" i="340"/>
  <c r="AF540" i="340"/>
  <c r="X543" i="340"/>
  <c r="AE544" i="340"/>
  <c r="X546" i="340"/>
  <c r="AA551" i="340"/>
  <c r="AD553" i="340"/>
  <c r="V555" i="340"/>
  <c r="S558" i="340"/>
  <c r="AE559" i="340"/>
  <c r="AD564" i="340"/>
  <c r="W567" i="340"/>
  <c r="W571" i="340"/>
  <c r="V574" i="340"/>
  <c r="V577" i="340"/>
  <c r="O580" i="340"/>
  <c r="O582" i="340"/>
  <c r="AF483" i="340"/>
  <c r="AB485" i="340"/>
  <c r="X486" i="340"/>
  <c r="AF489" i="340"/>
  <c r="AB490" i="340"/>
  <c r="X491" i="340"/>
  <c r="AF493" i="340"/>
  <c r="AB494" i="340"/>
  <c r="X496" i="340"/>
  <c r="AF498" i="340"/>
  <c r="AB499" i="340"/>
  <c r="X500" i="340"/>
  <c r="AF502" i="340"/>
  <c r="AB504" i="340"/>
  <c r="X505" i="340"/>
  <c r="AF510" i="340"/>
  <c r="AD511" i="340"/>
  <c r="AA513" i="340"/>
  <c r="X514" i="340"/>
  <c r="V515" i="340"/>
  <c r="S516" i="340"/>
  <c r="AF519" i="340"/>
  <c r="AF520" i="340"/>
  <c r="AE521" i="340"/>
  <c r="AD523" i="340"/>
  <c r="AB524" i="340"/>
  <c r="AB525" i="340"/>
  <c r="AB527" i="340"/>
  <c r="AA528" i="340"/>
  <c r="Z529" i="340"/>
  <c r="X531" i="340"/>
  <c r="X532" i="340"/>
  <c r="X533" i="340"/>
  <c r="W534" i="340"/>
  <c r="V535" i="340"/>
  <c r="X537" i="340"/>
  <c r="AE538" i="340"/>
  <c r="V542" i="340"/>
  <c r="AB543" i="340"/>
  <c r="AF544" i="340"/>
  <c r="AA546" i="340"/>
  <c r="S548" i="340"/>
  <c r="AB551" i="340"/>
  <c r="AE553" i="340"/>
  <c r="W555" i="340"/>
  <c r="AF559" i="340"/>
  <c r="O562" i="340"/>
  <c r="O565" i="340"/>
  <c r="X567" i="340"/>
  <c r="X571" i="340"/>
  <c r="W574" i="340"/>
  <c r="AA577" i="340"/>
  <c r="O585" i="340"/>
  <c r="S587" i="340"/>
  <c r="AF474" i="340"/>
  <c r="AB475" i="340"/>
  <c r="X478" i="340"/>
  <c r="AF480" i="340"/>
  <c r="AB481" i="340"/>
  <c r="X482" i="340"/>
  <c r="AF485" i="340"/>
  <c r="AB486" i="340"/>
  <c r="X488" i="340"/>
  <c r="AF490" i="340"/>
  <c r="AB491" i="340"/>
  <c r="X492" i="340"/>
  <c r="AF494" i="340"/>
  <c r="AB496" i="340"/>
  <c r="X497" i="340"/>
  <c r="AF499" i="340"/>
  <c r="AB500" i="340"/>
  <c r="X501" i="340"/>
  <c r="AF504" i="340"/>
  <c r="AB505" i="340"/>
  <c r="X506" i="340"/>
  <c r="V509" i="340"/>
  <c r="S510" i="340"/>
  <c r="AE513" i="340"/>
  <c r="AB514" i="340"/>
  <c r="Z515" i="340"/>
  <c r="W516" i="340"/>
  <c r="R519" i="340"/>
  <c r="R520" i="340"/>
  <c r="O523" i="340"/>
  <c r="AF527" i="340"/>
  <c r="AE528" i="340"/>
  <c r="AD529" i="340"/>
  <c r="AD531" i="340"/>
  <c r="AD532" i="340"/>
  <c r="AB533" i="340"/>
  <c r="AA534" i="340"/>
  <c r="Z535" i="340"/>
  <c r="Z536" i="340"/>
  <c r="AF537" i="340"/>
  <c r="O540" i="340"/>
  <c r="W541" i="340"/>
  <c r="AA542" i="340"/>
  <c r="AF543" i="340"/>
  <c r="X545" i="340"/>
  <c r="AA548" i="340"/>
  <c r="W552" i="340"/>
  <c r="O554" i="340"/>
  <c r="R557" i="340"/>
  <c r="AD558" i="340"/>
  <c r="AA560" i="340"/>
  <c r="S562" i="340"/>
  <c r="AA572" i="340"/>
  <c r="AA574" i="340"/>
  <c r="Z578" i="340"/>
  <c r="Z580" i="340"/>
  <c r="S583" i="340"/>
  <c r="S585" i="340"/>
  <c r="R588" i="340"/>
  <c r="AE551" i="340"/>
  <c r="S554" i="340"/>
  <c r="X555" i="340"/>
  <c r="AA557" i="340"/>
  <c r="AF558" i="340"/>
  <c r="O560" i="340"/>
  <c r="W562" i="340"/>
  <c r="AA566" i="340"/>
  <c r="AE571" i="340"/>
  <c r="X573" i="340"/>
  <c r="O576" i="340"/>
  <c r="AB577" i="340"/>
  <c r="S579" i="340"/>
  <c r="AF580" i="340"/>
  <c r="W582" i="340"/>
  <c r="AA585" i="340"/>
  <c r="AE588" i="340"/>
  <c r="S538" i="340"/>
  <c r="R540" i="340"/>
  <c r="R542" i="340"/>
  <c r="O544" i="340"/>
  <c r="V546" i="340"/>
  <c r="X547" i="340"/>
  <c r="AD548" i="340"/>
  <c r="AF551" i="340"/>
  <c r="R553" i="340"/>
  <c r="Z555" i="340"/>
  <c r="AB557" i="340"/>
  <c r="V561" i="340"/>
  <c r="X562" i="340"/>
  <c r="R565" i="340"/>
  <c r="AB566" i="340"/>
  <c r="V570" i="340"/>
  <c r="AF571" i="340"/>
  <c r="Z573" i="340"/>
  <c r="AD577" i="340"/>
  <c r="X582" i="340"/>
  <c r="R584" i="340"/>
  <c r="AB585" i="340"/>
  <c r="V587" i="340"/>
  <c r="AF588" i="340"/>
  <c r="AE519" i="340"/>
  <c r="AA520" i="340"/>
  <c r="W521" i="340"/>
  <c r="S523" i="340"/>
  <c r="O524" i="340"/>
  <c r="AE524" i="340"/>
  <c r="AA525" i="340"/>
  <c r="W527" i="340"/>
  <c r="S528" i="340"/>
  <c r="O529" i="340"/>
  <c r="AE529" i="340"/>
  <c r="AA531" i="340"/>
  <c r="W532" i="340"/>
  <c r="S533" i="340"/>
  <c r="O534" i="340"/>
  <c r="AE534" i="340"/>
  <c r="AA535" i="340"/>
  <c r="W536" i="340"/>
  <c r="V537" i="340"/>
  <c r="S540" i="340"/>
  <c r="S542" i="340"/>
  <c r="R543" i="340"/>
  <c r="V545" i="340"/>
  <c r="W546" i="340"/>
  <c r="AD547" i="340"/>
  <c r="AE548" i="340"/>
  <c r="R552" i="340"/>
  <c r="S553" i="340"/>
  <c r="Z554" i="340"/>
  <c r="AA555" i="340"/>
  <c r="O559" i="340"/>
  <c r="V560" i="340"/>
  <c r="W561" i="340"/>
  <c r="AD562" i="340"/>
  <c r="S565" i="340"/>
  <c r="W570" i="340"/>
  <c r="R572" i="340"/>
  <c r="AA573" i="340"/>
  <c r="V576" i="340"/>
  <c r="AE577" i="340"/>
  <c r="Z579" i="340"/>
  <c r="O581" i="340"/>
  <c r="AD582" i="340"/>
  <c r="S584" i="340"/>
  <c r="W587" i="340"/>
  <c r="S509" i="340"/>
  <c r="O510" i="340"/>
  <c r="AE510" i="340"/>
  <c r="AA511" i="340"/>
  <c r="W513" i="340"/>
  <c r="S514" i="340"/>
  <c r="O515" i="340"/>
  <c r="AE515" i="340"/>
  <c r="AA516" i="340"/>
  <c r="W517" i="340"/>
  <c r="S519" i="340"/>
  <c r="O520" i="340"/>
  <c r="AE520" i="340"/>
  <c r="AA521" i="340"/>
  <c r="W523" i="340"/>
  <c r="S524" i="340"/>
  <c r="O525" i="340"/>
  <c r="AE525" i="340"/>
  <c r="AA527" i="340"/>
  <c r="W528" i="340"/>
  <c r="S529" i="340"/>
  <c r="O531" i="340"/>
  <c r="AE531" i="340"/>
  <c r="AA532" i="340"/>
  <c r="W533" i="340"/>
  <c r="S534" i="340"/>
  <c r="O535" i="340"/>
  <c r="AE535" i="340"/>
  <c r="AA536" i="340"/>
  <c r="Z537" i="340"/>
  <c r="X538" i="340"/>
  <c r="Z540" i="340"/>
  <c r="X541" i="340"/>
  <c r="W542" i="340"/>
  <c r="V543" i="340"/>
  <c r="Z545" i="340"/>
  <c r="AB546" i="340"/>
  <c r="V552" i="340"/>
  <c r="X553" i="340"/>
  <c r="AD554" i="340"/>
  <c r="AF555" i="340"/>
  <c r="R558" i="340"/>
  <c r="Z560" i="340"/>
  <c r="AB561" i="340"/>
  <c r="X565" i="340"/>
  <c r="R567" i="340"/>
  <c r="AB570" i="340"/>
  <c r="V572" i="340"/>
  <c r="AF573" i="340"/>
  <c r="Z576" i="340"/>
  <c r="AD579" i="340"/>
  <c r="X584" i="340"/>
  <c r="R586" i="340"/>
  <c r="AB587" i="340"/>
  <c r="AD545" i="340"/>
  <c r="Z546" i="340"/>
  <c r="V547" i="340"/>
  <c r="R548" i="340"/>
  <c r="AD551" i="340"/>
  <c r="Z552" i="340"/>
  <c r="V553" i="340"/>
  <c r="R554" i="340"/>
  <c r="AD555" i="340"/>
  <c r="Z557" i="340"/>
  <c r="V558" i="340"/>
  <c r="R559" i="340"/>
  <c r="AD560" i="340"/>
  <c r="Z561" i="340"/>
  <c r="V562" i="340"/>
  <c r="V564" i="340"/>
  <c r="V565" i="340"/>
  <c r="V566" i="340"/>
  <c r="Z567" i="340"/>
  <c r="Z570" i="340"/>
  <c r="Z571" i="340"/>
  <c r="AD572" i="340"/>
  <c r="AD573" i="340"/>
  <c r="AD574" i="340"/>
  <c r="R580" i="340"/>
  <c r="R581" i="340"/>
  <c r="R582" i="340"/>
  <c r="V583" i="340"/>
  <c r="V584" i="340"/>
  <c r="V585" i="340"/>
  <c r="Z586" i="340"/>
  <c r="Z587" i="340"/>
  <c r="Z588" i="340"/>
  <c r="AD537" i="340"/>
  <c r="Z538" i="340"/>
  <c r="V540" i="340"/>
  <c r="R541" i="340"/>
  <c r="AD542" i="340"/>
  <c r="Z543" i="340"/>
  <c r="V544" i="340"/>
  <c r="R545" i="340"/>
  <c r="AD546" i="340"/>
  <c r="Z547" i="340"/>
  <c r="V548" i="340"/>
  <c r="R551" i="340"/>
  <c r="AD552" i="340"/>
  <c r="Z553" i="340"/>
  <c r="V554" i="340"/>
  <c r="R555" i="340"/>
  <c r="AD557" i="340"/>
  <c r="Z558" i="340"/>
  <c r="V559" i="340"/>
  <c r="R560" i="340"/>
  <c r="AD561" i="340"/>
  <c r="Z562" i="340"/>
  <c r="Z564" i="340"/>
  <c r="Z565" i="340"/>
  <c r="AD566" i="340"/>
  <c r="AD567" i="340"/>
  <c r="AD570" i="340"/>
  <c r="R576" i="340"/>
  <c r="R577" i="340"/>
  <c r="R578" i="340"/>
  <c r="V579" i="340"/>
  <c r="V580" i="340"/>
  <c r="V581" i="340"/>
  <c r="Z582" i="340"/>
  <c r="Z583" i="340"/>
  <c r="Z584" i="340"/>
  <c r="AD585" i="340"/>
  <c r="AD586" i="340"/>
  <c r="AD587" i="340"/>
  <c r="O537" i="340"/>
  <c r="AE537" i="340"/>
  <c r="AA538" i="340"/>
  <c r="W540" i="340"/>
  <c r="S541" i="340"/>
  <c r="O542" i="340"/>
  <c r="AE542" i="340"/>
  <c r="AA543" i="340"/>
  <c r="W544" i="340"/>
  <c r="S545" i="340"/>
  <c r="O546" i="340"/>
  <c r="AE546" i="340"/>
  <c r="AA547" i="340"/>
  <c r="W548" i="340"/>
  <c r="S551" i="340"/>
  <c r="O552" i="340"/>
  <c r="AE552" i="340"/>
  <c r="AA553" i="340"/>
  <c r="W554" i="340"/>
  <c r="S555" i="340"/>
  <c r="O557" i="340"/>
  <c r="AE557" i="340"/>
  <c r="AA558" i="340"/>
  <c r="W559" i="340"/>
  <c r="S560" i="340"/>
  <c r="O561" i="340"/>
  <c r="AE561" i="340"/>
  <c r="AA562" i="340"/>
  <c r="AA564" i="340"/>
  <c r="AE565" i="340"/>
  <c r="AE566" i="340"/>
  <c r="AE567" i="340"/>
  <c r="O571" i="340"/>
  <c r="O572" i="340"/>
  <c r="O573" i="340"/>
  <c r="S574" i="340"/>
  <c r="S576" i="340"/>
  <c r="S577" i="340"/>
  <c r="W578" i="340"/>
  <c r="W579" i="340"/>
  <c r="W580" i="340"/>
  <c r="AA581" i="340"/>
  <c r="AA582" i="340"/>
  <c r="AA583" i="340"/>
  <c r="AE584" i="340"/>
  <c r="AE585" i="340"/>
  <c r="AE586" i="340"/>
  <c r="O588" i="340"/>
  <c r="X544" i="340"/>
  <c r="AF546" i="340"/>
  <c r="AB547" i="340"/>
  <c r="X548" i="340"/>
  <c r="AF552" i="340"/>
  <c r="AB553" i="340"/>
  <c r="X554" i="340"/>
  <c r="AF557" i="340"/>
  <c r="AB558" i="340"/>
  <c r="X559" i="340"/>
  <c r="AF561" i="340"/>
  <c r="AB562" i="340"/>
  <c r="AB564" i="340"/>
  <c r="AF565" i="340"/>
  <c r="AF566" i="340"/>
  <c r="AF567" i="340"/>
  <c r="X578" i="340"/>
  <c r="X579" i="340"/>
  <c r="X580" i="340"/>
  <c r="AB581" i="340"/>
  <c r="AB582" i="340"/>
  <c r="AB583" i="340"/>
  <c r="AF584" i="340"/>
  <c r="AF585" i="340"/>
  <c r="AF586" i="340"/>
  <c r="O564" i="340"/>
  <c r="AE564" i="340"/>
  <c r="AA565" i="340"/>
  <c r="W566" i="340"/>
  <c r="S567" i="340"/>
  <c r="O570" i="340"/>
  <c r="AE570" i="340"/>
  <c r="AA571" i="340"/>
  <c r="W572" i="340"/>
  <c r="S573" i="340"/>
  <c r="O574" i="340"/>
  <c r="AE574" i="340"/>
  <c r="AA576" i="340"/>
  <c r="W577" i="340"/>
  <c r="S578" i="340"/>
  <c r="O579" i="340"/>
  <c r="AE579" i="340"/>
  <c r="AA580" i="340"/>
  <c r="W581" i="340"/>
  <c r="S582" i="340"/>
  <c r="O583" i="340"/>
  <c r="AE583" i="340"/>
  <c r="AA584" i="340"/>
  <c r="W585" i="340"/>
  <c r="S586" i="340"/>
  <c r="O587" i="340"/>
  <c r="AE587" i="340"/>
  <c r="AA588" i="340"/>
  <c r="AF564" i="340"/>
  <c r="AB565" i="340"/>
  <c r="X566" i="340"/>
  <c r="AF570" i="340"/>
  <c r="AB571" i="340"/>
  <c r="X572" i="340"/>
  <c r="AF574" i="340"/>
  <c r="AB576" i="340"/>
  <c r="X577" i="340"/>
  <c r="AF579" i="340"/>
  <c r="AB580" i="340"/>
  <c r="X581" i="340"/>
  <c r="AF583" i="340"/>
  <c r="AB584" i="340"/>
  <c r="X585" i="340"/>
  <c r="AF587" i="340"/>
  <c r="AB588" i="340"/>
  <c r="R564" i="340"/>
  <c r="AD565" i="340"/>
  <c r="Z566" i="340"/>
  <c r="V567" i="340"/>
  <c r="R570" i="340"/>
  <c r="AD571" i="340"/>
  <c r="Z572" i="340"/>
  <c r="V573" i="340"/>
  <c r="R574" i="340"/>
  <c r="AD576" i="340"/>
  <c r="Z577" i="340"/>
  <c r="V578" i="340"/>
  <c r="R579" i="340"/>
  <c r="AD580" i="340"/>
  <c r="Z581" i="340"/>
  <c r="V582" i="340"/>
  <c r="R583" i="340"/>
  <c r="AD584" i="340"/>
  <c r="Z585" i="340"/>
  <c r="V586" i="340"/>
  <c r="R587" i="340"/>
  <c r="AD588" i="340"/>
  <c r="O23" i="348" l="1"/>
  <c r="O23" i="349"/>
  <c r="I23" i="348"/>
  <c r="I23" i="349"/>
  <c r="J532" i="340"/>
  <c r="I287" i="340"/>
  <c r="J386" i="340"/>
  <c r="K6" i="340"/>
  <c r="E253" i="340"/>
  <c r="K23" i="348"/>
  <c r="K23" i="349"/>
  <c r="M20" i="347"/>
  <c r="M20" i="348"/>
  <c r="I20" i="347"/>
  <c r="I20" i="348"/>
  <c r="K20" i="347"/>
  <c r="K20" i="348"/>
  <c r="O20" i="347"/>
  <c r="O20" i="348"/>
  <c r="J306" i="340"/>
  <c r="I23" i="347"/>
  <c r="G20" i="347"/>
  <c r="G20" i="348"/>
  <c r="G23" i="347"/>
  <c r="G23" i="348"/>
  <c r="M23" i="347"/>
  <c r="M23" i="348"/>
  <c r="F237" i="340"/>
  <c r="I506" i="340"/>
  <c r="I341" i="340"/>
  <c r="J122" i="340"/>
  <c r="I277" i="340"/>
  <c r="F501" i="340"/>
  <c r="F337" i="340"/>
  <c r="E519" i="340"/>
  <c r="F394" i="340"/>
  <c r="F574" i="340"/>
  <c r="G14" i="340"/>
  <c r="F260" i="340"/>
  <c r="I96" i="340"/>
  <c r="G116" i="340"/>
  <c r="F373" i="340"/>
  <c r="J391" i="340"/>
  <c r="J582" i="340"/>
  <c r="J236" i="340"/>
  <c r="J196" i="340"/>
  <c r="O23" i="347"/>
  <c r="G485" i="340"/>
  <c r="K394" i="340"/>
  <c r="I488" i="340"/>
  <c r="G413" i="340"/>
  <c r="E394" i="340"/>
  <c r="I453" i="340"/>
  <c r="I117" i="340"/>
  <c r="F346" i="340"/>
  <c r="G326" i="340"/>
  <c r="E311" i="340"/>
  <c r="G298" i="340"/>
  <c r="J521" i="340"/>
  <c r="I547" i="340"/>
  <c r="K470" i="340"/>
  <c r="I479" i="340"/>
  <c r="I365" i="340"/>
  <c r="K315" i="340"/>
  <c r="I298" i="340"/>
  <c r="I21" i="340"/>
  <c r="J121" i="340"/>
  <c r="I482" i="340"/>
  <c r="J519" i="340"/>
  <c r="G89" i="340"/>
  <c r="J577" i="340"/>
  <c r="I377" i="340"/>
  <c r="K497" i="340"/>
  <c r="I444" i="340"/>
  <c r="I412" i="340"/>
  <c r="K555" i="340"/>
  <c r="E428" i="340"/>
  <c r="I55" i="340"/>
  <c r="J66" i="340"/>
  <c r="G269" i="340"/>
  <c r="G31" i="340"/>
  <c r="F15" i="340"/>
  <c r="J54" i="340"/>
  <c r="I12" i="340"/>
  <c r="F552" i="340"/>
  <c r="E382" i="340"/>
  <c r="G321" i="340"/>
  <c r="F147" i="340"/>
  <c r="F131" i="340"/>
  <c r="G34" i="340"/>
  <c r="G17" i="340"/>
  <c r="F445" i="340"/>
  <c r="I174" i="340"/>
  <c r="I137" i="340"/>
  <c r="K90" i="340"/>
  <c r="I169" i="340"/>
  <c r="I501" i="340"/>
  <c r="J442" i="340"/>
  <c r="I224" i="340"/>
  <c r="K56" i="340"/>
  <c r="I33" i="340"/>
  <c r="I474" i="340"/>
  <c r="G192" i="340"/>
  <c r="I112" i="340"/>
  <c r="F478" i="340"/>
  <c r="J381" i="340"/>
  <c r="J385" i="340"/>
  <c r="G115" i="340"/>
  <c r="K205" i="340"/>
  <c r="G392" i="340"/>
  <c r="I466" i="340"/>
  <c r="I147" i="340"/>
  <c r="I86" i="340"/>
  <c r="I305" i="340"/>
  <c r="I353" i="340"/>
  <c r="G124" i="340"/>
  <c r="G394" i="340"/>
  <c r="I581" i="340"/>
  <c r="J70" i="340"/>
  <c r="I8" i="340"/>
  <c r="E567" i="340"/>
  <c r="I215" i="340"/>
  <c r="K571" i="340"/>
  <c r="J571" i="340"/>
  <c r="G565" i="340"/>
  <c r="F540" i="340"/>
  <c r="F541" i="340"/>
  <c r="F580" i="340"/>
  <c r="I545" i="340"/>
  <c r="K545" i="340"/>
  <c r="K543" i="340"/>
  <c r="F516" i="340"/>
  <c r="K527" i="340"/>
  <c r="J502" i="340"/>
  <c r="K502" i="340"/>
  <c r="E491" i="340"/>
  <c r="F491" i="340"/>
  <c r="G562" i="340"/>
  <c r="F534" i="340"/>
  <c r="F344" i="340"/>
  <c r="E344" i="340"/>
  <c r="E323" i="340"/>
  <c r="F309" i="340"/>
  <c r="I346" i="340"/>
  <c r="K346" i="340"/>
  <c r="E334" i="340"/>
  <c r="F334" i="340"/>
  <c r="E315" i="340"/>
  <c r="G315" i="340"/>
  <c r="F315" i="340"/>
  <c r="F390" i="340"/>
  <c r="E390" i="340"/>
  <c r="G390" i="340"/>
  <c r="F402" i="340"/>
  <c r="E402" i="340"/>
  <c r="G402" i="340"/>
  <c r="F263" i="340"/>
  <c r="E263" i="340"/>
  <c r="G263" i="340"/>
  <c r="I424" i="340"/>
  <c r="I344" i="340"/>
  <c r="I540" i="340"/>
  <c r="F381" i="340"/>
  <c r="E197" i="340"/>
  <c r="F197" i="340"/>
  <c r="E180" i="340"/>
  <c r="F180" i="340"/>
  <c r="G163" i="340"/>
  <c r="I534" i="340"/>
  <c r="F234" i="340"/>
  <c r="F223" i="340"/>
  <c r="G254" i="340"/>
  <c r="E190" i="340"/>
  <c r="F256" i="340"/>
  <c r="E256" i="340"/>
  <c r="G256" i="340"/>
  <c r="E179" i="340"/>
  <c r="F179" i="340"/>
  <c r="G179" i="340"/>
  <c r="G78" i="340"/>
  <c r="F78" i="340"/>
  <c r="G56" i="340"/>
  <c r="F56" i="340"/>
  <c r="E56" i="340"/>
  <c r="E8" i="340"/>
  <c r="I67" i="340"/>
  <c r="E227" i="340"/>
  <c r="F227" i="340"/>
  <c r="G553" i="340"/>
  <c r="E553" i="340"/>
  <c r="I553" i="340"/>
  <c r="I478" i="340"/>
  <c r="K478" i="340"/>
  <c r="E554" i="340"/>
  <c r="F554" i="340"/>
  <c r="I585" i="340"/>
  <c r="K585" i="340"/>
  <c r="F587" i="340"/>
  <c r="E587" i="340"/>
  <c r="G587" i="340"/>
  <c r="J554" i="340"/>
  <c r="J492" i="340"/>
  <c r="I514" i="340"/>
  <c r="G585" i="340"/>
  <c r="E585" i="340"/>
  <c r="E431" i="340"/>
  <c r="G431" i="340"/>
  <c r="I524" i="340"/>
  <c r="K454" i="340"/>
  <c r="J454" i="340"/>
  <c r="E434" i="340"/>
  <c r="F434" i="340"/>
  <c r="F377" i="340"/>
  <c r="G377" i="340"/>
  <c r="E356" i="340"/>
  <c r="G356" i="340"/>
  <c r="G293" i="340"/>
  <c r="F293" i="340"/>
  <c r="E293" i="340"/>
  <c r="G457" i="340"/>
  <c r="E457" i="340"/>
  <c r="F457" i="340"/>
  <c r="I481" i="340"/>
  <c r="K481" i="340"/>
  <c r="G370" i="340"/>
  <c r="J363" i="340"/>
  <c r="I243" i="340"/>
  <c r="K222" i="340"/>
  <c r="I203" i="340"/>
  <c r="J181" i="340"/>
  <c r="F473" i="340"/>
  <c r="F171" i="340"/>
  <c r="G171" i="340"/>
  <c r="I225" i="340"/>
  <c r="E353" i="340"/>
  <c r="G353" i="340"/>
  <c r="F353" i="340"/>
  <c r="G241" i="340"/>
  <c r="F241" i="340"/>
  <c r="I149" i="340"/>
  <c r="I128" i="340"/>
  <c r="K107" i="340"/>
  <c r="J107" i="340"/>
  <c r="J260" i="340"/>
  <c r="K260" i="340"/>
  <c r="G159" i="340"/>
  <c r="I138" i="340"/>
  <c r="J138" i="340"/>
  <c r="K216" i="340"/>
  <c r="K319" i="340"/>
  <c r="I319" i="340"/>
  <c r="G97" i="340"/>
  <c r="F6" i="340"/>
  <c r="J578" i="340"/>
  <c r="K578" i="340"/>
  <c r="E564" i="340"/>
  <c r="G555" i="340"/>
  <c r="E555" i="340"/>
  <c r="F555" i="340"/>
  <c r="F551" i="340"/>
  <c r="G551" i="340"/>
  <c r="I529" i="340"/>
  <c r="G509" i="340"/>
  <c r="F509" i="340"/>
  <c r="J533" i="340"/>
  <c r="I533" i="340"/>
  <c r="K533" i="340"/>
  <c r="I491" i="340"/>
  <c r="E536" i="340"/>
  <c r="G536" i="340"/>
  <c r="I513" i="340"/>
  <c r="K513" i="340"/>
  <c r="J513" i="340"/>
  <c r="G497" i="340"/>
  <c r="F497" i="340"/>
  <c r="I504" i="340"/>
  <c r="F496" i="340"/>
  <c r="G496" i="340"/>
  <c r="E496" i="340"/>
  <c r="J457" i="340"/>
  <c r="K457" i="340"/>
  <c r="I535" i="340"/>
  <c r="I494" i="340"/>
  <c r="G408" i="340"/>
  <c r="E287" i="340"/>
  <c r="F439" i="340"/>
  <c r="G439" i="340"/>
  <c r="G320" i="340"/>
  <c r="E320" i="340"/>
  <c r="K498" i="340"/>
  <c r="J498" i="340"/>
  <c r="I219" i="340"/>
  <c r="G427" i="340"/>
  <c r="E427" i="340"/>
  <c r="F427" i="340"/>
  <c r="J426" i="340"/>
  <c r="K426" i="340"/>
  <c r="K218" i="340"/>
  <c r="J218" i="340"/>
  <c r="J199" i="340"/>
  <c r="K178" i="340"/>
  <c r="J237" i="340"/>
  <c r="G200" i="340"/>
  <c r="E200" i="340"/>
  <c r="F200" i="340"/>
  <c r="G160" i="340"/>
  <c r="F160" i="340"/>
  <c r="E160" i="340"/>
  <c r="I100" i="340"/>
  <c r="K100" i="340"/>
  <c r="I293" i="340"/>
  <c r="K293" i="340"/>
  <c r="J293" i="340"/>
  <c r="G52" i="340"/>
  <c r="I197" i="340"/>
  <c r="G106" i="340"/>
  <c r="F106" i="340"/>
  <c r="F134" i="340"/>
  <c r="G85" i="340"/>
  <c r="I18" i="340"/>
  <c r="K146" i="340"/>
  <c r="G489" i="340"/>
  <c r="F435" i="340"/>
  <c r="G435" i="340"/>
  <c r="G460" i="340"/>
  <c r="F460" i="340"/>
  <c r="E460" i="340"/>
  <c r="E517" i="340"/>
  <c r="G517" i="340"/>
  <c r="F517" i="340"/>
  <c r="K448" i="340"/>
  <c r="J448" i="340"/>
  <c r="G329" i="340"/>
  <c r="E342" i="340"/>
  <c r="I272" i="340"/>
  <c r="K272" i="340"/>
  <c r="I318" i="340"/>
  <c r="K318" i="340"/>
  <c r="J318" i="340"/>
  <c r="F483" i="340"/>
  <c r="G483" i="340"/>
  <c r="E483" i="340"/>
  <c r="I409" i="340"/>
  <c r="F421" i="340"/>
  <c r="G421" i="340"/>
  <c r="I275" i="340"/>
  <c r="K275" i="340"/>
  <c r="F259" i="340"/>
  <c r="E259" i="340"/>
  <c r="G259" i="340"/>
  <c r="J281" i="340"/>
  <c r="J294" i="340"/>
  <c r="F278" i="340"/>
  <c r="G203" i="340"/>
  <c r="F203" i="340"/>
  <c r="E203" i="340"/>
  <c r="G194" i="340"/>
  <c r="K158" i="340"/>
  <c r="J158" i="340"/>
  <c r="I129" i="340"/>
  <c r="K129" i="340"/>
  <c r="J129" i="340"/>
  <c r="I261" i="340"/>
  <c r="G50" i="340"/>
  <c r="E531" i="340"/>
  <c r="F531" i="340"/>
  <c r="G531" i="340"/>
  <c r="E448" i="340"/>
  <c r="G448" i="340"/>
  <c r="F448" i="340"/>
  <c r="F419" i="340"/>
  <c r="E419" i="340"/>
  <c r="G419" i="340"/>
  <c r="K451" i="340"/>
  <c r="J451" i="340"/>
  <c r="J463" i="340"/>
  <c r="G354" i="340"/>
  <c r="F354" i="340"/>
  <c r="F319" i="340"/>
  <c r="E319" i="340"/>
  <c r="F304" i="340"/>
  <c r="E304" i="340"/>
  <c r="G304" i="340"/>
  <c r="E458" i="340"/>
  <c r="F458" i="340"/>
  <c r="G513" i="340"/>
  <c r="E513" i="340"/>
  <c r="F513" i="340"/>
  <c r="F469" i="340"/>
  <c r="G469" i="340"/>
  <c r="G338" i="340"/>
  <c r="E338" i="340"/>
  <c r="F338" i="340"/>
  <c r="F305" i="340"/>
  <c r="E258" i="340"/>
  <c r="G258" i="340"/>
  <c r="E351" i="340"/>
  <c r="F351" i="340"/>
  <c r="G351" i="340"/>
  <c r="I440" i="340"/>
  <c r="J440" i="340"/>
  <c r="I258" i="340"/>
  <c r="K258" i="340"/>
  <c r="F175" i="340"/>
  <c r="G175" i="340"/>
  <c r="E175" i="340"/>
  <c r="I510" i="340"/>
  <c r="I300" i="340"/>
  <c r="J300" i="340"/>
  <c r="J176" i="340"/>
  <c r="G527" i="340"/>
  <c r="E527" i="340"/>
  <c r="E193" i="340"/>
  <c r="G193" i="340"/>
  <c r="G182" i="340"/>
  <c r="E182" i="340"/>
  <c r="I337" i="340"/>
  <c r="K337" i="340"/>
  <c r="J337" i="340"/>
  <c r="I308" i="340"/>
  <c r="K145" i="340"/>
  <c r="E118" i="340"/>
  <c r="G118" i="340"/>
  <c r="F118" i="340"/>
  <c r="J114" i="340"/>
  <c r="E51" i="340"/>
  <c r="G36" i="340"/>
  <c r="F36" i="340"/>
  <c r="E212" i="340"/>
  <c r="G212" i="340"/>
  <c r="F572" i="340"/>
  <c r="E572" i="340"/>
  <c r="G572" i="340"/>
  <c r="I469" i="340"/>
  <c r="E429" i="340"/>
  <c r="E417" i="340"/>
  <c r="G455" i="340"/>
  <c r="I425" i="340"/>
  <c r="J425" i="340"/>
  <c r="K439" i="340"/>
  <c r="K411" i="340"/>
  <c r="G385" i="340"/>
  <c r="F385" i="340"/>
  <c r="G391" i="340"/>
  <c r="E391" i="340"/>
  <c r="F391" i="340"/>
  <c r="E361" i="340"/>
  <c r="E322" i="340"/>
  <c r="F322" i="340"/>
  <c r="G301" i="340"/>
  <c r="F301" i="340"/>
  <c r="E301" i="340"/>
  <c r="J471" i="340"/>
  <c r="E225" i="340"/>
  <c r="G225" i="340"/>
  <c r="F225" i="340"/>
  <c r="E211" i="340"/>
  <c r="K256" i="340"/>
  <c r="K213" i="340"/>
  <c r="J213" i="340"/>
  <c r="I194" i="340"/>
  <c r="K172" i="340"/>
  <c r="J172" i="340"/>
  <c r="F277" i="340"/>
  <c r="E277" i="340"/>
  <c r="G277" i="340"/>
  <c r="E244" i="340"/>
  <c r="G244" i="340"/>
  <c r="F244" i="340"/>
  <c r="J437" i="340"/>
  <c r="I437" i="340"/>
  <c r="K437" i="340"/>
  <c r="F252" i="340"/>
  <c r="E252" i="340"/>
  <c r="G172" i="340"/>
  <c r="F172" i="340"/>
  <c r="F191" i="340"/>
  <c r="E191" i="340"/>
  <c r="G191" i="340"/>
  <c r="F235" i="340"/>
  <c r="G235" i="340"/>
  <c r="E235" i="340"/>
  <c r="F153" i="340"/>
  <c r="E153" i="340"/>
  <c r="G153" i="340"/>
  <c r="G107" i="340"/>
  <c r="F107" i="340"/>
  <c r="E107" i="340"/>
  <c r="F43" i="340"/>
  <c r="G43" i="340"/>
  <c r="J72" i="340"/>
  <c r="I221" i="340"/>
  <c r="I111" i="340"/>
  <c r="J111" i="340"/>
  <c r="K23" i="340"/>
  <c r="K557" i="340"/>
  <c r="J557" i="340"/>
  <c r="E583" i="340"/>
  <c r="J505" i="340"/>
  <c r="I570" i="340"/>
  <c r="J570" i="340"/>
  <c r="K570" i="340"/>
  <c r="F560" i="340"/>
  <c r="G560" i="340"/>
  <c r="I538" i="340"/>
  <c r="K538" i="340"/>
  <c r="E506" i="340"/>
  <c r="G506" i="340"/>
  <c r="I588" i="340"/>
  <c r="E573" i="340"/>
  <c r="I467" i="340"/>
  <c r="E424" i="340"/>
  <c r="G424" i="340"/>
  <c r="F424" i="340"/>
  <c r="G505" i="340"/>
  <c r="F505" i="340"/>
  <c r="E505" i="340"/>
  <c r="J517" i="340"/>
  <c r="J485" i="340"/>
  <c r="F475" i="340"/>
  <c r="I334" i="340"/>
  <c r="J334" i="340"/>
  <c r="E283" i="340"/>
  <c r="G283" i="340"/>
  <c r="F283" i="340"/>
  <c r="I349" i="340"/>
  <c r="K349" i="340"/>
  <c r="I329" i="340"/>
  <c r="J438" i="340"/>
  <c r="G291" i="340"/>
  <c r="E291" i="340"/>
  <c r="G422" i="340"/>
  <c r="F422" i="340"/>
  <c r="E422" i="340"/>
  <c r="F451" i="340"/>
  <c r="E451" i="340"/>
  <c r="E257" i="340"/>
  <c r="F215" i="340"/>
  <c r="G215" i="340"/>
  <c r="E325" i="340"/>
  <c r="F249" i="340"/>
  <c r="E249" i="340"/>
  <c r="I95" i="340"/>
  <c r="J95" i="340"/>
  <c r="K95" i="340"/>
  <c r="J330" i="340"/>
  <c r="K330" i="340"/>
  <c r="G61" i="340"/>
  <c r="F61" i="340"/>
  <c r="K151" i="340"/>
  <c r="J151" i="340"/>
  <c r="K71" i="340"/>
  <c r="J71" i="340"/>
  <c r="E83" i="340"/>
  <c r="F83" i="340"/>
  <c r="G83" i="340"/>
  <c r="J76" i="340"/>
  <c r="E544" i="340"/>
  <c r="G544" i="340"/>
  <c r="E466" i="340"/>
  <c r="F409" i="340"/>
  <c r="E409" i="340"/>
  <c r="K369" i="340"/>
  <c r="J369" i="340"/>
  <c r="K352" i="340"/>
  <c r="J352" i="340"/>
  <c r="E498" i="340"/>
  <c r="F366" i="340"/>
  <c r="E366" i="340"/>
  <c r="I586" i="340"/>
  <c r="E286" i="340"/>
  <c r="G432" i="340"/>
  <c r="J354" i="340"/>
  <c r="K289" i="340"/>
  <c r="J289" i="340"/>
  <c r="I390" i="340"/>
  <c r="J390" i="340"/>
  <c r="I254" i="340"/>
  <c r="I193" i="340"/>
  <c r="I171" i="340"/>
  <c r="J171" i="340"/>
  <c r="K171" i="340"/>
  <c r="G228" i="340"/>
  <c r="F157" i="340"/>
  <c r="E157" i="340"/>
  <c r="G142" i="340"/>
  <c r="F142" i="340"/>
  <c r="F270" i="340"/>
  <c r="F96" i="340"/>
  <c r="G96" i="340"/>
  <c r="G129" i="340"/>
  <c r="E145" i="340"/>
  <c r="G145" i="340"/>
  <c r="G586" i="340"/>
  <c r="F584" i="340"/>
  <c r="E584" i="340"/>
  <c r="G584" i="340"/>
  <c r="I573" i="340"/>
  <c r="K573" i="340"/>
  <c r="J573" i="340"/>
  <c r="F588" i="340"/>
  <c r="G588" i="340"/>
  <c r="I500" i="340"/>
  <c r="J500" i="340"/>
  <c r="K500" i="340"/>
  <c r="G479" i="340"/>
  <c r="E479" i="340"/>
  <c r="K511" i="340"/>
  <c r="G467" i="340"/>
  <c r="F467" i="340"/>
  <c r="E463" i="340"/>
  <c r="F463" i="340"/>
  <c r="E472" i="340"/>
  <c r="F472" i="340"/>
  <c r="E444" i="340"/>
  <c r="G406" i="340"/>
  <c r="F406" i="340"/>
  <c r="E406" i="340"/>
  <c r="F367" i="340"/>
  <c r="G367" i="340"/>
  <c r="G350" i="340"/>
  <c r="F350" i="340"/>
  <c r="F330" i="340"/>
  <c r="E330" i="340"/>
  <c r="F313" i="340"/>
  <c r="E313" i="340"/>
  <c r="E470" i="340"/>
  <c r="G470" i="340"/>
  <c r="I472" i="340"/>
  <c r="G441" i="340"/>
  <c r="I432" i="340"/>
  <c r="J432" i="340"/>
  <c r="G341" i="340"/>
  <c r="F341" i="340"/>
  <c r="E453" i="340"/>
  <c r="F453" i="340"/>
  <c r="G453" i="340"/>
  <c r="I252" i="340"/>
  <c r="K252" i="340"/>
  <c r="K230" i="340"/>
  <c r="I230" i="340"/>
  <c r="K210" i="340"/>
  <c r="J210" i="340"/>
  <c r="I191" i="340"/>
  <c r="K191" i="340"/>
  <c r="G170" i="340"/>
  <c r="E170" i="340"/>
  <c r="I250" i="340"/>
  <c r="J250" i="340"/>
  <c r="I209" i="340"/>
  <c r="I190" i="340"/>
  <c r="E318" i="340"/>
  <c r="E426" i="340"/>
  <c r="F426" i="340"/>
  <c r="I361" i="340"/>
  <c r="G272" i="340"/>
  <c r="E272" i="340"/>
  <c r="G280" i="340"/>
  <c r="F280" i="340"/>
  <c r="G74" i="340"/>
  <c r="F74" i="340"/>
  <c r="G57" i="340"/>
  <c r="F57" i="340"/>
  <c r="E57" i="340"/>
  <c r="F276" i="340"/>
  <c r="E276" i="340"/>
  <c r="G276" i="340"/>
  <c r="F207" i="340"/>
  <c r="E207" i="340"/>
  <c r="I201" i="340"/>
  <c r="J45" i="340"/>
  <c r="K45" i="340"/>
  <c r="J323" i="340"/>
  <c r="K323" i="340"/>
  <c r="G47" i="340"/>
  <c r="F47" i="340"/>
  <c r="E47" i="340"/>
  <c r="G30" i="340"/>
  <c r="F30" i="340"/>
  <c r="I115" i="340"/>
  <c r="J115" i="340"/>
  <c r="K115" i="340"/>
  <c r="J462" i="340"/>
  <c r="K462" i="340"/>
  <c r="G515" i="340"/>
  <c r="E515" i="340"/>
  <c r="F515" i="340"/>
  <c r="K537" i="340"/>
  <c r="I560" i="340"/>
  <c r="K560" i="340"/>
  <c r="J560" i="340"/>
  <c r="F464" i="340"/>
  <c r="E464" i="340"/>
  <c r="G537" i="340"/>
  <c r="G389" i="340"/>
  <c r="F389" i="340"/>
  <c r="E389" i="340"/>
  <c r="I480" i="340"/>
  <c r="J480" i="340"/>
  <c r="I464" i="340"/>
  <c r="F532" i="340"/>
  <c r="G532" i="340"/>
  <c r="E532" i="340"/>
  <c r="I364" i="340"/>
  <c r="J364" i="340"/>
  <c r="I520" i="340"/>
  <c r="J520" i="340"/>
  <c r="K350" i="340"/>
  <c r="J350" i="340"/>
  <c r="E265" i="340"/>
  <c r="E303" i="340"/>
  <c r="F303" i="340"/>
  <c r="G303" i="340"/>
  <c r="K259" i="340"/>
  <c r="J259" i="340"/>
  <c r="I259" i="340"/>
  <c r="K278" i="340"/>
  <c r="J278" i="340"/>
  <c r="F174" i="340"/>
  <c r="G174" i="340"/>
  <c r="E174" i="340"/>
  <c r="I351" i="340"/>
  <c r="J351" i="340"/>
  <c r="K351" i="340"/>
  <c r="F264" i="340"/>
  <c r="E264" i="340"/>
  <c r="F205" i="340"/>
  <c r="E205" i="340"/>
  <c r="I270" i="340"/>
  <c r="K85" i="340"/>
  <c r="J85" i="340"/>
  <c r="K303" i="340"/>
  <c r="F100" i="340"/>
  <c r="E67" i="340"/>
  <c r="I286" i="340"/>
  <c r="F559" i="340"/>
  <c r="E559" i="340"/>
  <c r="G559" i="340"/>
  <c r="I516" i="340"/>
  <c r="J516" i="340"/>
  <c r="E579" i="340"/>
  <c r="G579" i="340"/>
  <c r="I546" i="340"/>
  <c r="F510" i="340"/>
  <c r="E510" i="340"/>
  <c r="E504" i="340"/>
  <c r="F504" i="340"/>
  <c r="F490" i="340"/>
  <c r="E423" i="340"/>
  <c r="G423" i="340"/>
  <c r="F349" i="340"/>
  <c r="E349" i="340"/>
  <c r="G349" i="340"/>
  <c r="E312" i="340"/>
  <c r="F284" i="340"/>
  <c r="J406" i="340"/>
  <c r="K406" i="340"/>
  <c r="I431" i="340"/>
  <c r="K266" i="340"/>
  <c r="J266" i="340"/>
  <c r="E388" i="340"/>
  <c r="F388" i="340"/>
  <c r="G281" i="340"/>
  <c r="E281" i="340"/>
  <c r="I264" i="340"/>
  <c r="J264" i="340"/>
  <c r="K264" i="340"/>
  <c r="I249" i="340"/>
  <c r="I207" i="340"/>
  <c r="I164" i="340"/>
  <c r="F176" i="340"/>
  <c r="G176" i="340"/>
  <c r="E236" i="340"/>
  <c r="G236" i="340"/>
  <c r="I170" i="340"/>
  <c r="J170" i="340"/>
  <c r="K170" i="340"/>
  <c r="I154" i="340"/>
  <c r="K135" i="340"/>
  <c r="I134" i="340"/>
  <c r="J134" i="340"/>
  <c r="K134" i="340"/>
  <c r="F156" i="340"/>
  <c r="E156" i="340"/>
  <c r="G224" i="340"/>
  <c r="F224" i="340"/>
  <c r="E224" i="340"/>
  <c r="J83" i="340"/>
  <c r="F104" i="340"/>
  <c r="E104" i="340"/>
  <c r="G104" i="340"/>
  <c r="G59" i="340"/>
  <c r="E59" i="340"/>
  <c r="J269" i="340"/>
  <c r="I91" i="340"/>
  <c r="G28" i="340"/>
  <c r="F28" i="340"/>
  <c r="E28" i="340"/>
  <c r="G577" i="340"/>
  <c r="F577" i="340"/>
  <c r="E577" i="340"/>
  <c r="I583" i="340"/>
  <c r="K583" i="340"/>
  <c r="J583" i="340"/>
  <c r="G511" i="340"/>
  <c r="E452" i="340"/>
  <c r="F452" i="340"/>
  <c r="G452" i="340"/>
  <c r="F450" i="340"/>
  <c r="I338" i="340"/>
  <c r="I320" i="340"/>
  <c r="J320" i="340"/>
  <c r="K285" i="340"/>
  <c r="J285" i="340"/>
  <c r="J246" i="340"/>
  <c r="K246" i="340"/>
  <c r="J184" i="340"/>
  <c r="I184" i="340"/>
  <c r="G247" i="340"/>
  <c r="I244" i="340"/>
  <c r="J244" i="340"/>
  <c r="J223" i="340"/>
  <c r="J204" i="340"/>
  <c r="I204" i="340"/>
  <c r="E561" i="340"/>
  <c r="G561" i="340"/>
  <c r="I142" i="340"/>
  <c r="K142" i="340"/>
  <c r="J131" i="340"/>
  <c r="K131" i="340"/>
  <c r="G411" i="340"/>
  <c r="F411" i="340"/>
  <c r="E411" i="340"/>
  <c r="E250" i="340"/>
  <c r="G152" i="340"/>
  <c r="G119" i="340"/>
  <c r="E112" i="340"/>
  <c r="G112" i="340"/>
  <c r="F112" i="340"/>
  <c r="K185" i="340"/>
  <c r="J185" i="340"/>
  <c r="G93" i="340"/>
  <c r="K80" i="340"/>
  <c r="J80" i="340"/>
  <c r="E146" i="340"/>
  <c r="F114" i="340"/>
  <c r="E114" i="340"/>
  <c r="E80" i="340"/>
  <c r="F55" i="340"/>
  <c r="E55" i="340"/>
  <c r="F40" i="340"/>
  <c r="E40" i="340"/>
  <c r="G21" i="340"/>
  <c r="E21" i="340"/>
  <c r="G345" i="340"/>
  <c r="E345" i="340"/>
  <c r="F345" i="340"/>
  <c r="K98" i="340"/>
  <c r="G77" i="340"/>
  <c r="I68" i="340"/>
  <c r="G140" i="340"/>
  <c r="F140" i="340"/>
  <c r="E140" i="340"/>
  <c r="J63" i="340"/>
  <c r="E20" i="340"/>
  <c r="K284" i="340"/>
  <c r="J284" i="340"/>
  <c r="I75" i="340"/>
  <c r="K75" i="340"/>
  <c r="E103" i="340"/>
  <c r="G19" i="340"/>
  <c r="E19" i="340"/>
  <c r="F19" i="340"/>
  <c r="G246" i="340"/>
  <c r="F246" i="340"/>
  <c r="E261" i="340"/>
  <c r="I108" i="340"/>
  <c r="I49" i="340"/>
  <c r="J49" i="340"/>
  <c r="K49" i="340"/>
  <c r="J28" i="340"/>
  <c r="K110" i="340"/>
  <c r="J110" i="340"/>
  <c r="I89" i="340"/>
  <c r="F136" i="340"/>
  <c r="J26" i="340"/>
  <c r="I51" i="340"/>
  <c r="J51" i="340"/>
  <c r="K51" i="340"/>
  <c r="F90" i="340"/>
  <c r="E90" i="340"/>
  <c r="G90" i="340"/>
  <c r="F48" i="340"/>
  <c r="E123" i="340"/>
  <c r="K88" i="340"/>
  <c r="J88" i="340"/>
  <c r="F243" i="340"/>
  <c r="F82" i="340"/>
  <c r="E82" i="340"/>
  <c r="G82" i="340"/>
  <c r="E45" i="340"/>
  <c r="G45" i="340"/>
  <c r="F29" i="340"/>
  <c r="E29" i="340"/>
  <c r="G29" i="340"/>
  <c r="G13" i="340"/>
  <c r="E13" i="340"/>
  <c r="G16" i="340"/>
  <c r="F16" i="340"/>
  <c r="E16" i="340"/>
  <c r="I124" i="340"/>
  <c r="G84" i="340"/>
  <c r="I59" i="340"/>
  <c r="K301" i="340"/>
  <c r="F110" i="340"/>
  <c r="J180" i="340"/>
  <c r="G364" i="340"/>
  <c r="E364" i="340"/>
  <c r="F364" i="340"/>
  <c r="K61" i="340"/>
  <c r="I61" i="340"/>
  <c r="K15" i="340"/>
  <c r="J15" i="340"/>
  <c r="I15" i="340"/>
  <c r="E117" i="340"/>
  <c r="G12" i="340"/>
  <c r="E12" i="340"/>
  <c r="F12" i="340"/>
  <c r="E219" i="340"/>
  <c r="F219" i="340"/>
  <c r="G219" i="340"/>
  <c r="K93" i="340"/>
  <c r="J93" i="340"/>
  <c r="E44" i="340"/>
  <c r="G44" i="340"/>
  <c r="F44" i="340"/>
  <c r="E122" i="340"/>
  <c r="E72" i="340"/>
  <c r="G449" i="340"/>
  <c r="E449" i="340"/>
  <c r="F75" i="340"/>
  <c r="E75" i="340"/>
  <c r="E66" i="340"/>
  <c r="G66" i="340"/>
  <c r="F66" i="340"/>
  <c r="F71" i="340"/>
  <c r="G11" i="340"/>
  <c r="F11" i="340"/>
  <c r="E11" i="340"/>
  <c r="I78" i="340"/>
  <c r="I40" i="340"/>
  <c r="K40" i="340"/>
  <c r="J40" i="340"/>
  <c r="K65" i="340"/>
  <c r="I148" i="340"/>
  <c r="K148" i="340"/>
  <c r="G70" i="340"/>
  <c r="E98" i="340"/>
  <c r="K11" i="340"/>
  <c r="J11" i="340"/>
  <c r="K36" i="340"/>
  <c r="I116" i="340"/>
  <c r="J116" i="340"/>
  <c r="K47" i="340"/>
  <c r="J146" i="340"/>
  <c r="K450" i="340"/>
  <c r="F562" i="340"/>
  <c r="G54" i="340"/>
  <c r="J346" i="340"/>
  <c r="J586" i="340"/>
  <c r="E413" i="340"/>
  <c r="E290" i="340"/>
  <c r="K77" i="340"/>
  <c r="J272" i="340"/>
  <c r="F331" i="340"/>
  <c r="I564" i="340"/>
  <c r="I389" i="340"/>
  <c r="F59" i="340"/>
  <c r="G578" i="340"/>
  <c r="E365" i="340"/>
  <c r="E514" i="340"/>
  <c r="E459" i="340"/>
  <c r="K176" i="340"/>
  <c r="G154" i="340"/>
  <c r="K385" i="340"/>
  <c r="K250" i="340"/>
  <c r="I322" i="340"/>
  <c r="I468" i="340"/>
  <c r="K551" i="340"/>
  <c r="G451" i="340"/>
  <c r="F544" i="340"/>
  <c r="K363" i="340"/>
  <c r="E115" i="340"/>
  <c r="F536" i="340"/>
  <c r="G429" i="340"/>
  <c r="K26" i="340"/>
  <c r="J537" i="340"/>
  <c r="E385" i="340"/>
  <c r="I536" i="340"/>
  <c r="G464" i="340"/>
  <c r="J431" i="340"/>
  <c r="F465" i="340"/>
  <c r="F258" i="340"/>
  <c r="J291" i="340"/>
  <c r="K138" i="340"/>
  <c r="G300" i="340"/>
  <c r="J179" i="340"/>
  <c r="F488" i="340"/>
  <c r="K516" i="340"/>
  <c r="K269" i="340"/>
  <c r="F489" i="340"/>
  <c r="E467" i="340"/>
  <c r="J370" i="340"/>
  <c r="I382" i="340"/>
  <c r="I473" i="340"/>
  <c r="J197" i="340"/>
  <c r="K111" i="340"/>
  <c r="G156" i="340"/>
  <c r="K564" i="340"/>
  <c r="I335" i="340"/>
  <c r="I20" i="340"/>
  <c r="F236" i="340"/>
  <c r="J545" i="340"/>
  <c r="E412" i="340"/>
  <c r="I567" i="340"/>
  <c r="J303" i="340"/>
  <c r="F565" i="340"/>
  <c r="K122" i="340"/>
  <c r="F185" i="340"/>
  <c r="F103" i="340"/>
  <c r="G462" i="340"/>
  <c r="E509" i="340"/>
  <c r="G346" i="340"/>
  <c r="K532" i="340"/>
  <c r="G523" i="340"/>
  <c r="K334" i="340"/>
  <c r="G285" i="340"/>
  <c r="I206" i="340"/>
  <c r="E41" i="340"/>
  <c r="F498" i="340"/>
  <c r="F193" i="340"/>
  <c r="E474" i="340"/>
  <c r="E435" i="340"/>
  <c r="E310" i="340"/>
  <c r="I283" i="340"/>
  <c r="K83" i="340"/>
  <c r="K12" i="340"/>
  <c r="F545" i="340"/>
  <c r="E147" i="340"/>
  <c r="G207" i="340"/>
  <c r="I312" i="340"/>
  <c r="K31" i="340"/>
  <c r="E501" i="340"/>
  <c r="K444" i="340"/>
  <c r="E480" i="340"/>
  <c r="G426" i="340"/>
  <c r="I321" i="340"/>
  <c r="K236" i="340"/>
  <c r="G23" i="340"/>
  <c r="E548" i="340"/>
  <c r="F576" i="340"/>
  <c r="F21" i="340"/>
  <c r="G463" i="340"/>
  <c r="K517" i="340"/>
  <c r="E471" i="340"/>
  <c r="G583" i="340"/>
  <c r="E440" i="340"/>
  <c r="G158" i="340"/>
  <c r="K358" i="340"/>
  <c r="F149" i="340"/>
  <c r="F187" i="340"/>
  <c r="E492" i="340"/>
  <c r="G344" i="340"/>
  <c r="I211" i="340"/>
  <c r="G417" i="340"/>
  <c r="G528" i="340"/>
  <c r="K485" i="340"/>
  <c r="E377" i="340"/>
  <c r="K553" i="340"/>
  <c r="K320" i="340"/>
  <c r="J219" i="340"/>
  <c r="K309" i="340"/>
  <c r="K66" i="340"/>
  <c r="E493" i="340"/>
  <c r="G405" i="340"/>
  <c r="K463" i="340"/>
  <c r="K227" i="340"/>
  <c r="G181" i="340"/>
  <c r="E169" i="340"/>
  <c r="J57" i="340"/>
  <c r="K292" i="340"/>
  <c r="I179" i="340"/>
  <c r="F41" i="340"/>
  <c r="F492" i="340"/>
  <c r="F548" i="340"/>
  <c r="E576" i="340"/>
  <c r="E346" i="340"/>
  <c r="K509" i="340"/>
  <c r="J509" i="340"/>
  <c r="F514" i="340"/>
  <c r="F413" i="340"/>
  <c r="G440" i="340"/>
  <c r="E305" i="340"/>
  <c r="J166" i="340"/>
  <c r="K166" i="340"/>
  <c r="G270" i="340"/>
  <c r="K190" i="340"/>
  <c r="G282" i="340"/>
  <c r="F557" i="340"/>
  <c r="G557" i="340"/>
  <c r="F320" i="340"/>
  <c r="K237" i="340"/>
  <c r="K554" i="340"/>
  <c r="K206" i="340"/>
  <c r="E260" i="340"/>
  <c r="G117" i="340"/>
  <c r="E204" i="340"/>
  <c r="F192" i="340"/>
  <c r="J345" i="340"/>
  <c r="G147" i="340"/>
  <c r="F417" i="340"/>
  <c r="I509" i="340"/>
  <c r="G514" i="340"/>
  <c r="F583" i="340"/>
  <c r="K354" i="340"/>
  <c r="E565" i="340"/>
  <c r="G305" i="340"/>
  <c r="I166" i="340"/>
  <c r="J192" i="340"/>
  <c r="K192" i="340"/>
  <c r="E270" i="340"/>
  <c r="J75" i="340"/>
  <c r="F17" i="340"/>
  <c r="J56" i="340"/>
  <c r="J546" i="340"/>
  <c r="E557" i="340"/>
  <c r="J565" i="340"/>
  <c r="G135" i="340"/>
  <c r="F135" i="340"/>
  <c r="E135" i="340"/>
  <c r="E299" i="340"/>
  <c r="G540" i="340"/>
  <c r="I246" i="340"/>
  <c r="I237" i="340"/>
  <c r="J254" i="340"/>
  <c r="I192" i="340"/>
  <c r="E194" i="340"/>
  <c r="K143" i="340"/>
  <c r="I34" i="340"/>
  <c r="J430" i="340"/>
  <c r="K373" i="340"/>
  <c r="K156" i="340"/>
  <c r="J479" i="340"/>
  <c r="K438" i="340"/>
  <c r="K253" i="340"/>
  <c r="E425" i="340"/>
  <c r="J124" i="340"/>
  <c r="E217" i="340"/>
  <c r="G103" i="340"/>
  <c r="J117" i="340"/>
  <c r="J450" i="340"/>
  <c r="G498" i="340"/>
  <c r="J309" i="340"/>
  <c r="F429" i="340"/>
  <c r="K91" i="340"/>
  <c r="G501" i="340"/>
  <c r="E373" i="340"/>
  <c r="E405" i="340"/>
  <c r="E523" i="340"/>
  <c r="J553" i="340"/>
  <c r="E158" i="340"/>
  <c r="E181" i="340"/>
  <c r="J77" i="340"/>
  <c r="K179" i="340"/>
  <c r="J469" i="340"/>
  <c r="F98" i="340"/>
  <c r="G98" i="340"/>
  <c r="G51" i="340"/>
  <c r="F20" i="340"/>
  <c r="G20" i="340"/>
  <c r="J12" i="340"/>
  <c r="F432" i="340"/>
  <c r="I370" i="340"/>
  <c r="E39" i="340"/>
  <c r="F39" i="340"/>
  <c r="G39" i="340"/>
  <c r="K263" i="340"/>
  <c r="J270" i="340"/>
  <c r="G566" i="340"/>
  <c r="K413" i="340"/>
  <c r="E528" i="340"/>
  <c r="F365" i="340"/>
  <c r="G309" i="340"/>
  <c r="F285" i="340"/>
  <c r="E285" i="340"/>
  <c r="J358" i="340"/>
  <c r="K57" i="340"/>
  <c r="F561" i="340"/>
  <c r="J497" i="340"/>
  <c r="G257" i="340"/>
  <c r="G187" i="340"/>
  <c r="E154" i="340"/>
  <c r="F462" i="340"/>
  <c r="E23" i="340"/>
  <c r="G488" i="340"/>
  <c r="J224" i="340"/>
  <c r="I413" i="340"/>
  <c r="G373" i="340"/>
  <c r="F474" i="340"/>
  <c r="F412" i="340"/>
  <c r="F480" i="340"/>
  <c r="F405" i="340"/>
  <c r="F523" i="340"/>
  <c r="F310" i="340"/>
  <c r="F158" i="340"/>
  <c r="F181" i="340"/>
  <c r="F250" i="340"/>
  <c r="G166" i="340"/>
  <c r="G582" i="340"/>
  <c r="F582" i="340"/>
  <c r="I342" i="340"/>
  <c r="F485" i="340"/>
  <c r="E284" i="340"/>
  <c r="K515" i="340"/>
  <c r="J301" i="340"/>
  <c r="I303" i="340"/>
  <c r="G143" i="340"/>
  <c r="K441" i="340"/>
  <c r="K154" i="340"/>
  <c r="G331" i="340"/>
  <c r="E489" i="340"/>
  <c r="F528" i="340"/>
  <c r="G365" i="340"/>
  <c r="K370" i="340"/>
  <c r="K431" i="340"/>
  <c r="J227" i="340"/>
  <c r="F115" i="340"/>
  <c r="I30" i="340"/>
  <c r="F254" i="340"/>
  <c r="E582" i="340"/>
  <c r="I159" i="340"/>
  <c r="I388" i="340"/>
  <c r="I57" i="340"/>
  <c r="G545" i="340"/>
  <c r="E545" i="340"/>
  <c r="K521" i="340"/>
  <c r="J258" i="340"/>
  <c r="K114" i="340"/>
  <c r="I579" i="340"/>
  <c r="E430" i="340"/>
  <c r="E187" i="340"/>
  <c r="F154" i="340"/>
  <c r="E462" i="340"/>
  <c r="F23" i="340"/>
  <c r="E488" i="340"/>
  <c r="J31" i="340"/>
  <c r="E54" i="340"/>
  <c r="G474" i="340"/>
  <c r="G412" i="340"/>
  <c r="G480" i="340"/>
  <c r="J455" i="340"/>
  <c r="K455" i="340"/>
  <c r="G310" i="340"/>
  <c r="J510" i="340"/>
  <c r="K510" i="340"/>
  <c r="K529" i="340"/>
  <c r="J529" i="340"/>
  <c r="F290" i="340"/>
  <c r="K197" i="340"/>
  <c r="F169" i="340"/>
  <c r="I295" i="340"/>
  <c r="E70" i="340"/>
  <c r="G475" i="340"/>
  <c r="G206" i="340"/>
  <c r="J528" i="340"/>
  <c r="J464" i="340"/>
  <c r="F196" i="340"/>
  <c r="I561" i="340"/>
  <c r="F553" i="340"/>
  <c r="E331" i="340"/>
  <c r="E562" i="340"/>
  <c r="I31" i="340"/>
  <c r="E578" i="340"/>
  <c r="F493" i="340"/>
  <c r="J551" i="340"/>
  <c r="G471" i="340"/>
  <c r="I455" i="340"/>
  <c r="F459" i="340"/>
  <c r="J276" i="340"/>
  <c r="K291" i="340"/>
  <c r="K219" i="340"/>
  <c r="G48" i="340"/>
  <c r="G547" i="340"/>
  <c r="F547" i="340"/>
  <c r="F506" i="340"/>
  <c r="E26" i="340"/>
  <c r="K528" i="340"/>
  <c r="G466" i="340"/>
  <c r="E439" i="340"/>
  <c r="I176" i="340"/>
  <c r="G164" i="340"/>
  <c r="G554" i="340"/>
  <c r="K169" i="340"/>
  <c r="G524" i="340"/>
  <c r="I418" i="340"/>
  <c r="F521" i="340"/>
  <c r="J534" i="340"/>
  <c r="K534" i="340"/>
  <c r="J344" i="340"/>
  <c r="K344" i="340"/>
  <c r="G41" i="340"/>
  <c r="G492" i="340"/>
  <c r="J564" i="340"/>
  <c r="G548" i="340"/>
  <c r="G576" i="340"/>
  <c r="F54" i="340"/>
  <c r="J444" i="340"/>
  <c r="G465" i="340"/>
  <c r="K182" i="340"/>
  <c r="K231" i="340"/>
  <c r="G290" i="340"/>
  <c r="G169" i="340"/>
  <c r="G146" i="340"/>
  <c r="G37" i="340"/>
  <c r="G95" i="340"/>
  <c r="E95" i="340"/>
  <c r="E547" i="340"/>
  <c r="F326" i="340"/>
  <c r="E461" i="340"/>
  <c r="G237" i="340"/>
  <c r="J205" i="340"/>
  <c r="F558" i="340"/>
  <c r="G558" i="340"/>
  <c r="E558" i="340"/>
  <c r="I292" i="340"/>
  <c r="I486" i="340"/>
  <c r="J13" i="340"/>
  <c r="F578" i="340"/>
  <c r="G493" i="340"/>
  <c r="K565" i="340"/>
  <c r="F471" i="340"/>
  <c r="E465" i="340"/>
  <c r="J182" i="340"/>
  <c r="G459" i="340"/>
  <c r="G342" i="340"/>
  <c r="F342" i="340"/>
  <c r="J231" i="340"/>
  <c r="E110" i="340"/>
  <c r="G110" i="340"/>
  <c r="E37" i="340"/>
  <c r="F95" i="340"/>
  <c r="E337" i="340"/>
  <c r="F300" i="340"/>
  <c r="E300" i="340"/>
  <c r="F585" i="340"/>
  <c r="K313" i="340"/>
  <c r="K298" i="340"/>
  <c r="K184" i="340"/>
  <c r="I26" i="340"/>
  <c r="F295" i="340"/>
  <c r="K523" i="340"/>
  <c r="J389" i="340"/>
  <c r="K389" i="340"/>
  <c r="J211" i="340"/>
  <c r="I13" i="340"/>
  <c r="I565" i="340"/>
  <c r="F440" i="340"/>
  <c r="E243" i="340"/>
  <c r="K283" i="340"/>
  <c r="G210" i="340"/>
  <c r="E149" i="340"/>
  <c r="G149" i="340"/>
  <c r="J91" i="340"/>
  <c r="F52" i="340"/>
  <c r="F37" i="340"/>
  <c r="E185" i="340"/>
  <c r="G185" i="340"/>
  <c r="J191" i="340"/>
  <c r="G482" i="340"/>
  <c r="G533" i="340"/>
  <c r="J292" i="340"/>
  <c r="E421" i="340"/>
  <c r="K212" i="340"/>
  <c r="J234" i="340"/>
  <c r="E33" i="340"/>
  <c r="F239" i="340"/>
  <c r="K127" i="340"/>
  <c r="E184" i="340"/>
  <c r="E309" i="340"/>
  <c r="G243" i="340"/>
  <c r="E210" i="340"/>
  <c r="F146" i="340"/>
  <c r="E52" i="340"/>
  <c r="E166" i="340"/>
  <c r="E17" i="340"/>
  <c r="E48" i="340"/>
  <c r="J373" i="340"/>
  <c r="J142" i="340"/>
  <c r="F152" i="340"/>
  <c r="E152" i="340"/>
  <c r="E475" i="340"/>
  <c r="E482" i="340"/>
  <c r="E485" i="340"/>
  <c r="G337" i="340"/>
  <c r="F51" i="340"/>
  <c r="E206" i="340"/>
  <c r="F282" i="340"/>
  <c r="E533" i="340"/>
  <c r="F466" i="340"/>
  <c r="F257" i="340"/>
  <c r="F461" i="340"/>
  <c r="E164" i="340"/>
  <c r="G122" i="340"/>
  <c r="F143" i="340"/>
  <c r="E196" i="340"/>
  <c r="E111" i="340"/>
  <c r="F33" i="340"/>
  <c r="J588" i="340"/>
  <c r="G473" i="340"/>
  <c r="F31" i="340"/>
  <c r="E31" i="340"/>
  <c r="G444" i="340"/>
  <c r="E500" i="340"/>
  <c r="F408" i="340"/>
  <c r="J470" i="340"/>
  <c r="G213" i="340"/>
  <c r="G49" i="340"/>
  <c r="F49" i="340"/>
  <c r="J65" i="340"/>
  <c r="I16" i="340"/>
  <c r="I580" i="340"/>
  <c r="J321" i="340"/>
  <c r="J302" i="340"/>
  <c r="E275" i="340"/>
  <c r="I77" i="340"/>
  <c r="E86" i="340"/>
  <c r="K425" i="340"/>
  <c r="G361" i="340"/>
  <c r="I493" i="340"/>
  <c r="J460" i="340"/>
  <c r="K436" i="340"/>
  <c r="I47" i="340"/>
  <c r="K254" i="340"/>
  <c r="K276" i="340"/>
  <c r="G250" i="340"/>
  <c r="F194" i="340"/>
  <c r="J143" i="340"/>
  <c r="K430" i="340"/>
  <c r="I373" i="340"/>
  <c r="G114" i="340"/>
  <c r="J190" i="340"/>
  <c r="J68" i="340"/>
  <c r="K68" i="340"/>
  <c r="J216" i="340"/>
  <c r="E341" i="340"/>
  <c r="K464" i="340"/>
  <c r="G318" i="340"/>
  <c r="F318" i="340"/>
  <c r="J411" i="340"/>
  <c r="J515" i="340"/>
  <c r="J212" i="340"/>
  <c r="E237" i="340"/>
  <c r="F122" i="340"/>
  <c r="K234" i="340"/>
  <c r="E176" i="340"/>
  <c r="G111" i="340"/>
  <c r="G33" i="340"/>
  <c r="F182" i="340"/>
  <c r="E131" i="340"/>
  <c r="G131" i="340"/>
  <c r="K588" i="340"/>
  <c r="G381" i="340"/>
  <c r="E381" i="340"/>
  <c r="K402" i="340"/>
  <c r="G434" i="340"/>
  <c r="F430" i="340"/>
  <c r="G430" i="340"/>
  <c r="F323" i="340"/>
  <c r="E239" i="340"/>
  <c r="G239" i="340"/>
  <c r="E76" i="340"/>
  <c r="E49" i="340"/>
  <c r="I216" i="340"/>
  <c r="I71" i="340"/>
  <c r="F302" i="340"/>
  <c r="G325" i="340"/>
  <c r="I260" i="340"/>
  <c r="J555" i="340"/>
  <c r="J331" i="340"/>
  <c r="J277" i="340"/>
  <c r="K381" i="340"/>
  <c r="K54" i="340"/>
  <c r="I587" i="340"/>
  <c r="I391" i="340"/>
  <c r="I421" i="340"/>
  <c r="E151" i="340"/>
  <c r="F151" i="340"/>
  <c r="G151" i="340"/>
  <c r="F210" i="340"/>
  <c r="G26" i="340"/>
  <c r="K408" i="340"/>
  <c r="K59" i="340"/>
  <c r="F111" i="340"/>
  <c r="J585" i="340"/>
  <c r="F211" i="340"/>
  <c r="F299" i="340"/>
  <c r="G299" i="340"/>
  <c r="J16" i="340"/>
  <c r="K367" i="340"/>
  <c r="K282" i="340"/>
  <c r="I282" i="340"/>
  <c r="J19" i="340"/>
  <c r="E128" i="340"/>
  <c r="G128" i="340"/>
  <c r="F546" i="340"/>
  <c r="K496" i="340"/>
  <c r="J8" i="340"/>
  <c r="F442" i="340"/>
  <c r="E442" i="340"/>
  <c r="E543" i="340"/>
  <c r="E469" i="340"/>
  <c r="K306" i="340"/>
  <c r="J222" i="340"/>
  <c r="I485" i="340"/>
  <c r="J482" i="340"/>
  <c r="K482" i="340"/>
  <c r="J6" i="340"/>
  <c r="F286" i="340"/>
  <c r="K483" i="340"/>
  <c r="J33" i="340"/>
  <c r="F26" i="340"/>
  <c r="K196" i="340"/>
  <c r="J408" i="340"/>
  <c r="K287" i="340"/>
  <c r="J287" i="340"/>
  <c r="G284" i="340"/>
  <c r="J313" i="340"/>
  <c r="J59" i="340"/>
  <c r="J263" i="340"/>
  <c r="F204" i="340"/>
  <c r="G204" i="340"/>
  <c r="G67" i="340"/>
  <c r="F67" i="340"/>
  <c r="J506" i="340"/>
  <c r="J326" i="340"/>
  <c r="K326" i="340"/>
  <c r="I505" i="340"/>
  <c r="G334" i="340"/>
  <c r="E499" i="340"/>
  <c r="I253" i="340"/>
  <c r="G230" i="340"/>
  <c r="G75" i="340"/>
  <c r="K52" i="340"/>
  <c r="K466" i="340"/>
  <c r="F128" i="340"/>
  <c r="J392" i="340"/>
  <c r="J496" i="340"/>
  <c r="I554" i="340"/>
  <c r="G442" i="340"/>
  <c r="J538" i="340"/>
  <c r="J574" i="340"/>
  <c r="J198" i="340"/>
  <c r="F201" i="340"/>
  <c r="E201" i="340"/>
  <c r="K33" i="340"/>
  <c r="I438" i="340"/>
  <c r="K562" i="340"/>
  <c r="G525" i="340"/>
  <c r="F525" i="340"/>
  <c r="E525" i="340"/>
  <c r="K546" i="340"/>
  <c r="E560" i="340"/>
  <c r="J458" i="340"/>
  <c r="K416" i="340"/>
  <c r="I416" i="340"/>
  <c r="G306" i="340"/>
  <c r="I153" i="340"/>
  <c r="F18" i="340"/>
  <c r="K405" i="340"/>
  <c r="J525" i="340"/>
  <c r="K329" i="340"/>
  <c r="I423" i="340"/>
  <c r="E454" i="340"/>
  <c r="F454" i="340"/>
  <c r="J147" i="340"/>
  <c r="J36" i="340"/>
  <c r="F163" i="340"/>
  <c r="E163" i="340"/>
  <c r="E455" i="340"/>
  <c r="F455" i="340"/>
  <c r="F312" i="340"/>
  <c r="G312" i="340"/>
  <c r="F449" i="340"/>
  <c r="K493" i="340"/>
  <c r="J493" i="340"/>
  <c r="J164" i="340"/>
  <c r="K106" i="340"/>
  <c r="G201" i="340"/>
  <c r="F138" i="340"/>
  <c r="K240" i="340"/>
  <c r="J240" i="340"/>
  <c r="I240" i="340"/>
  <c r="G121" i="340"/>
  <c r="F121" i="340"/>
  <c r="E121" i="340"/>
  <c r="G91" i="340"/>
  <c r="E91" i="340"/>
  <c r="F91" i="340"/>
  <c r="J349" i="340"/>
  <c r="K458" i="340"/>
  <c r="G573" i="340"/>
  <c r="I496" i="340"/>
  <c r="F292" i="340"/>
  <c r="G15" i="340"/>
  <c r="J275" i="340"/>
  <c r="J405" i="340"/>
  <c r="I331" i="340"/>
  <c r="K520" i="340"/>
  <c r="I576" i="340"/>
  <c r="G454" i="340"/>
  <c r="J368" i="340"/>
  <c r="K147" i="340"/>
  <c r="J527" i="340"/>
  <c r="F542" i="340"/>
  <c r="F170" i="340"/>
  <c r="I402" i="340"/>
  <c r="E490" i="340"/>
  <c r="K409" i="340"/>
  <c r="I383" i="340"/>
  <c r="K242" i="340"/>
  <c r="J242" i="340"/>
  <c r="I242" i="340"/>
  <c r="F159" i="340"/>
  <c r="E43" i="340"/>
  <c r="J580" i="340"/>
  <c r="I6" i="340"/>
  <c r="J304" i="340"/>
  <c r="K124" i="340"/>
  <c r="K247" i="340"/>
  <c r="J78" i="340"/>
  <c r="I465" i="340"/>
  <c r="J465" i="340"/>
  <c r="G223" i="340"/>
  <c r="K19" i="340"/>
  <c r="J531" i="340"/>
  <c r="K489" i="340"/>
  <c r="I489" i="340"/>
  <c r="E241" i="340"/>
  <c r="J265" i="340"/>
  <c r="J118" i="340"/>
  <c r="E89" i="340"/>
  <c r="F89" i="340"/>
  <c r="F123" i="340"/>
  <c r="G137" i="340"/>
  <c r="F479" i="340"/>
  <c r="J187" i="340"/>
  <c r="I187" i="340"/>
  <c r="K471" i="340"/>
  <c r="J37" i="340"/>
  <c r="I37" i="340"/>
  <c r="E581" i="340"/>
  <c r="F586" i="340"/>
  <c r="J472" i="340"/>
  <c r="K300" i="340"/>
  <c r="G136" i="340"/>
  <c r="J48" i="340"/>
  <c r="G100" i="340"/>
  <c r="J511" i="340"/>
  <c r="F368" i="340"/>
  <c r="J587" i="340"/>
  <c r="K586" i="340"/>
  <c r="I519" i="340"/>
  <c r="K157" i="340"/>
  <c r="E88" i="340"/>
  <c r="G101" i="340"/>
  <c r="K491" i="340"/>
  <c r="J504" i="340"/>
  <c r="J86" i="340"/>
  <c r="K86" i="340"/>
  <c r="E254" i="340"/>
  <c r="F70" i="340"/>
  <c r="E223" i="340"/>
  <c r="J423" i="340"/>
  <c r="K423" i="340"/>
  <c r="E326" i="340"/>
  <c r="I19" i="340"/>
  <c r="J203" i="340"/>
  <c r="J567" i="340"/>
  <c r="E432" i="340"/>
  <c r="I531" i="340"/>
  <c r="K265" i="340"/>
  <c r="I118" i="340"/>
  <c r="J174" i="340"/>
  <c r="F117" i="340"/>
  <c r="G123" i="340"/>
  <c r="E137" i="340"/>
  <c r="K492" i="340"/>
  <c r="I269" i="340"/>
  <c r="G330" i="340"/>
  <c r="I231" i="340"/>
  <c r="F511" i="340"/>
  <c r="E511" i="340"/>
  <c r="I175" i="340"/>
  <c r="G287" i="340"/>
  <c r="F287" i="340"/>
  <c r="E142" i="340"/>
  <c r="G564" i="340"/>
  <c r="F564" i="340"/>
  <c r="I532" i="340"/>
  <c r="E468" i="340"/>
  <c r="J157" i="340"/>
  <c r="G127" i="340"/>
  <c r="J135" i="340"/>
  <c r="J20" i="340"/>
  <c r="J561" i="340"/>
  <c r="K561" i="340"/>
  <c r="F166" i="340"/>
  <c r="F482" i="340"/>
  <c r="J156" i="340"/>
  <c r="F206" i="340"/>
  <c r="E282" i="340"/>
  <c r="F533" i="340"/>
  <c r="K479" i="340"/>
  <c r="K536" i="340"/>
  <c r="J536" i="340"/>
  <c r="K567" i="340"/>
  <c r="G461" i="340"/>
  <c r="F164" i="340"/>
  <c r="J206" i="340"/>
  <c r="J243" i="340"/>
  <c r="K174" i="340"/>
  <c r="J253" i="340"/>
  <c r="G196" i="340"/>
  <c r="F137" i="340"/>
  <c r="E60" i="340"/>
  <c r="F60" i="340"/>
  <c r="J540" i="340"/>
  <c r="J140" i="340"/>
  <c r="K140" i="340"/>
  <c r="G314" i="340"/>
  <c r="K473" i="340"/>
  <c r="J256" i="340"/>
  <c r="E108" i="340"/>
  <c r="G108" i="340"/>
  <c r="E295" i="340"/>
  <c r="G295" i="340"/>
  <c r="J18" i="340"/>
  <c r="K542" i="340"/>
  <c r="E363" i="340"/>
  <c r="F363" i="340"/>
  <c r="F538" i="340"/>
  <c r="E494" i="340"/>
  <c r="E445" i="340"/>
  <c r="K335" i="340"/>
  <c r="K290" i="340"/>
  <c r="J290" i="340"/>
  <c r="E178" i="340"/>
  <c r="G217" i="340"/>
  <c r="F217" i="340"/>
  <c r="G521" i="340"/>
  <c r="E521" i="340"/>
  <c r="E437" i="340"/>
  <c r="G491" i="340"/>
  <c r="G260" i="340"/>
  <c r="G60" i="340"/>
  <c r="I212" i="340"/>
  <c r="I552" i="340"/>
  <c r="I198" i="340"/>
  <c r="F431" i="340"/>
  <c r="F369" i="340"/>
  <c r="K390" i="340"/>
  <c r="F108" i="340"/>
  <c r="K193" i="340"/>
  <c r="J153" i="340"/>
  <c r="K14" i="340"/>
  <c r="I14" i="340"/>
  <c r="F311" i="340"/>
  <c r="G363" i="340"/>
  <c r="K418" i="340"/>
  <c r="K465" i="340"/>
  <c r="F370" i="340"/>
  <c r="I290" i="340"/>
  <c r="K163" i="340"/>
  <c r="G65" i="340"/>
  <c r="F184" i="340"/>
  <c r="G184" i="340"/>
  <c r="K366" i="340"/>
  <c r="I537" i="340"/>
  <c r="G227" i="340"/>
  <c r="J298" i="340"/>
  <c r="E143" i="340"/>
  <c r="I83" i="340"/>
  <c r="I157" i="340"/>
  <c r="F124" i="340"/>
  <c r="K552" i="340"/>
  <c r="E354" i="340"/>
  <c r="F441" i="340"/>
  <c r="I345" i="340"/>
  <c r="E269" i="340"/>
  <c r="F231" i="340"/>
  <c r="F68" i="340"/>
  <c r="J154" i="340"/>
  <c r="I463" i="340"/>
  <c r="K345" i="340"/>
  <c r="G197" i="340"/>
  <c r="G8" i="340"/>
  <c r="F425" i="340"/>
  <c r="G425" i="340"/>
  <c r="J494" i="340"/>
  <c r="K201" i="340"/>
  <c r="K215" i="340"/>
  <c r="G55" i="340"/>
  <c r="F308" i="340"/>
  <c r="G261" i="340"/>
  <c r="I218" i="340"/>
  <c r="I280" i="340"/>
  <c r="J39" i="340"/>
  <c r="I515" i="340"/>
  <c r="J412" i="340"/>
  <c r="K412" i="340"/>
  <c r="K353" i="340"/>
  <c r="J353" i="340"/>
  <c r="K55" i="340"/>
  <c r="J55" i="340"/>
  <c r="G211" i="340"/>
  <c r="K540" i="340"/>
  <c r="E192" i="340"/>
  <c r="K525" i="340"/>
  <c r="J329" i="340"/>
  <c r="F269" i="340"/>
  <c r="J473" i="340"/>
  <c r="K270" i="340"/>
  <c r="J127" i="340"/>
  <c r="J361" i="340"/>
  <c r="K361" i="340"/>
  <c r="F325" i="340"/>
  <c r="F8" i="340"/>
  <c r="G490" i="340"/>
  <c r="E370" i="340"/>
  <c r="K574" i="340"/>
  <c r="K277" i="340"/>
  <c r="K302" i="340"/>
  <c r="K164" i="340"/>
  <c r="E159" i="340"/>
  <c r="E65" i="340"/>
  <c r="K391" i="340"/>
  <c r="E138" i="340"/>
  <c r="F13" i="340"/>
  <c r="K460" i="340"/>
  <c r="K469" i="340"/>
  <c r="J225" i="340"/>
  <c r="E240" i="340"/>
  <c r="G240" i="340"/>
  <c r="F240" i="340"/>
  <c r="E246" i="340"/>
  <c r="K577" i="340"/>
  <c r="I140" i="340"/>
  <c r="I11" i="340"/>
  <c r="G178" i="340"/>
  <c r="G141" i="340"/>
  <c r="F141" i="340"/>
  <c r="J445" i="340"/>
  <c r="K445" i="340"/>
  <c r="K304" i="340"/>
  <c r="K519" i="340"/>
  <c r="J322" i="340"/>
  <c r="E416" i="340"/>
  <c r="G416" i="340"/>
  <c r="I405" i="340"/>
  <c r="I158" i="340"/>
  <c r="E148" i="340"/>
  <c r="G148" i="340"/>
  <c r="F148" i="340"/>
  <c r="I454" i="340"/>
  <c r="J421" i="340"/>
  <c r="K428" i="340"/>
  <c r="I358" i="340"/>
  <c r="F383" i="340"/>
  <c r="K37" i="340"/>
  <c r="I23" i="340"/>
  <c r="J89" i="340"/>
  <c r="J308" i="340"/>
  <c r="K209" i="340"/>
  <c r="J209" i="340"/>
  <c r="J367" i="340"/>
  <c r="J282" i="340"/>
  <c r="G76" i="340"/>
  <c r="J249" i="340"/>
  <c r="J193" i="340"/>
  <c r="J542" i="340"/>
  <c r="G546" i="340"/>
  <c r="G542" i="340"/>
  <c r="G538" i="340"/>
  <c r="G494" i="340"/>
  <c r="K587" i="340"/>
  <c r="K331" i="340"/>
  <c r="I304" i="340"/>
  <c r="F178" i="340"/>
  <c r="F272" i="340"/>
  <c r="E141" i="340"/>
  <c r="J163" i="340"/>
  <c r="F65" i="340"/>
  <c r="F321" i="340"/>
  <c r="E321" i="340"/>
  <c r="I445" i="340"/>
  <c r="G138" i="340"/>
  <c r="E278" i="340"/>
  <c r="G278" i="340"/>
  <c r="J491" i="340"/>
  <c r="K322" i="340"/>
  <c r="F416" i="340"/>
  <c r="I326" i="340"/>
  <c r="I106" i="340"/>
  <c r="J489" i="340"/>
  <c r="K506" i="340"/>
  <c r="J488" i="340"/>
  <c r="K488" i="340"/>
  <c r="I517" i="340"/>
  <c r="I492" i="340"/>
  <c r="K421" i="340"/>
  <c r="E438" i="340"/>
  <c r="G438" i="340"/>
  <c r="F438" i="340"/>
  <c r="E209" i="340"/>
  <c r="G571" i="340"/>
  <c r="I497" i="340"/>
  <c r="I314" i="340"/>
  <c r="G249" i="340"/>
  <c r="J128" i="340"/>
  <c r="K128" i="340"/>
  <c r="G275" i="340"/>
  <c r="E127" i="340"/>
  <c r="J299" i="340"/>
  <c r="K299" i="340"/>
  <c r="K137" i="340"/>
  <c r="I558" i="340"/>
  <c r="G322" i="340"/>
  <c r="J312" i="340"/>
  <c r="K74" i="340"/>
  <c r="K118" i="340"/>
  <c r="J388" i="340"/>
  <c r="I430" i="340"/>
  <c r="K70" i="340"/>
  <c r="I50" i="340"/>
  <c r="K364" i="340"/>
  <c r="G294" i="340"/>
  <c r="F306" i="340"/>
  <c r="G292" i="340"/>
  <c r="E18" i="340"/>
  <c r="E314" i="340"/>
  <c r="K16" i="340"/>
  <c r="F581" i="340"/>
  <c r="F500" i="340"/>
  <c r="E369" i="340"/>
  <c r="F76" i="340"/>
  <c r="J169" i="340"/>
  <c r="K18" i="340"/>
  <c r="E546" i="340"/>
  <c r="E542" i="340"/>
  <c r="E538" i="340"/>
  <c r="K8" i="340"/>
  <c r="F494" i="340"/>
  <c r="G543" i="340"/>
  <c r="F566" i="340"/>
  <c r="K494" i="340"/>
  <c r="F275" i="340"/>
  <c r="K198" i="340"/>
  <c r="J247" i="340"/>
  <c r="J123" i="340"/>
  <c r="K123" i="340"/>
  <c r="J60" i="340"/>
  <c r="K60" i="340"/>
  <c r="I299" i="340"/>
  <c r="K78" i="340"/>
  <c r="K580" i="340"/>
  <c r="I131" i="340"/>
  <c r="J137" i="340"/>
  <c r="J366" i="340"/>
  <c r="G409" i="340"/>
  <c r="J201" i="340"/>
  <c r="I411" i="340"/>
  <c r="I368" i="340"/>
  <c r="G252" i="340"/>
  <c r="K72" i="340"/>
  <c r="K149" i="340"/>
  <c r="K159" i="340"/>
  <c r="J159" i="340"/>
  <c r="I181" i="340"/>
  <c r="J41" i="340"/>
  <c r="F444" i="340"/>
  <c r="E441" i="340"/>
  <c r="G499" i="340"/>
  <c r="K472" i="340"/>
  <c r="K368" i="340"/>
  <c r="E230" i="340"/>
  <c r="E136" i="340"/>
  <c r="F213" i="340"/>
  <c r="G68" i="340"/>
  <c r="J52" i="340"/>
  <c r="E100" i="340"/>
  <c r="G311" i="340"/>
  <c r="G302" i="340"/>
  <c r="E368" i="340"/>
  <c r="J335" i="340"/>
  <c r="F127" i="340"/>
  <c r="G86" i="340"/>
  <c r="I60" i="340"/>
  <c r="K160" i="340"/>
  <c r="J160" i="340"/>
  <c r="F298" i="340"/>
  <c r="E367" i="340"/>
  <c r="F265" i="340"/>
  <c r="E497" i="340"/>
  <c r="K579" i="340"/>
  <c r="J579" i="340"/>
  <c r="E306" i="340"/>
  <c r="E292" i="340"/>
  <c r="E473" i="340"/>
  <c r="I41" i="340"/>
  <c r="G18" i="340"/>
  <c r="F314" i="340"/>
  <c r="G581" i="340"/>
  <c r="G500" i="340"/>
  <c r="J441" i="340"/>
  <c r="G369" i="340"/>
  <c r="G231" i="340"/>
  <c r="J466" i="340"/>
  <c r="K392" i="340"/>
  <c r="I511" i="340"/>
  <c r="F524" i="340"/>
  <c r="J418" i="340"/>
  <c r="J499" i="340"/>
  <c r="F543" i="340"/>
  <c r="E566" i="340"/>
  <c r="G468" i="340"/>
  <c r="F242" i="340"/>
  <c r="K44" i="340"/>
  <c r="J44" i="340"/>
  <c r="F88" i="340"/>
  <c r="K432" i="340"/>
  <c r="I160" i="340"/>
  <c r="K440" i="340"/>
  <c r="G534" i="340"/>
  <c r="I302" i="340"/>
  <c r="K181" i="340"/>
  <c r="F45" i="340"/>
  <c r="F253" i="340"/>
  <c r="E279" i="340"/>
  <c r="G279" i="340"/>
  <c r="F279" i="340"/>
  <c r="J427" i="340"/>
  <c r="F423" i="340"/>
  <c r="G502" i="340"/>
  <c r="F356" i="340"/>
  <c r="I235" i="340"/>
  <c r="F573" i="340"/>
  <c r="E124" i="340"/>
  <c r="E15" i="340"/>
  <c r="J552" i="340"/>
  <c r="J402" i="340"/>
  <c r="E586" i="340"/>
  <c r="E408" i="340"/>
  <c r="E540" i="340"/>
  <c r="F499" i="340"/>
  <c r="G323" i="340"/>
  <c r="F230" i="340"/>
  <c r="J84" i="340"/>
  <c r="K84" i="340"/>
  <c r="E213" i="340"/>
  <c r="K48" i="340"/>
  <c r="E68" i="340"/>
  <c r="K153" i="340"/>
  <c r="E302" i="340"/>
  <c r="G368" i="340"/>
  <c r="I499" i="340"/>
  <c r="J523" i="340"/>
  <c r="G445" i="340"/>
  <c r="K321" i="340"/>
  <c r="J409" i="340"/>
  <c r="F468" i="340"/>
  <c r="E242" i="340"/>
  <c r="J215" i="340"/>
  <c r="J106" i="340"/>
  <c r="K43" i="340"/>
  <c r="J43" i="340"/>
  <c r="F86" i="340"/>
  <c r="F361" i="340"/>
  <c r="K20" i="340"/>
  <c r="J562" i="340"/>
  <c r="F529" i="340"/>
  <c r="E380" i="340"/>
  <c r="I80" i="340"/>
  <c r="I450" i="340"/>
  <c r="E231" i="340"/>
  <c r="I84" i="340"/>
  <c r="E524" i="340"/>
  <c r="K342" i="340"/>
  <c r="G242" i="340"/>
  <c r="G40" i="340"/>
  <c r="I43" i="340"/>
  <c r="G88" i="340"/>
  <c r="F101" i="340"/>
  <c r="F119" i="340"/>
  <c r="G308" i="340"/>
  <c r="E308" i="340"/>
  <c r="K504" i="340"/>
  <c r="K112" i="340"/>
  <c r="J257" i="340"/>
  <c r="E520" i="340"/>
  <c r="F520" i="340"/>
  <c r="G520" i="340"/>
  <c r="I163" i="340"/>
  <c r="F289" i="340"/>
  <c r="E289" i="340"/>
  <c r="G289" i="340"/>
  <c r="F218" i="340"/>
  <c r="E198" i="340"/>
  <c r="F198" i="340"/>
  <c r="G198" i="340"/>
  <c r="I427" i="340"/>
  <c r="J96" i="340"/>
  <c r="K96" i="340"/>
  <c r="J319" i="340"/>
  <c r="J342" i="340"/>
  <c r="J47" i="340"/>
  <c r="E101" i="340"/>
  <c r="K572" i="340"/>
  <c r="J572" i="340"/>
  <c r="E119" i="340"/>
  <c r="G6" i="340"/>
  <c r="K505" i="340"/>
  <c r="J584" i="340"/>
  <c r="E280" i="340"/>
  <c r="I17" i="340"/>
  <c r="F222" i="340"/>
  <c r="G222" i="340"/>
  <c r="E222" i="340"/>
  <c r="K424" i="340"/>
  <c r="I291" i="340"/>
  <c r="J112" i="340"/>
  <c r="E570" i="340"/>
  <c r="F570" i="340"/>
  <c r="G570" i="340"/>
  <c r="I385" i="340"/>
  <c r="J576" i="340"/>
  <c r="K576" i="340"/>
  <c r="I247" i="340"/>
  <c r="K535" i="340"/>
  <c r="K453" i="340"/>
  <c r="K152" i="340"/>
  <c r="E418" i="340"/>
  <c r="F418" i="340"/>
  <c r="K194" i="340"/>
  <c r="I156" i="340"/>
  <c r="E172" i="340"/>
  <c r="I110" i="340"/>
  <c r="I448" i="340"/>
  <c r="I98" i="340"/>
  <c r="J449" i="340"/>
  <c r="G541" i="340"/>
  <c r="K547" i="340"/>
  <c r="J547" i="340"/>
  <c r="I571" i="340"/>
  <c r="K474" i="340"/>
  <c r="K243" i="340"/>
  <c r="F281" i="340"/>
  <c r="J90" i="340"/>
  <c r="K97" i="340"/>
  <c r="I199" i="340"/>
  <c r="K224" i="340"/>
  <c r="I525" i="340"/>
  <c r="K435" i="340"/>
  <c r="J461" i="340"/>
  <c r="E216" i="340"/>
  <c r="I180" i="340"/>
  <c r="J21" i="340"/>
  <c r="I107" i="340"/>
  <c r="E36" i="340"/>
  <c r="I217" i="340"/>
  <c r="G516" i="340"/>
  <c r="I172" i="340"/>
  <c r="J141" i="340"/>
  <c r="I82" i="340"/>
  <c r="I426" i="340"/>
  <c r="E6" i="340"/>
  <c r="E298" i="340"/>
  <c r="K584" i="340"/>
  <c r="K261" i="340"/>
  <c r="J261" i="340"/>
  <c r="F261" i="340"/>
  <c r="G265" i="340"/>
  <c r="J453" i="340"/>
  <c r="K427" i="340"/>
  <c r="I65" i="340"/>
  <c r="J152" i="340"/>
  <c r="G418" i="340"/>
  <c r="J481" i="340"/>
  <c r="G450" i="340"/>
  <c r="K203" i="340"/>
  <c r="I227" i="340"/>
  <c r="J103" i="340"/>
  <c r="K103" i="340"/>
  <c r="I325" i="340"/>
  <c r="J543" i="340"/>
  <c r="F14" i="340"/>
  <c r="E14" i="340"/>
  <c r="I544" i="340"/>
  <c r="J315" i="340"/>
  <c r="I441" i="340"/>
  <c r="E215" i="340"/>
  <c r="F212" i="340"/>
  <c r="I52" i="340"/>
  <c r="K514" i="340"/>
  <c r="J474" i="340"/>
  <c r="G221" i="340"/>
  <c r="I223" i="340"/>
  <c r="J136" i="340"/>
  <c r="K101" i="340"/>
  <c r="J67" i="340"/>
  <c r="I127" i="340"/>
  <c r="I498" i="340"/>
  <c r="E171" i="340"/>
  <c r="I459" i="340"/>
  <c r="E588" i="340"/>
  <c r="J200" i="340"/>
  <c r="I266" i="340"/>
  <c r="I313" i="340"/>
  <c r="I145" i="340"/>
  <c r="I281" i="340"/>
  <c r="J377" i="340"/>
  <c r="I578" i="340"/>
  <c r="J548" i="340"/>
  <c r="J207" i="340"/>
  <c r="J558" i="340"/>
  <c r="I354" i="340"/>
  <c r="J325" i="340"/>
  <c r="K325" i="340"/>
  <c r="K559" i="340"/>
  <c r="J559" i="340"/>
  <c r="I135" i="340"/>
  <c r="I574" i="340"/>
  <c r="J483" i="340"/>
  <c r="K356" i="340"/>
  <c r="F535" i="340"/>
  <c r="G535" i="340"/>
  <c r="I457" i="340"/>
  <c r="I458" i="340"/>
  <c r="K180" i="340"/>
  <c r="K442" i="340"/>
  <c r="K581" i="340"/>
  <c r="K417" i="340"/>
  <c r="I123" i="340"/>
  <c r="K217" i="340"/>
  <c r="J14" i="340"/>
  <c r="I141" i="340"/>
  <c r="K89" i="340"/>
  <c r="I442" i="340"/>
  <c r="I352" i="340"/>
  <c r="I97" i="340"/>
  <c r="I490" i="340"/>
  <c r="I434" i="340"/>
  <c r="J310" i="340"/>
  <c r="I310" i="340"/>
  <c r="I257" i="340"/>
  <c r="E106" i="340"/>
  <c r="I367" i="340"/>
  <c r="I121" i="340"/>
  <c r="I279" i="340"/>
  <c r="K490" i="340"/>
  <c r="K294" i="340"/>
  <c r="I178" i="340"/>
  <c r="J145" i="340"/>
  <c r="I29" i="340"/>
  <c r="I236" i="340"/>
  <c r="J305" i="340"/>
  <c r="G253" i="340"/>
  <c r="K548" i="340"/>
  <c r="K480" i="340"/>
  <c r="K207" i="340"/>
  <c r="K558" i="340"/>
  <c r="G319" i="340"/>
  <c r="F329" i="340"/>
  <c r="E329" i="340"/>
  <c r="J439" i="340"/>
  <c r="E350" i="340"/>
  <c r="K286" i="340"/>
  <c r="E535" i="340"/>
  <c r="I74" i="340"/>
  <c r="I584" i="340"/>
  <c r="J478" i="340"/>
  <c r="J435" i="340"/>
  <c r="J501" i="340"/>
  <c r="G428" i="340"/>
  <c r="F428" i="340"/>
  <c r="I239" i="340"/>
  <c r="K249" i="340"/>
  <c r="E247" i="340"/>
  <c r="J280" i="340"/>
  <c r="K280" i="340"/>
  <c r="K311" i="340"/>
  <c r="K63" i="340"/>
  <c r="F97" i="340"/>
  <c r="E97" i="340"/>
  <c r="I502" i="340"/>
  <c r="I369" i="340"/>
  <c r="F77" i="340"/>
  <c r="I460" i="340"/>
  <c r="I449" i="340"/>
  <c r="I422" i="340"/>
  <c r="I462" i="340"/>
  <c r="I114" i="340"/>
  <c r="J490" i="340"/>
  <c r="I559" i="340"/>
  <c r="I143" i="340"/>
  <c r="I44" i="340"/>
  <c r="I452" i="340"/>
  <c r="I284" i="340"/>
  <c r="K221" i="340"/>
  <c r="G529" i="340"/>
  <c r="J436" i="340"/>
  <c r="G209" i="340"/>
  <c r="F209" i="340"/>
  <c r="F437" i="340"/>
  <c r="G437" i="340"/>
  <c r="I104" i="340"/>
  <c r="J23" i="340"/>
  <c r="K41" i="340"/>
  <c r="K419" i="340"/>
  <c r="I541" i="340"/>
  <c r="F481" i="340"/>
  <c r="E481" i="340"/>
  <c r="G481" i="340"/>
  <c r="J295" i="340"/>
  <c r="J383" i="340"/>
  <c r="K383" i="340"/>
  <c r="F80" i="340"/>
  <c r="K531" i="340"/>
  <c r="K501" i="340"/>
  <c r="J475" i="340"/>
  <c r="G234" i="340"/>
  <c r="I48" i="340"/>
  <c r="I528" i="340"/>
  <c r="I557" i="340"/>
  <c r="I380" i="340"/>
  <c r="I366" i="340"/>
  <c r="K380" i="340"/>
  <c r="I301" i="340"/>
  <c r="I85" i="340"/>
  <c r="K13" i="340"/>
  <c r="I555" i="340"/>
  <c r="I542" i="340"/>
  <c r="K582" i="340"/>
  <c r="G486" i="340"/>
  <c r="E486" i="340"/>
  <c r="J148" i="340"/>
  <c r="F228" i="340"/>
  <c r="K422" i="340"/>
  <c r="I471" i="340"/>
  <c r="G205" i="340"/>
  <c r="I278" i="340"/>
  <c r="K386" i="340"/>
  <c r="I276" i="340"/>
  <c r="I196" i="340"/>
  <c r="K17" i="340"/>
  <c r="J17" i="340"/>
  <c r="I406" i="340"/>
  <c r="I439" i="340"/>
  <c r="I428" i="340"/>
  <c r="G436" i="340"/>
  <c r="F436" i="340"/>
  <c r="E436" i="340"/>
  <c r="G472" i="340"/>
  <c r="J221" i="340"/>
  <c r="E218" i="340"/>
  <c r="G218" i="340"/>
  <c r="I429" i="340"/>
  <c r="I93" i="340"/>
  <c r="J230" i="340"/>
  <c r="J34" i="340"/>
  <c r="K34" i="340"/>
  <c r="I72" i="340"/>
  <c r="I548" i="340"/>
  <c r="J286" i="340"/>
  <c r="G264" i="340"/>
  <c r="I582" i="340"/>
  <c r="K467" i="340"/>
  <c r="K200" i="340"/>
  <c r="K39" i="340"/>
  <c r="I151" i="340"/>
  <c r="I566" i="340"/>
  <c r="I523" i="340"/>
  <c r="E529" i="340"/>
  <c r="I483" i="340"/>
  <c r="E502" i="340"/>
  <c r="F486" i="340"/>
  <c r="K225" i="340"/>
  <c r="K499" i="340"/>
  <c r="I408" i="340"/>
  <c r="I577" i="340"/>
  <c r="G510" i="340"/>
  <c r="F571" i="340"/>
  <c r="E571" i="340"/>
  <c r="F34" i="340"/>
  <c r="K116" i="340"/>
  <c r="G380" i="340"/>
  <c r="F380" i="340"/>
  <c r="G519" i="340"/>
  <c r="J429" i="340"/>
  <c r="K175" i="340"/>
  <c r="I76" i="340"/>
  <c r="F50" i="340"/>
  <c r="I36" i="340"/>
  <c r="I213" i="340"/>
  <c r="I436" i="340"/>
  <c r="J314" i="340"/>
  <c r="K314" i="340"/>
  <c r="F352" i="340"/>
  <c r="G352" i="340"/>
  <c r="E352" i="340"/>
  <c r="K82" i="340"/>
  <c r="J82" i="340"/>
  <c r="K30" i="340"/>
  <c r="I323" i="340"/>
  <c r="J50" i="340"/>
  <c r="I185" i="340"/>
  <c r="F358" i="340"/>
  <c r="E358" i="340"/>
  <c r="G358" i="340"/>
  <c r="J338" i="340"/>
  <c r="I363" i="340"/>
  <c r="I146" i="340"/>
  <c r="I56" i="340"/>
  <c r="I551" i="340"/>
  <c r="I28" i="340"/>
  <c r="E534" i="340"/>
  <c r="K257" i="340"/>
  <c r="I263" i="340"/>
  <c r="K452" i="340"/>
  <c r="G388" i="340"/>
  <c r="I306" i="340"/>
  <c r="K305" i="340"/>
  <c r="I54" i="340"/>
  <c r="G335" i="340"/>
  <c r="F335" i="340"/>
  <c r="J544" i="340"/>
  <c r="K544" i="340"/>
  <c r="G552" i="340"/>
  <c r="G478" i="340"/>
  <c r="J235" i="340"/>
  <c r="K204" i="340"/>
  <c r="G157" i="340"/>
  <c r="E551" i="340"/>
  <c r="E84" i="340"/>
  <c r="F84" i="340"/>
  <c r="K341" i="340"/>
  <c r="G567" i="340"/>
  <c r="K541" i="340"/>
  <c r="J541" i="340"/>
  <c r="K429" i="340"/>
  <c r="K281" i="340"/>
  <c r="J149" i="340"/>
  <c r="K187" i="340"/>
  <c r="E74" i="340"/>
  <c r="I136" i="340"/>
  <c r="I63" i="340"/>
  <c r="F85" i="340"/>
  <c r="I228" i="340"/>
  <c r="G580" i="340"/>
  <c r="F579" i="340"/>
  <c r="G386" i="340"/>
  <c r="I152" i="340"/>
  <c r="I101" i="340"/>
  <c r="I66" i="340"/>
  <c r="I234" i="340"/>
  <c r="K524" i="340"/>
  <c r="K459" i="340"/>
  <c r="I392" i="340"/>
  <c r="I119" i="340"/>
  <c r="I417" i="340"/>
  <c r="I70" i="340"/>
  <c r="K312" i="340"/>
  <c r="J424" i="340"/>
  <c r="E134" i="340"/>
  <c r="J413" i="340"/>
  <c r="J452" i="340"/>
  <c r="F502" i="340"/>
  <c r="G458" i="340"/>
  <c r="G180" i="340"/>
  <c r="E335" i="340"/>
  <c r="K468" i="340"/>
  <c r="K235" i="340"/>
  <c r="J98" i="340"/>
  <c r="F63" i="340"/>
  <c r="E63" i="340"/>
  <c r="E574" i="340"/>
  <c r="F470" i="340"/>
  <c r="G313" i="340"/>
  <c r="J434" i="340"/>
  <c r="G266" i="340"/>
  <c r="J228" i="340"/>
  <c r="K228" i="340"/>
  <c r="E96" i="340"/>
  <c r="G72" i="340"/>
  <c r="G71" i="340"/>
  <c r="F129" i="340"/>
  <c r="E61" i="340"/>
  <c r="J29" i="340"/>
  <c r="G366" i="340"/>
  <c r="K461" i="340"/>
  <c r="I461" i="340"/>
  <c r="E392" i="340"/>
  <c r="K486" i="340"/>
  <c r="K310" i="340"/>
  <c r="K211" i="340"/>
  <c r="K121" i="340"/>
  <c r="I572" i="340"/>
  <c r="I394" i="340"/>
  <c r="K23" i="347"/>
  <c r="K117" i="340"/>
  <c r="I527" i="340"/>
  <c r="J566" i="340"/>
  <c r="I330" i="340"/>
  <c r="K308" i="340"/>
  <c r="K28" i="340"/>
  <c r="J535" i="340"/>
  <c r="I309" i="340"/>
  <c r="J241" i="340"/>
  <c r="J74" i="340"/>
  <c r="G134" i="340"/>
  <c r="K388" i="340"/>
  <c r="I451" i="340"/>
  <c r="J468" i="340"/>
  <c r="J365" i="340"/>
  <c r="K365" i="340"/>
  <c r="I289" i="340"/>
  <c r="E116" i="340"/>
  <c r="G63" i="340"/>
  <c r="E30" i="340"/>
  <c r="J100" i="340"/>
  <c r="F145" i="340"/>
  <c r="F527" i="340"/>
  <c r="F199" i="340"/>
  <c r="E199" i="340"/>
  <c r="G199" i="340"/>
  <c r="F190" i="340"/>
  <c r="K119" i="340"/>
  <c r="I386" i="340"/>
  <c r="I562" i="340"/>
  <c r="J283" i="340"/>
  <c r="I265" i="340"/>
  <c r="I205" i="340"/>
  <c r="I543" i="340"/>
  <c r="I182" i="340"/>
  <c r="J279" i="340"/>
  <c r="I222" i="340"/>
  <c r="I311" i="340"/>
  <c r="I210" i="340"/>
  <c r="I103" i="340"/>
  <c r="I241" i="340"/>
  <c r="E78" i="340"/>
  <c r="G286" i="340"/>
  <c r="K76" i="340"/>
  <c r="F537" i="340"/>
  <c r="J428" i="340"/>
  <c r="G504" i="340"/>
  <c r="F291" i="340"/>
  <c r="K108" i="340"/>
  <c r="J108" i="340"/>
  <c r="J252" i="340"/>
  <c r="K223" i="340"/>
  <c r="I315" i="340"/>
  <c r="J61" i="340"/>
  <c r="I90" i="340"/>
  <c r="F382" i="340"/>
  <c r="G382" i="340"/>
  <c r="E383" i="340"/>
  <c r="G383" i="340"/>
  <c r="K475" i="340"/>
  <c r="K244" i="340"/>
  <c r="K199" i="340"/>
  <c r="K241" i="340"/>
  <c r="I122" i="340"/>
  <c r="I470" i="340"/>
  <c r="I88" i="340"/>
  <c r="J356" i="340"/>
  <c r="J382" i="340"/>
  <c r="K382" i="340"/>
  <c r="F93" i="340"/>
  <c r="I45" i="340"/>
  <c r="I381" i="340"/>
  <c r="J416" i="340"/>
  <c r="I521" i="340"/>
  <c r="I294" i="340"/>
  <c r="I285" i="340"/>
  <c r="I350" i="340"/>
  <c r="I256" i="340"/>
  <c r="J178" i="340"/>
  <c r="E537" i="340"/>
  <c r="E34" i="340"/>
  <c r="I419" i="340"/>
  <c r="I435" i="340"/>
  <c r="G574" i="340"/>
  <c r="J581" i="340"/>
  <c r="J514" i="340"/>
  <c r="I475" i="340"/>
  <c r="K295" i="340"/>
  <c r="G190" i="340"/>
  <c r="J311" i="340"/>
  <c r="J119" i="340"/>
  <c r="E129" i="340"/>
  <c r="F392" i="340"/>
  <c r="I200" i="340"/>
  <c r="E77" i="340"/>
  <c r="K566" i="340"/>
  <c r="K377" i="340"/>
  <c r="K338" i="340"/>
  <c r="K141" i="340"/>
  <c r="J194" i="340"/>
  <c r="K104" i="340"/>
  <c r="G80" i="340"/>
  <c r="J419" i="340"/>
  <c r="I356" i="340"/>
  <c r="J239" i="340"/>
  <c r="E93" i="340"/>
  <c r="E221" i="340"/>
  <c r="E266" i="340"/>
  <c r="J101" i="340"/>
  <c r="J97" i="340"/>
  <c r="E50" i="340"/>
  <c r="F294" i="340"/>
  <c r="E386" i="340"/>
  <c r="J30" i="340"/>
  <c r="K21" i="340"/>
  <c r="J524" i="340"/>
  <c r="J380" i="340"/>
  <c r="K279" i="340"/>
  <c r="E228" i="340"/>
  <c r="J422" i="340"/>
  <c r="E478" i="340"/>
  <c r="F116" i="340"/>
  <c r="J104" i="340"/>
  <c r="J341" i="340"/>
  <c r="F567" i="340"/>
  <c r="K449" i="340"/>
  <c r="F519" i="340"/>
  <c r="K434" i="340"/>
  <c r="F247" i="340"/>
  <c r="J175" i="340"/>
  <c r="K136" i="340"/>
  <c r="F72" i="340"/>
  <c r="K67" i="340"/>
  <c r="E85" i="340"/>
  <c r="K239" i="340"/>
  <c r="E450" i="340"/>
  <c r="E552" i="340"/>
  <c r="E541" i="340"/>
  <c r="F266" i="340"/>
  <c r="E71" i="340"/>
  <c r="E580" i="340"/>
  <c r="E294" i="340"/>
  <c r="F386" i="340"/>
  <c r="E234" i="340"/>
  <c r="J217" i="340"/>
  <c r="J486" i="340"/>
  <c r="F216" i="340"/>
  <c r="J459" i="340"/>
  <c r="J467" i="340"/>
  <c r="K50" i="340"/>
  <c r="I39" i="340"/>
  <c r="E516" i="340"/>
  <c r="J394" i="340"/>
  <c r="G216" i="34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CHABAUD Bernard</author>
  </authors>
  <commentList>
    <comment ref="B191" authorId="0" shapeId="0" xr:uid="{B3FE80C7-1F06-4E0F-AABB-238A22E32BAB}">
      <text>
        <r>
          <rPr>
            <b/>
            <sz val="9"/>
            <color indexed="81"/>
            <rFont val="Tahoma"/>
            <family val="2"/>
          </rPr>
          <t>Antenne sourcé chez Ex-Machinery; Armadex OmniX-DL24/50 G/D Wifi antennaIP66, dual band, 2.4GHz - 5GHz, 5/7dBi, approx. length: 20cm, including N-plug female connectorEquipment category 3G/3D. For safe use in ATEX zone 2 and ATEX zone 22 areas.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<sst xmlns="http://schemas.openxmlformats.org/spreadsheetml/2006/main" count="10275" uniqueCount="5929">
  <si>
    <t xml:space="preserve">Combien de découpages voulez-vous dans votre projet ? </t>
  </si>
  <si>
    <t xml:space="preserve">Formuler la syntheses de tous les découpages : </t>
  </si>
  <si>
    <t xml:space="preserve">La clé de remplissage est la colonne référence </t>
  </si>
  <si>
    <t>jour</t>
  </si>
  <si>
    <t>nuit</t>
  </si>
  <si>
    <t>Jour</t>
  </si>
  <si>
    <t>oui</t>
  </si>
  <si>
    <t xml:space="preserve">Prestation </t>
  </si>
  <si>
    <t>Eiffage</t>
  </si>
  <si>
    <t>Nuit</t>
  </si>
  <si>
    <t>INEO</t>
  </si>
  <si>
    <t>SDEL</t>
  </si>
  <si>
    <t>SOGETREL</t>
  </si>
  <si>
    <t>non</t>
  </si>
  <si>
    <t>Référence</t>
  </si>
  <si>
    <t>Désignation</t>
  </si>
  <si>
    <t xml:space="preserve">Unité </t>
  </si>
  <si>
    <t xml:space="preserve">jour/nuit </t>
  </si>
  <si>
    <t>Quantité</t>
  </si>
  <si>
    <t>PU</t>
  </si>
  <si>
    <t>Prix total</t>
  </si>
  <si>
    <t>Phase 1</t>
  </si>
  <si>
    <t>P</t>
  </si>
  <si>
    <t xml:space="preserve">Prestation hors bordereau (taux horaire) </t>
  </si>
  <si>
    <t>type de main d'œuvre</t>
  </si>
  <si>
    <t xml:space="preserve">Désignation de la prestation </t>
  </si>
  <si>
    <t xml:space="preserve">Nbr d'heure </t>
  </si>
  <si>
    <t>Opérateur</t>
  </si>
  <si>
    <t xml:space="preserve">Total Prestation (hors DOE et suivi de prestation)  </t>
  </si>
  <si>
    <t>Total prestation hors DOE Eiffage</t>
  </si>
  <si>
    <t>Total prestation hors DOE ERI</t>
  </si>
  <si>
    <t>Total prestation hors DOE INEO</t>
  </si>
  <si>
    <t>Total prestation hors DOE SDEL</t>
  </si>
  <si>
    <t>Total prestation hors DOE Sogetrel</t>
  </si>
  <si>
    <t>Prestation suivi de projet et DOE</t>
  </si>
  <si>
    <t>ERI</t>
  </si>
  <si>
    <t>besoin  : oui/non</t>
  </si>
  <si>
    <t>Prix calculé</t>
  </si>
  <si>
    <t>P19.2</t>
  </si>
  <si>
    <t>DOE Filaire et / ou Cfa - Montant minimum à appliquer si le montant DOE en pourcentage est inférieur</t>
  </si>
  <si>
    <t>Forfait</t>
  </si>
  <si>
    <t>P19.3</t>
  </si>
  <si>
    <t>DOE Filaire et / ou Cfa  sans maquette BIM - Pourcentage du total des prestations de travaux (hors fourniture ou prestation documentaire ou prestation de suivi)</t>
  </si>
  <si>
    <t>%</t>
  </si>
  <si>
    <t>P19.3 a</t>
  </si>
  <si>
    <t>DOE Filaire et / ou Cfa  avec maquette BIM - Pourcentage du total des prestations de travaux (hors fourniture ou prestation documentaire ou prestation de suivi)</t>
  </si>
  <si>
    <t>P21.1</t>
  </si>
  <si>
    <t>Suivi de projet - Montant total des prestations du projet (hors fournitures et prestation suivi de projet) inférieur à 5 000€</t>
  </si>
  <si>
    <t>P21.2</t>
  </si>
  <si>
    <t>Suivi de projet - Montant total des prestations du projet (hors fournitures et prestation suivi de projet) compris entre 5 000€ et inférieur à 50 000€</t>
  </si>
  <si>
    <t>P21.3</t>
  </si>
  <si>
    <t>Suivi de projet - Montant total des prestations du projet (hors fournitures et prestation suivi de projet) compris entre 50 000€ et inférieur à 150 000€</t>
  </si>
  <si>
    <t>P21.4</t>
  </si>
  <si>
    <t>Suivi de projet - Montant total des prestations du projet (hors fournitures et prestation suivi de projet) compris entre 150 000€ et inférieur à 500 000€</t>
  </si>
  <si>
    <t>P21.5</t>
  </si>
  <si>
    <t>Suivi de projet - Montant total des prestations du projet (hors fournitures et prestation suivi de projet)  compris entre 500 000€ et inférieur à 1 500 000€</t>
  </si>
  <si>
    <t>P21.6</t>
  </si>
  <si>
    <t>Suivi de projet - Montant total des prestations du projet (hors fournitures et prestation suivi de projet) supérieur à 1 500 000€</t>
  </si>
  <si>
    <t xml:space="preserve">Total Prestation DOE et suivi de prestation </t>
  </si>
  <si>
    <t>Total DOE Eiffage</t>
  </si>
  <si>
    <t>Total DOE ERI</t>
  </si>
  <si>
    <t>Total DOE INEO</t>
  </si>
  <si>
    <t>Total DOE SDEL</t>
  </si>
  <si>
    <t xml:space="preserve">Total DOE Sogetrel </t>
  </si>
  <si>
    <t xml:space="preserve">Total Prestation </t>
  </si>
  <si>
    <t>Total Prestation Eiffage</t>
  </si>
  <si>
    <t>Total Prestation ERI</t>
  </si>
  <si>
    <t>Total Prestation INEO</t>
  </si>
  <si>
    <t>Total Prestation SDEL</t>
  </si>
  <si>
    <t>Total Prestation Sogetrel</t>
  </si>
  <si>
    <t xml:space="preserve">Fournitures </t>
  </si>
  <si>
    <t>Fourniture</t>
  </si>
  <si>
    <t>F</t>
  </si>
  <si>
    <t xml:space="preserve">Fourniture Hors Bordereau </t>
  </si>
  <si>
    <t>Référence:
M2: fourniture catalogue 
M3 : fabication titulaire</t>
  </si>
  <si>
    <t>Prix unitaire achat</t>
  </si>
  <si>
    <t>M2</t>
  </si>
  <si>
    <t>sur factures au prix payé, par le Titulaire, affecté d'une majoration inférieure à</t>
  </si>
  <si>
    <t>M3</t>
  </si>
  <si>
    <t xml:space="preserve"> sur justification du prix de revient des pièces fabriquées, par le Titulaire, affecté d'une majoration inférieure à</t>
  </si>
  <si>
    <t>Total fourniture</t>
  </si>
  <si>
    <t xml:space="preserve">Total fournitures Eiffage </t>
  </si>
  <si>
    <t>Total fournitures ERI</t>
  </si>
  <si>
    <t xml:space="preserve">Total fournitures INEO </t>
  </si>
  <si>
    <t>Total fournitures SDEL</t>
  </si>
  <si>
    <t xml:space="preserve">Total fournitures Sogetrel </t>
  </si>
  <si>
    <t xml:space="preserve">Total Marché Travaux </t>
  </si>
  <si>
    <t xml:space="preserve">Total Eiffage </t>
  </si>
  <si>
    <t>Total ERI</t>
  </si>
  <si>
    <t>Total INEO</t>
  </si>
  <si>
    <t>Total SDEL</t>
  </si>
  <si>
    <t>Total SOGETREL</t>
  </si>
  <si>
    <t xml:space="preserve">Prestation NXO Data - prest + fourni </t>
  </si>
  <si>
    <t>NXO</t>
  </si>
  <si>
    <t>PC</t>
  </si>
  <si>
    <t>Total Prestation NXO Data - prest + fourni</t>
  </si>
  <si>
    <t>Fourniture RATP</t>
  </si>
  <si>
    <t>Code ATLAS</t>
  </si>
  <si>
    <t>Unité</t>
  </si>
  <si>
    <t>EQ.89</t>
  </si>
  <si>
    <t>EQ</t>
  </si>
  <si>
    <t>Total Prestation</t>
  </si>
  <si>
    <t>Prestation PDS</t>
  </si>
  <si>
    <t>Prix unitaire fourniture</t>
  </si>
  <si>
    <t>Prix unitaire prestation</t>
  </si>
  <si>
    <t>Prix unitaire total</t>
  </si>
  <si>
    <t>Prix total fourniture</t>
  </si>
  <si>
    <t>Prix total prestation</t>
  </si>
  <si>
    <t>P-A</t>
  </si>
  <si>
    <t xml:space="preserve">Tableau Synthese Prix </t>
  </si>
  <si>
    <t>RÉALISATION</t>
  </si>
  <si>
    <t>Fournitures de produits et prestations associées</t>
  </si>
  <si>
    <t xml:space="preserve"> </t>
  </si>
  <si>
    <t>Description</t>
  </si>
  <si>
    <t>Fourniture titulaire installation</t>
  </si>
  <si>
    <t xml:space="preserve">Prestation titulaire installation  </t>
  </si>
  <si>
    <t>Suivi du tituliare installation et DOE</t>
  </si>
  <si>
    <t xml:space="preserve">Fourniture RATP </t>
  </si>
  <si>
    <t>fourniture et prestation titulaire DATA</t>
  </si>
  <si>
    <t>fourniture et prestation titulaire TEL (à compléter manuellement)</t>
  </si>
  <si>
    <t>fourniture et prestation titulaire Tetra/TBS</t>
  </si>
  <si>
    <t>Total</t>
  </si>
  <si>
    <t>Prod'immo (ETD)</t>
  </si>
  <si>
    <t>Quantités en jours/unité</t>
  </si>
  <si>
    <t>Prix unitaire</t>
  </si>
  <si>
    <t>Total (€)</t>
  </si>
  <si>
    <t xml:space="preserve">DER </t>
  </si>
  <si>
    <t xml:space="preserve">calcul FES prescripteur </t>
  </si>
  <si>
    <t>Production graphique (BEG) AVP</t>
  </si>
  <si>
    <t xml:space="preserve">Montant total travaux </t>
  </si>
  <si>
    <t>Production graphique (BEG) PRO</t>
  </si>
  <si>
    <t>Montant travaux instal</t>
  </si>
  <si>
    <t>Paramétrages lors des mises en services (MOED)</t>
  </si>
  <si>
    <t>Montant travaux DATA</t>
  </si>
  <si>
    <t>Réalisation des Fonds de plan IHM</t>
  </si>
  <si>
    <t>Montant marché TEL</t>
  </si>
  <si>
    <t>TOTAL</t>
  </si>
  <si>
    <t>Montant marché TBS</t>
  </si>
  <si>
    <t xml:space="preserve">PHASE ETUDE </t>
  </si>
  <si>
    <t>Manager</t>
  </si>
  <si>
    <t>calcul prescription marché instal</t>
  </si>
  <si>
    <t xml:space="preserve">Etude de faisabilité </t>
  </si>
  <si>
    <t>calcul prescription marché data</t>
  </si>
  <si>
    <t>AVP</t>
  </si>
  <si>
    <t>calcul prescription marché tel</t>
  </si>
  <si>
    <t>PRO</t>
  </si>
  <si>
    <t>calcul prescription marché tbs</t>
  </si>
  <si>
    <t>PHASE REALISATION (DPS)</t>
  </si>
  <si>
    <t xml:space="preserve">Quantité en jours </t>
  </si>
  <si>
    <t>Réunions et suivi avec le CdP</t>
  </si>
  <si>
    <t>Dossier Consultation Entreprise / ACHAT</t>
  </si>
  <si>
    <t>Réalisation</t>
  </si>
  <si>
    <t>Réception - Levées des réserves - DOE</t>
  </si>
  <si>
    <t>Prescription et gestion des marchés DEP</t>
  </si>
  <si>
    <t>TOTAL GENERAL</t>
  </si>
  <si>
    <t>DEP - Tableau d'estimation des Frais d'Etudes (FES) et de surveillance et de la Production Immobilisable (Prod. Immo)</t>
  </si>
  <si>
    <t>PHASES projet</t>
  </si>
  <si>
    <t>v1 du 06/06/2023</t>
  </si>
  <si>
    <t>ACHATS</t>
  </si>
  <si>
    <t>REALISATION</t>
  </si>
  <si>
    <t>RECEPTION (OPR)</t>
  </si>
  <si>
    <t>Prix de vente générique et global pour DSI</t>
  </si>
  <si>
    <t>Nom du projet</t>
  </si>
  <si>
    <t>Hypothèses et Commentaires sur le chiffrage</t>
  </si>
  <si>
    <t>Chargé d'étude</t>
  </si>
  <si>
    <t>MOE Déploiement</t>
  </si>
  <si>
    <t>Conducteur de travaux</t>
  </si>
  <si>
    <t>Bureau d'études</t>
  </si>
  <si>
    <t>Managers</t>
  </si>
  <si>
    <t>FES Total en Jours</t>
  </si>
  <si>
    <t>FES
Total (en €)</t>
  </si>
  <si>
    <t>Prod.
Total (en €)</t>
  </si>
  <si>
    <t>T1</t>
  </si>
  <si>
    <t>T2</t>
  </si>
  <si>
    <t>T3</t>
  </si>
  <si>
    <t>T4</t>
  </si>
  <si>
    <t>Réunions et suivi</t>
  </si>
  <si>
    <t>Revue de Projet (avec CdP)</t>
  </si>
  <si>
    <r>
      <t>Sous Total</t>
    </r>
    <r>
      <rPr>
        <b/>
        <i/>
        <sz val="11"/>
        <color indexed="9"/>
        <rFont val="Parisine Office"/>
        <family val="2"/>
      </rPr>
      <t xml:space="preserve"> Réunions et suivi</t>
    </r>
  </si>
  <si>
    <t>Etudes de Faisabilité</t>
  </si>
  <si>
    <t>Contrat de MOE (chiffrage)</t>
  </si>
  <si>
    <t>Rédaction étude faisabilité</t>
  </si>
  <si>
    <t>Réunion d'avancement (études ou travaux)
Planification / ordonancement  / validation</t>
  </si>
  <si>
    <r>
      <t>Sous Total</t>
    </r>
    <r>
      <rPr>
        <b/>
        <i/>
        <sz val="11"/>
        <color indexed="9"/>
        <rFont val="Parisine Office"/>
        <family val="2"/>
      </rPr>
      <t xml:space="preserve"> Etudes de Faisabilité</t>
    </r>
  </si>
  <si>
    <t>Etudes AVP</t>
  </si>
  <si>
    <t>Rédaction AVP</t>
  </si>
  <si>
    <t>Visite sur site</t>
  </si>
  <si>
    <t xml:space="preserve">Suivi des activités BEG </t>
  </si>
  <si>
    <t xml:space="preserve">Coordination BIM Métier </t>
  </si>
  <si>
    <t xml:space="preserve">Production plans </t>
  </si>
  <si>
    <r>
      <t>Sous Total</t>
    </r>
    <r>
      <rPr>
        <b/>
        <i/>
        <sz val="11"/>
        <color indexed="9"/>
        <rFont val="Parisine Office"/>
        <family val="2"/>
      </rPr>
      <t xml:space="preserve"> AVP</t>
    </r>
  </si>
  <si>
    <t>Etudes PRO</t>
  </si>
  <si>
    <t>Rédaction PRO</t>
  </si>
  <si>
    <t>Réunion technique / interface / Synthèse (RMOE / MOEs)</t>
  </si>
  <si>
    <t>Coordination BIM Métier</t>
  </si>
  <si>
    <t>Production plans</t>
  </si>
  <si>
    <r>
      <t>Sous Total</t>
    </r>
    <r>
      <rPr>
        <b/>
        <i/>
        <sz val="11"/>
        <color indexed="9"/>
        <rFont val="Parisine Office"/>
        <family val="2"/>
      </rPr>
      <t xml:space="preserve"> PRO</t>
    </r>
  </si>
  <si>
    <t>DER</t>
  </si>
  <si>
    <t>Réunion Achats binome acheteur/MOE</t>
  </si>
  <si>
    <t>Visite sur site avec les entreprises</t>
  </si>
  <si>
    <t>Rédaction Cahier des charges / DCE / Analyse et négociation de l'offre</t>
  </si>
  <si>
    <t>Contractualisation (OLS  /BC)</t>
  </si>
  <si>
    <t>Suivi commande et fourniture RATP (ATLAS )</t>
  </si>
  <si>
    <t>Sous Total HA</t>
  </si>
  <si>
    <t xml:space="preserve">  Suivi et validation des études EXE </t>
  </si>
  <si>
    <t>Réunion de chantier (Entreprises + MOEs + OPC )</t>
  </si>
  <si>
    <t>Réunion Entreprises (COPIL)</t>
  </si>
  <si>
    <t>Suivi (technique et financier ) des réalisations / planification des interventions</t>
  </si>
  <si>
    <t>Coordination BIM Métier (validation de la conformité des maquette EXE/DOE)</t>
  </si>
  <si>
    <t>Production des fonds de plan IHM</t>
  </si>
  <si>
    <t>Mise en service des équipements</t>
  </si>
  <si>
    <t>Sous Total REALISATION</t>
  </si>
  <si>
    <t>PV avant/après travaux (M2E / EMS /DWS)</t>
  </si>
  <si>
    <t>Pré-OPR (MOEs / Mainteneurs /CdP)</t>
  </si>
  <si>
    <t>Suivi de levée des réserves (MOEs / Entreprises</t>
  </si>
  <si>
    <t>OPR (Entreprises / MOEs / Mainteneurs /CdP)</t>
  </si>
  <si>
    <t>Contrôle et validation des DOE (MOEs / Mainteneurs )</t>
  </si>
  <si>
    <t>Sous Total RECEPTION</t>
  </si>
  <si>
    <t xml:space="preserve">Prix révisé </t>
  </si>
  <si>
    <t>Prix initial</t>
  </si>
  <si>
    <t xml:space="preserve"> Liste des Prix Unitaires des Prestations</t>
  </si>
  <si>
    <t>PU Jour</t>
  </si>
  <si>
    <t>PU nuit courte</t>
  </si>
  <si>
    <t>C01 OF EIFFAGE</t>
  </si>
  <si>
    <t>C02 OF    ERI</t>
  </si>
  <si>
    <t>C03 OF INEO</t>
  </si>
  <si>
    <t>C04 OF SDEL</t>
  </si>
  <si>
    <t>C05 OF SOGETREL</t>
  </si>
  <si>
    <t>Référence prix</t>
  </si>
  <si>
    <t>Min</t>
  </si>
  <si>
    <t>Moy</t>
  </si>
  <si>
    <t>Max</t>
  </si>
  <si>
    <t>PU Nuit longue</t>
  </si>
  <si>
    <t>PU Nuit courte</t>
  </si>
  <si>
    <t>PU Jour initial</t>
  </si>
  <si>
    <t>PU Nuit longue initial</t>
  </si>
  <si>
    <t>PU Nuit courte initial</t>
  </si>
  <si>
    <t>P1</t>
  </si>
  <si>
    <t>Fixation de ferrures</t>
  </si>
  <si>
    <t>P1.1</t>
  </si>
  <si>
    <t>P1.2</t>
  </si>
  <si>
    <t xml:space="preserve"> Scellement à plus de 10 cm de profondeur</t>
  </si>
  <si>
    <t>U</t>
  </si>
  <si>
    <t>P1.3</t>
  </si>
  <si>
    <t xml:space="preserve">Étanchement : après dépose de tout élément </t>
  </si>
  <si>
    <t>P1.4</t>
  </si>
  <si>
    <t xml:space="preserve"> Étanchement d’un trou</t>
  </si>
  <si>
    <t>P2</t>
  </si>
  <si>
    <t>Support de câble</t>
  </si>
  <si>
    <t>P2.1</t>
  </si>
  <si>
    <t xml:space="preserve">Pose de support de câble </t>
  </si>
  <si>
    <t>P2.2</t>
  </si>
  <si>
    <t>Pose de chemins de câble en dalle acier perforée avec ou sans couvercle, aile de 24 ou 48 mm, largeur : 30, 75, 100 mm</t>
  </si>
  <si>
    <t>ml</t>
  </si>
  <si>
    <t>P2.3</t>
  </si>
  <si>
    <t>Pose de chemins de câble en dalle acier perforée avec ou sans couvercle, aile de 24 ou 48 mm, largeur : 147, 195 mm</t>
  </si>
  <si>
    <t>P2.4</t>
  </si>
  <si>
    <t>Pose de chemin de câble en treillis soudés type ''cablofil'', aile de 30 ou 54 mm, largeur : 50, 100, 150 mm</t>
  </si>
  <si>
    <t>P2.5</t>
  </si>
  <si>
    <t>Pose de canalisation en tube acier type MRL / MRB, sur maçonnerie</t>
  </si>
  <si>
    <t>P2.6</t>
  </si>
  <si>
    <t>Pose de canalisation en tube acier type MRL / MRB, sur support métallique, colliers ou ferrures existantes, avec mise à la terre.</t>
  </si>
  <si>
    <t>P2.7</t>
  </si>
  <si>
    <t>Pose de canalisation en tube type IRL</t>
  </si>
  <si>
    <t>P2.8</t>
  </si>
  <si>
    <t>Pose de gaine cintrable en acier flexible</t>
  </si>
  <si>
    <t>P2.9</t>
  </si>
  <si>
    <t>Pose de goulotte</t>
  </si>
  <si>
    <t>P2.10</t>
  </si>
  <si>
    <t>Pose de fourreau</t>
  </si>
  <si>
    <t>P2.11</t>
  </si>
  <si>
    <t>Pose de support de câble coaxial rayonnant pour câble 1/2" ou 7/8" ou 1.1/4" sur chemin de câbles (dalle marine, cablofil, crochets…)</t>
  </si>
  <si>
    <t>P2.12</t>
  </si>
  <si>
    <t>Pose de support de câble coaxial rayonnant pour câble 1/2" ou 7/8" ou 1.1/4" en ouvrage maçonné</t>
  </si>
  <si>
    <t>P2.13</t>
  </si>
  <si>
    <t xml:space="preserve">Dépose de support de câble </t>
  </si>
  <si>
    <t>P2.14</t>
  </si>
  <si>
    <t>Dépose de tous type support de câbles</t>
  </si>
  <si>
    <t>P3</t>
  </si>
  <si>
    <t>Travaux sur câbles : déroulage, détournement, dévoiement, mise en provisoire, dépose</t>
  </si>
  <si>
    <t>P3.1</t>
  </si>
  <si>
    <t>Déroulage de câbles cuivre Ethernet catégorie 6 ou plus</t>
  </si>
  <si>
    <t>P3.2</t>
  </si>
  <si>
    <t>Déroulage de câbles cuivre Ethernet catégorie 6 ou plus - Câble 4 paires ou 2x4 paires</t>
  </si>
  <si>
    <t>P3.3</t>
  </si>
  <si>
    <t xml:space="preserve">Déroulage de câbles cuivre 6/10 à paire </t>
  </si>
  <si>
    <t>P3.4</t>
  </si>
  <si>
    <t>Déroulage de câbles cuivre 6/10 à paire  - Câble inférieur ou égal à 28 paires</t>
  </si>
  <si>
    <t>P3.5</t>
  </si>
  <si>
    <t>Déroulage de câbles cuivre 6/10 à paire  - Câble supérieur à 28 paires et inférieur ou égal à 168 paires</t>
  </si>
  <si>
    <t>P3.6</t>
  </si>
  <si>
    <t>Déroulage de câbles cuivre 6/10 à paire  - Câble supérieur à 168 paires et inférieur ou égal à 336 paires</t>
  </si>
  <si>
    <t>P3.7</t>
  </si>
  <si>
    <t>Déroulage de câbles cuivre 6/10 à paire  - Câble supérieur à 336 paires et inférieur ou égal à 896 paires</t>
  </si>
  <si>
    <t>P3.8</t>
  </si>
  <si>
    <t>Déroulage de câbles cuivre 8/10 ou 10/10 à paire</t>
  </si>
  <si>
    <t>P3.9</t>
  </si>
  <si>
    <t>Déroulage de câbles cuivre 8/10 ou 10/10 à paire - Câble inférieur ou égal à 14 paires</t>
  </si>
  <si>
    <t>P3.10</t>
  </si>
  <si>
    <t>Déroulage de câbles cuivre 8/10 ou 10/10 à paire - Câble supérieur à 14 paires et inférieur ou égal à 112 paires</t>
  </si>
  <si>
    <t>P3.11</t>
  </si>
  <si>
    <t>Déroulage de câbles cuivre 12/10 à paire</t>
  </si>
  <si>
    <t>P3.12</t>
  </si>
  <si>
    <t>Déroulage de câbles cuivre 12/10 à paire - Câble inférieur ou égal à 8 paires</t>
  </si>
  <si>
    <t>P3.13</t>
  </si>
  <si>
    <t>Déroulage de câbles cuivre 12/10 à paire - Câble supérieur à 8 paires et inférieur ou égal à 28 paires</t>
  </si>
  <si>
    <t>P3.14</t>
  </si>
  <si>
    <t>Déroulage de câbles cuivre 16/10 à conducteur</t>
  </si>
  <si>
    <t>P3.15</t>
  </si>
  <si>
    <t>Déroulage de câbles cuivre 16/10 à conducteur - Câble inférieur ou égal à 14 conducteurs</t>
  </si>
  <si>
    <t>P3.16</t>
  </si>
  <si>
    <t>Déroulage de câbles cuivre 16/10 à conducteur - Câble supérieur à 14 conducteurs et inférieur ou égal à 36 conducteurs</t>
  </si>
  <si>
    <t>P3.17</t>
  </si>
  <si>
    <t>Déroulage de câbles cuivre 16/10 à conducteur - Câble supérieur à 36 conducteurs et inférieur ou égal à 60 conducteurs</t>
  </si>
  <si>
    <t>P3.18</t>
  </si>
  <si>
    <t>Déroulage câbles fibres optiques</t>
  </si>
  <si>
    <t>P3.19</t>
  </si>
  <si>
    <t>Déroulage câbles fibres optiques - Câble inférieur ou égal à 6 fibres optiques</t>
  </si>
  <si>
    <t>P3.20</t>
  </si>
  <si>
    <t>Déroulage câbles fibres optiques - Câble  supérieur à 6 fibres optiques et inférieur ou égal à 48 fibres optiques</t>
  </si>
  <si>
    <t>P3.21</t>
  </si>
  <si>
    <t>Déroulage câbles fibres optiques - Câble  supérieur à 48 fibres optiques et inférieur ou égal à 144 fibres optiques</t>
  </si>
  <si>
    <t>P3.22</t>
  </si>
  <si>
    <t>Déroulage de câble électriques</t>
  </si>
  <si>
    <t>P3.23</t>
  </si>
  <si>
    <t>Déroulage de câbles électriques - Câble inférieur ou égal à 3G10</t>
  </si>
  <si>
    <t>P3.24</t>
  </si>
  <si>
    <t xml:space="preserve">Déroulage de câbles électriques - Câble supérieur à 3G10 et inférieur ou égal à 3G16 </t>
  </si>
  <si>
    <t>P3.25</t>
  </si>
  <si>
    <t>Déroulage de câbles électriques - Câble inférieur ou égal à 4G6</t>
  </si>
  <si>
    <t>P3.26</t>
  </si>
  <si>
    <t xml:space="preserve">Déroulage de câbles électriques - Câble supérieur à 4G6 et inférieur ou égal à 4G16 </t>
  </si>
  <si>
    <t>P3.27</t>
  </si>
  <si>
    <t>Déroulage de câbles électriques - Câble inférieur ou égal à 5G6</t>
  </si>
  <si>
    <t>P3.28</t>
  </si>
  <si>
    <t xml:space="preserve">Déroulage de câbles électriques - Câble supérieur à 5G6 et inférieur ou égal à 5G16 </t>
  </si>
  <si>
    <t>P3.29</t>
  </si>
  <si>
    <t>Déroulage de câbles coaxiaux (vidéo, radio rayonnants ou radio non rayonnants)</t>
  </si>
  <si>
    <t>P3.30</t>
  </si>
  <si>
    <t>Déroulage de câbles coaxiaux vidéo</t>
  </si>
  <si>
    <t>P3.31</t>
  </si>
  <si>
    <t>Déroulage de câbles coaxiaux radio - Câble 1/2"</t>
  </si>
  <si>
    <t>P3.32</t>
  </si>
  <si>
    <t>Déroulage de câbles coaxiaux radio - Câble 7/8"</t>
  </si>
  <si>
    <t>P3.33</t>
  </si>
  <si>
    <t>Déroulage de câbles coaxiaux radio - Câble 1.1/4"</t>
  </si>
  <si>
    <t>P3.34</t>
  </si>
  <si>
    <t>Complément pour pose de câble en caniveaux</t>
  </si>
  <si>
    <t>P3.35</t>
  </si>
  <si>
    <t>Découverclage et recouverclage des caniveaux ciment : 1 dalles au mètre</t>
  </si>
  <si>
    <t>P3.36</t>
  </si>
  <si>
    <t>Découverclage et recouverclage des caniveaux ciment : 3 dalles au mètre</t>
  </si>
  <si>
    <t>P3.37</t>
  </si>
  <si>
    <t>Enlèvement du ballast sur et dans les caniveaux</t>
  </si>
  <si>
    <t>P3.38</t>
  </si>
  <si>
    <t>Peinture, toutes conditions</t>
  </si>
  <si>
    <t>P3.39</t>
  </si>
  <si>
    <t>Mise en peinture de câbles (inclus la fourniture de peinture)</t>
  </si>
  <si>
    <t>P3.40</t>
  </si>
  <si>
    <t>Détournement ou dévoiement de câbles cuivre à paire</t>
  </si>
  <si>
    <t>P3.41</t>
  </si>
  <si>
    <t>Détournement ou dévoiement de câbles cuivre à paire - Câble inférieur ou égal à 28 paires</t>
  </si>
  <si>
    <t>P3.42</t>
  </si>
  <si>
    <t>Détournement ou dévoiement de câbles cuivre à paire - Câble supérieur à 28 paires et inférieur ou égal à 168 paires</t>
  </si>
  <si>
    <t>P3.43</t>
  </si>
  <si>
    <t>Détournement ou dévoiement de câbles cuivre à paire - Câble supérieur à 168 paires et inférieur ou égal à 336 paires</t>
  </si>
  <si>
    <t>P3.44</t>
  </si>
  <si>
    <t>Détournement ou dévoiement de câbles cuivre à paire - Câble supérieur à 336 paires et inférieur ou égal à 896 paires</t>
  </si>
  <si>
    <t>P3.45</t>
  </si>
  <si>
    <t xml:space="preserve">Détournement ou dévoiement de câbles cuivre à conducteur </t>
  </si>
  <si>
    <t>P3.46</t>
  </si>
  <si>
    <t>Détournement ou dévoiement de câbles cuivre à conducteur  - Câble inférieur ou égal à 14 conducteurs</t>
  </si>
  <si>
    <t>P3.47</t>
  </si>
  <si>
    <t>Détournement ou dévoiement de câbles cuivre à conducteur  - Câble supérieur à 14 conducteurs et inférieur ou égal à 36 conducteurs</t>
  </si>
  <si>
    <t>P3.48</t>
  </si>
  <si>
    <t>Détournement ou dévoiement de câbles cuivre à conducteur  - Câble supérieur à 36 conducteurs et inférieur ou égal à 60 conducteurs</t>
  </si>
  <si>
    <t>P3.49</t>
  </si>
  <si>
    <t xml:space="preserve">Détournement ou dévoiement de câbles optiques </t>
  </si>
  <si>
    <t>P3.50</t>
  </si>
  <si>
    <t>Détournement ou dévoiement de câbles optiques - Câble inférieur ou égal à 6 fibres optiques</t>
  </si>
  <si>
    <t>P3.51</t>
  </si>
  <si>
    <t>Détournement ou dévoiement de câbles optiques  - Câble supérieur à 6 fibres optiques et inférieur ou égal à 24 fibres optiques</t>
  </si>
  <si>
    <t>P3.52</t>
  </si>
  <si>
    <t>Détournement ou dévoiement de câbles optiques  - Câble supérieur à 24 fibres optiques et inférieur ou égal à 48 fibres optiques</t>
  </si>
  <si>
    <t>P3.53</t>
  </si>
  <si>
    <t>Détournement ou dévoiement de câbles optiques  - Câble supérieur à 48 fibres optiques et inférieur ou égal à 96 fibres optiques</t>
  </si>
  <si>
    <t>P3.54</t>
  </si>
  <si>
    <t>Détournement ou dévoiement de câbles optiques  - Câble supérieur à 96 fibres optiques et inférieur ou égal à 144 fibres optiques</t>
  </si>
  <si>
    <t>P3.55</t>
  </si>
  <si>
    <t>Détournement ou dévoiement de câbles éléctriques</t>
  </si>
  <si>
    <t>P3.56</t>
  </si>
  <si>
    <t xml:space="preserve"> Détournement ou dévoiement de câbles éléctriques (3Gxx ou 4Gxx ou 5 Gxx)</t>
  </si>
  <si>
    <t>P3.57</t>
  </si>
  <si>
    <t>Détournement de nappe de câbles</t>
  </si>
  <si>
    <t>P3.58</t>
  </si>
  <si>
    <t>Détournement de nappe de câbles - Relevé de 1 à 5 câbles</t>
  </si>
  <si>
    <t>P3.59</t>
  </si>
  <si>
    <t>Détournement de nappe de câbles - Relevé de 6 à 10 câbles</t>
  </si>
  <si>
    <t>P3.60</t>
  </si>
  <si>
    <t>Détournement de nappe de câbles - Relevé de 11 à 20 câbles</t>
  </si>
  <si>
    <t>P3.61</t>
  </si>
  <si>
    <t>Détournement de nappe de câbles - Relevé de 21 à 30 câbles</t>
  </si>
  <si>
    <t>P3.62</t>
  </si>
  <si>
    <t>Détournement de nappe de câbles - Relevé de 31 à 40 câbles</t>
  </si>
  <si>
    <t>P3.63</t>
  </si>
  <si>
    <t>Mise en provisoire ou définitive de rangées de câbles</t>
  </si>
  <si>
    <t>P3.64</t>
  </si>
  <si>
    <t xml:space="preserve"> Mise en provisoire - Rangée de 1 à 10 câbles</t>
  </si>
  <si>
    <t>P3.65</t>
  </si>
  <si>
    <t xml:space="preserve"> Mise en provisoire - Rangée de + de 10 câbles</t>
  </si>
  <si>
    <t>P3.66</t>
  </si>
  <si>
    <t xml:space="preserve"> Mise en définitive - Rangée de 1 à 10 câbles</t>
  </si>
  <si>
    <t>P3.67</t>
  </si>
  <si>
    <t xml:space="preserve"> Mise en définitive - Rangée de + de 10 câbles</t>
  </si>
  <si>
    <t>P3.68</t>
  </si>
  <si>
    <t>Dépose de câbles cuivre Ethernet toutes catégorie</t>
  </si>
  <si>
    <t>P3.69</t>
  </si>
  <si>
    <t>Dépose de câbles cuivre Ethernet toute catégorie - câble 4 paires ou 2x4 paires</t>
  </si>
  <si>
    <t>P3.70</t>
  </si>
  <si>
    <t>Dépose de câbles cuivre 6/10 à paire</t>
  </si>
  <si>
    <t>P3.71</t>
  </si>
  <si>
    <t>Dépose de câbles cuivre 6/10 à paire  - câble inférieur ou égal à 28 paires</t>
  </si>
  <si>
    <t>P3.72</t>
  </si>
  <si>
    <t>Dépose de câbles cuivre 6/10 à paire  - câble supérieur à 28 paires et inférieur ou égal à 168 paires</t>
  </si>
  <si>
    <t>P3.73</t>
  </si>
  <si>
    <t>Dépose de câbles cuivre 6/10 à paire  - câble supérieur à 168 paires et inférieur ou égal à 336 paires</t>
  </si>
  <si>
    <t>P3.74</t>
  </si>
  <si>
    <t>Dépose de câbles cuivre 6/10 à paire  - câble supérieur à 336 paires et inférieur ou égal à 896 paires</t>
  </si>
  <si>
    <t>P3.75</t>
  </si>
  <si>
    <t>Dépose de câbles cuivre 8/10 ou 10/10 à paire</t>
  </si>
  <si>
    <t>P3.76</t>
  </si>
  <si>
    <t>Dépose de câbles cuivre 8/10 ou 10/10 à paire - câble inférieur ou égal à 14 paires</t>
  </si>
  <si>
    <t>P3.77</t>
  </si>
  <si>
    <t>Dépose de câbles cuivre 8/10 ou 10/10 à paire - câble supérieur à 14 paires et inférieur ou égal à 112 paires</t>
  </si>
  <si>
    <t>P3.78</t>
  </si>
  <si>
    <t>Dépose de câbles cuivre 12/10 à paire</t>
  </si>
  <si>
    <t>P3.79</t>
  </si>
  <si>
    <t>Dépose de câbles cuivre 12/10 à paire - câbles inférieur ou égal à 8 paires</t>
  </si>
  <si>
    <t>P3.80</t>
  </si>
  <si>
    <t>Dépose de câbles cuivre 12/10 à paire - câbles supérieur à 8 paires et inférieur ou égal à 28 paires</t>
  </si>
  <si>
    <t>P3.81</t>
  </si>
  <si>
    <t>Dépose de câbles cuivre 16/10 à conducteur</t>
  </si>
  <si>
    <t>P3.82</t>
  </si>
  <si>
    <t>Dépose de câbles cuivre 16/10 à conducteur - câbles inférieur ou égal à 14 conducteurs</t>
  </si>
  <si>
    <t>P3.83</t>
  </si>
  <si>
    <t>Dépose de câbles cuivre 16/10 à conducteur - câbles supérieur à 14 conducteurs et inférieur ou égal à 36 conducteurs</t>
  </si>
  <si>
    <t>P3.84</t>
  </si>
  <si>
    <t>Dépose de câbles cuivre 16/10 à conducteur - câbles supérieur à 36 conducteurs et inférieur ou égal à 60 conducteurs</t>
  </si>
  <si>
    <t>P3.85</t>
  </si>
  <si>
    <t>Dépose câbles fibres optiques</t>
  </si>
  <si>
    <t>P3.86</t>
  </si>
  <si>
    <t>Dépose câbles fibres optiques - câble inférieur ou égal à 4 fibres optiques</t>
  </si>
  <si>
    <t>P3.87</t>
  </si>
  <si>
    <t>Dépose câbles fibres optiques - câble supérieur à 4 fibres optiques et inférieur ou égal à 48 fibres optiques</t>
  </si>
  <si>
    <t>P3.88</t>
  </si>
  <si>
    <t>Dépose câbles fibres optiques - câble supérieur à 48 fibres optiques et inférieur ou égal à 144 fibres optiques</t>
  </si>
  <si>
    <t>P3.89</t>
  </si>
  <si>
    <t>Dépose de câbles électriques</t>
  </si>
  <si>
    <t>P3.90</t>
  </si>
  <si>
    <t>Dépose de câbles électriques - câble inférieur ou égal à 3G10</t>
  </si>
  <si>
    <t>P3.91</t>
  </si>
  <si>
    <t xml:space="preserve">Dépose de câbles électriques - câble supérieur à 3G10 et inférieur ou égal à 3G16 </t>
  </si>
  <si>
    <t>P3.92</t>
  </si>
  <si>
    <t>Dépose de câbles électriques - câble inférieur ou égal à 4G6</t>
  </si>
  <si>
    <t>P3.93</t>
  </si>
  <si>
    <t xml:space="preserve">Dépose de câbles électriques - câble supérieur à 4G6 et inférieur ou égal à 4G16 </t>
  </si>
  <si>
    <t>P3.94</t>
  </si>
  <si>
    <t>Dépose de câbles électriques - câble inférieur ou égal à 5G6</t>
  </si>
  <si>
    <t>P3.95</t>
  </si>
  <si>
    <t xml:space="preserve">Dépose de câbles électriques - câble supérieur à 5G6 et inférieur ou égal à 5G16 </t>
  </si>
  <si>
    <t>P3.96</t>
  </si>
  <si>
    <t>Dépose de câbles coaxiaux (vidéo, radio rayonnants ou radio non rayonnants)</t>
  </si>
  <si>
    <t>P3.97</t>
  </si>
  <si>
    <t>Dépose de câbles coaxiaux vidéo</t>
  </si>
  <si>
    <t>P3.98</t>
  </si>
  <si>
    <t>Dépose de câbles coaxiaux radio -  câble 1/2"</t>
  </si>
  <si>
    <t>P3.99</t>
  </si>
  <si>
    <t>Dépose de câbles coaxiaux radio - câble 7/8"</t>
  </si>
  <si>
    <t>P3.100</t>
  </si>
  <si>
    <t>Dépose de câbles coaxiaux radio - câble 1.1/4"</t>
  </si>
  <si>
    <t>P4</t>
  </si>
  <si>
    <t>repérage / étiquetage complémentaire</t>
  </si>
  <si>
    <t>P4.1</t>
  </si>
  <si>
    <t>Repérage des câbles par étiquettes :</t>
  </si>
  <si>
    <t>P4.2</t>
  </si>
  <si>
    <t>Etiquetage complémentaire - Pose sur câbles en section courante, tous les 50 mètres.</t>
  </si>
  <si>
    <t>P4.3</t>
  </si>
  <si>
    <t>Etiquetage complémentaire - En extrémité.</t>
  </si>
  <si>
    <t>P4.4</t>
  </si>
  <si>
    <t xml:space="preserve">Etiquetage complémentaire  - Entrée et sortie de fourreau, dévoiement, passage en voûte (amont et aval), manchons (pour chaque extrémité). </t>
  </si>
  <si>
    <t>P4.5</t>
  </si>
  <si>
    <t>Repérage des conducteurs par bague ou "osselet"</t>
  </si>
  <si>
    <t>P4.6</t>
  </si>
  <si>
    <t>Etiquetage complémentaire - Pose d'une bague ou d'un "osselet"</t>
  </si>
  <si>
    <t>P5</t>
  </si>
  <si>
    <t>Jonctions et confections d'extrémités sur câbles cuivre</t>
  </si>
  <si>
    <t>P5.1</t>
  </si>
  <si>
    <t>Jonctions droites (manchonnage) sur câbles à paires de 6/10mm à 10/10mm</t>
  </si>
  <si>
    <t>P5.2</t>
  </si>
  <si>
    <t>Manchonnage sur câble à paires - inférieur ou égal 14 paires</t>
  </si>
  <si>
    <t>P5.3</t>
  </si>
  <si>
    <t>Manchonnage sur câble à paires - supérieur à 14 paires et inférieur ou égal à 38 paires</t>
  </si>
  <si>
    <t>P5.4</t>
  </si>
  <si>
    <t>Manchonnage sur câble à paires - supérieur à 38 paires et inférieur ou égal à 56 paires</t>
  </si>
  <si>
    <t>P5.5</t>
  </si>
  <si>
    <t>Manchonnage sur câble à paires - supérieur à 56 paires et inférieur ou égal à 112 paires</t>
  </si>
  <si>
    <t>P5.6</t>
  </si>
  <si>
    <t>Manchonnage sur câble à paires - Par 56 paires complémentaires au-delà de 112 paires</t>
  </si>
  <si>
    <t>P5.7</t>
  </si>
  <si>
    <t>Jonctions droites (manchonnage) sur câbles à conducteurs de 16/10mm</t>
  </si>
  <si>
    <t>P5.8</t>
  </si>
  <si>
    <t>Manchonnage sur câble à conducteur - inférieur ou égal 8 conducteurs</t>
  </si>
  <si>
    <t>P5.9</t>
  </si>
  <si>
    <t>Manchonnage sur câble à conducteur - supérieur à 8 conducteurs et inférieur ou égal à 24 conducteurs</t>
  </si>
  <si>
    <t>P5.10</t>
  </si>
  <si>
    <t>Manchonnage sur câble à conducteur - supérieur à 24 conducteurs et inférieur ou égal à 36 conducteurs</t>
  </si>
  <si>
    <t>P5.11</t>
  </si>
  <si>
    <t>Manchonnage sur câble à conducteur - supérieur à 36 conducteurs et inférieur ou égal à 60 conducteurs</t>
  </si>
  <si>
    <t>P5.12</t>
  </si>
  <si>
    <t>Confection d'extrémité de têtes de câble à connexion ressort, soudées, vissées, wrappées ou CAD</t>
  </si>
  <si>
    <t>P5.13</t>
  </si>
  <si>
    <t>Confection de tête de câble à connexion ressort, soudées, vissées, wrappées ou CAD  - inférieur ou égal 14 paires</t>
  </si>
  <si>
    <t>P5.14</t>
  </si>
  <si>
    <t>Confection de tête de câble à connexion ressort, soudées, vissées, wrappées ou CAD - supérieur à 14 paires et inférieur ou égal à 38 paires</t>
  </si>
  <si>
    <t>P5.15</t>
  </si>
  <si>
    <t>Confection de tête de câble à connexion ressort, soudées, vissées, wrappées ou CAD - supérieur à 38 paires et inférieur ou égal à 56 paires</t>
  </si>
  <si>
    <t>P5.16</t>
  </si>
  <si>
    <t>Confection de tête de câble à connexion ressort, soudées, vissées, wrappées ou CAD - supérieur à 56 paires et inférieur ou égal à 112 paires</t>
  </si>
  <si>
    <t>P5.17</t>
  </si>
  <si>
    <t>Confection de tête de câble à connexion ressort, soudées, vissées, wrappées ou CAD - Par 56 paires complémentaires au-delà de 112 paires</t>
  </si>
  <si>
    <t>P5.18</t>
  </si>
  <si>
    <t>Confection d'extrémité de têtes de câble tous types de tête pour câbles à conducteurs 16/10</t>
  </si>
  <si>
    <t>P5.19</t>
  </si>
  <si>
    <t>Confection de tête de câble sur câble à conducteurs - inférieur ou égal 8 conducteurs</t>
  </si>
  <si>
    <t>P5.20</t>
  </si>
  <si>
    <t>Confection de tête de câble sur câble à conducteurs - supérieur à 8 conducteurs et inférieur ou égal à 24 conducteurs</t>
  </si>
  <si>
    <t>P5.21</t>
  </si>
  <si>
    <t>Confection de tête de câble sur câble à conducteurs - supérieur à 24 conducteurs et inférieur ou égal à 36 conducteurs</t>
  </si>
  <si>
    <t>P5.22</t>
  </si>
  <si>
    <t>Confection de tête de câble sur câble à conducteurs - supérieur à 36 conducteurs et inférieur ou égal à 60 conducteurs</t>
  </si>
  <si>
    <t>P5.23</t>
  </si>
  <si>
    <t>Confection d'extrémité de têtes de câble RJ45</t>
  </si>
  <si>
    <t>P5.24</t>
  </si>
  <si>
    <t>Confection de tête RJ45 - Câble 4 paires ou 2x4 paires câble catégorie 5, 5E, 6</t>
  </si>
  <si>
    <t>P5.25</t>
  </si>
  <si>
    <t>Confection de tête RJ45 - Câble inférieur à égal 14 paires de 6/10</t>
  </si>
  <si>
    <t>P5.26</t>
  </si>
  <si>
    <t>Confection de tête RJ45 - Câble supérieur à 14 paires et inférieur ou égal à 38 paires de 6/10</t>
  </si>
  <si>
    <t>P5.27</t>
  </si>
  <si>
    <t>Confection de tête RJ45 - Câble supérieur à 38 paires et inférieur ou égal à 56 paires de 6/10</t>
  </si>
  <si>
    <t>P5.28</t>
  </si>
  <si>
    <t>Confection de tête RJ45 - Câble supérieur à 56 paires et inférieur ou égal à 112 paires de 6/10</t>
  </si>
  <si>
    <t>P6</t>
  </si>
  <si>
    <t>Jonctions et confections d'extrémités sur câbles coaxiaux</t>
  </si>
  <si>
    <t>P6.1</t>
  </si>
  <si>
    <t>Confection d'extrémité  de câble</t>
  </si>
  <si>
    <t>P6.2</t>
  </si>
  <si>
    <t xml:space="preserve"> Câble coaxial vidéo - Confection de connecteur </t>
  </si>
  <si>
    <t>P6.3</t>
  </si>
  <si>
    <t xml:space="preserve"> Câble coaxial radio - Confection de connecteur </t>
  </si>
  <si>
    <t>P6.4</t>
  </si>
  <si>
    <t>Jonction d'extrémité  de câble</t>
  </si>
  <si>
    <t>P6.5</t>
  </si>
  <si>
    <t xml:space="preserve"> Câble coaxial - Pose de bretelle</t>
  </si>
  <si>
    <t>P7</t>
  </si>
  <si>
    <t>Jonctions et Confection d’extrémités sur câbles optiques</t>
  </si>
  <si>
    <t>P7.1</t>
  </si>
  <si>
    <t>Confection d’une tête optique à épissures sur câble fibres à Tubes libres</t>
  </si>
  <si>
    <t>P7.2</t>
  </si>
  <si>
    <t>Confection d’une tête optique à épissures - inférieur ou égal à 24 fibres optiques</t>
  </si>
  <si>
    <t>P7.3</t>
  </si>
  <si>
    <t>Confection d’une tête optique à épissures - supérieur à 24 fibres optiques et inférieur ou égal à 48 fibres optiques</t>
  </si>
  <si>
    <t>P7.4</t>
  </si>
  <si>
    <t>Confection d’une tête optique à épissures - supérieur à 48 fibres optiques et inférieur ou égal à 96 fibres optiques</t>
  </si>
  <si>
    <t>P7.5</t>
  </si>
  <si>
    <t>Confection d’une tête optique à épissures - supérieur à 96 fibres optiques et inférieur ou égal à 144 fibres optiques</t>
  </si>
  <si>
    <t>P7.6</t>
  </si>
  <si>
    <t>Confection d'une tête optique à connecteurs ou à jarretières sur câble fibres à Tubes libres</t>
  </si>
  <si>
    <t>P7.7</t>
  </si>
  <si>
    <t>Confection d'une tête optique à connecteurs - inférieur ou égal à 6 fibres optiques</t>
  </si>
  <si>
    <t>P7.8</t>
  </si>
  <si>
    <t>Confection d'une tête optique à connecteurs - supérieur à 6 fibres optiques et inférieur ou égal à 24 fibres optiques</t>
  </si>
  <si>
    <t>P7.9</t>
  </si>
  <si>
    <t>Confection d'une tête optique à connecteurs - supérieur à 24 fibres optiques et inférieur ou égal à 48 fibres optiques</t>
  </si>
  <si>
    <t>P7.10</t>
  </si>
  <si>
    <t>Confection d'une tête à dérivation ou d'un manchon soudé sur câble fibres à Tubes libres</t>
  </si>
  <si>
    <t>P7.11</t>
  </si>
  <si>
    <t>Confection d'une tête à dérivation ou d'un manchon - inférieur ou égal à 24 fusions</t>
  </si>
  <si>
    <t>P7.12</t>
  </si>
  <si>
    <t>Confection d'une tête à dérivation ou d'un manchon - supérieur à 24 fusions et inférieur ou égal à 48 fusions</t>
  </si>
  <si>
    <t>P7.13</t>
  </si>
  <si>
    <t>Confection d'une tête à dérivation ou d'un manchon - supérieur à 48 fusions et inférieur ou égal à 96 fusions</t>
  </si>
  <si>
    <t>P7.14</t>
  </si>
  <si>
    <t>Confection d'une tête à dérivation ou d'un manchon - supérieur à 96 fusions et inférieur ou égal à 144 fusions</t>
  </si>
  <si>
    <t>P7.15</t>
  </si>
  <si>
    <t>Confection d'une tête à dérivation ou d'un manchon - Par 24 fusions complémentaires au-delà de 144 fusions</t>
  </si>
  <si>
    <t>P7.16</t>
  </si>
  <si>
    <t xml:space="preserve">Réalisation de site de manchonnage </t>
  </si>
  <si>
    <t>P7.17</t>
  </si>
  <si>
    <t xml:space="preserve">Réalisation de site de manchonnage  - En aérien ou en tunnel </t>
  </si>
  <si>
    <t>P7.18</t>
  </si>
  <si>
    <t>Réalisation de site de manchonnage  - Dans un local technique ou en sous quai</t>
  </si>
  <si>
    <t>P7.19</t>
  </si>
  <si>
    <t>Confection d’une tête optique sur câble fibres à Jonc Rainuré (Tête à Épissure)</t>
  </si>
  <si>
    <t>P7.20</t>
  </si>
  <si>
    <t>Confection d’une tête optique sur câble fibres à Jonc Rainuré - Pour 6 à 24 fibres optiques</t>
  </si>
  <si>
    <t>P8</t>
  </si>
  <si>
    <t>Constitution de circuit</t>
  </si>
  <si>
    <t>P8.1</t>
  </si>
  <si>
    <t>Constitution de circuit filaire cuivre</t>
  </si>
  <si>
    <t>P8.2</t>
  </si>
  <si>
    <t xml:space="preserve"> Constitution de circuit cuivre avec intervention sur 1 site au plus</t>
  </si>
  <si>
    <t>P8.3</t>
  </si>
  <si>
    <t xml:space="preserve"> Constitution de circuit cuivre avec intervention sur 3 site au plus</t>
  </si>
  <si>
    <t>P8.4</t>
  </si>
  <si>
    <t xml:space="preserve"> Constitution de circuit cuivre avec intervention sur 5 site au plus</t>
  </si>
  <si>
    <t>P8.5</t>
  </si>
  <si>
    <t xml:space="preserve"> Constitution de circuit cuivre - Supplément pour intervention au-delà de 5 sites, par 3 sites supplémentaires</t>
  </si>
  <si>
    <t>P8.6</t>
  </si>
  <si>
    <t>Constitution de circuit cuivre - forfait journalier</t>
  </si>
  <si>
    <t>P8.7</t>
  </si>
  <si>
    <t>Constitution de circuit fibres optiques</t>
  </si>
  <si>
    <t>P8.8</t>
  </si>
  <si>
    <t xml:space="preserve"> Constitution de circuit optique avec intervention sur 1 site au plus</t>
  </si>
  <si>
    <t>P8.9</t>
  </si>
  <si>
    <t xml:space="preserve"> Constitution de circuit optique avec intervention sur 3 site au plus</t>
  </si>
  <si>
    <t>P8.10</t>
  </si>
  <si>
    <t xml:space="preserve"> Constitution de circuit optique avec intervention sur 5 site au plus</t>
  </si>
  <si>
    <t>P8.11</t>
  </si>
  <si>
    <t xml:space="preserve"> Constitution de circuit optique - Supplément pour intervention au-delà de 5 sites, par 3 sites supplémentaires</t>
  </si>
  <si>
    <t>P8.12</t>
  </si>
  <si>
    <t xml:space="preserve"> Constitution de circuit optique - forfait journalier</t>
  </si>
  <si>
    <t>P8.13</t>
  </si>
  <si>
    <t xml:space="preserve"> Mise à niveau de connecteurs sur têtes EC (mise en place de connecteurs SC/APC) ; par circuit</t>
  </si>
  <si>
    <t>P8.14</t>
  </si>
  <si>
    <t>Dépose de circuit filaire cuivre</t>
  </si>
  <si>
    <t>P8.15</t>
  </si>
  <si>
    <t xml:space="preserve"> Dépose de circuit cuivre avec intervention sur 1 site au plus</t>
  </si>
  <si>
    <t>P8.16</t>
  </si>
  <si>
    <t xml:space="preserve"> Dépose de circuit cuivre avec intervention sur 3 site au plus</t>
  </si>
  <si>
    <t>P8.17</t>
  </si>
  <si>
    <t xml:space="preserve"> Dépose de circuit cuivre avec intervention sur 5 site au plus</t>
  </si>
  <si>
    <t>P8.18</t>
  </si>
  <si>
    <t xml:space="preserve"> Dépose de circuit cuivre - Supplément pour intervention au-delà de 5 sites, par 3 sites supplémentaires</t>
  </si>
  <si>
    <t>P8.19</t>
  </si>
  <si>
    <t>Dépose de circuit cuivre - forfait journalier</t>
  </si>
  <si>
    <t>P8.20</t>
  </si>
  <si>
    <t>Dépose de circuit fibres optiques</t>
  </si>
  <si>
    <t>P8.21</t>
  </si>
  <si>
    <t xml:space="preserve"> Dépose de circuit optique avec intervention sur 1 site au plus</t>
  </si>
  <si>
    <t>P8.22</t>
  </si>
  <si>
    <t xml:space="preserve"> Dépose de circuit optique avec intervention sur 3 site au plus</t>
  </si>
  <si>
    <t>P8.23</t>
  </si>
  <si>
    <t xml:space="preserve"> Dépose de circuit optique avec intervention sur 5 site au plus</t>
  </si>
  <si>
    <t>P8.24</t>
  </si>
  <si>
    <t xml:space="preserve"> Dépose de circuit optique - Supplément pour intervention au-delà de 5 sites, par 3 sites supplémentaires</t>
  </si>
  <si>
    <t>P8.25</t>
  </si>
  <si>
    <t xml:space="preserve"> Dépose de circuit optique - forfait journalier</t>
  </si>
  <si>
    <t>P8.26</t>
  </si>
  <si>
    <t>Modification de circuit filaire cuivre</t>
  </si>
  <si>
    <t>P8.27</t>
  </si>
  <si>
    <t xml:space="preserve"> Modification de circuit cuivre avec intervention sur 1 site au plus</t>
  </si>
  <si>
    <t>P8.28</t>
  </si>
  <si>
    <t xml:space="preserve"> Modification de circuit cuivre avec intervention sur 3 site au plus</t>
  </si>
  <si>
    <t>P8.29</t>
  </si>
  <si>
    <t xml:space="preserve"> Modification de circuit cuivre avec intervention sur 5 site au plus</t>
  </si>
  <si>
    <t>P8.30</t>
  </si>
  <si>
    <t xml:space="preserve"> Modification de circuit cuivre - Supplément pour intervention au-delà de 5 sites, par 3 sites supplémentaires</t>
  </si>
  <si>
    <t>P8.31</t>
  </si>
  <si>
    <t>Modification de circuit cuivre - forfait journalier</t>
  </si>
  <si>
    <t>P8.32</t>
  </si>
  <si>
    <t>Modification de circuit fibres optiques</t>
  </si>
  <si>
    <t>P8.33</t>
  </si>
  <si>
    <t xml:space="preserve"> Modification de circuit optique avec intervention sur 1 site au plus</t>
  </si>
  <si>
    <t>P8.34</t>
  </si>
  <si>
    <t xml:space="preserve"> Modification de circuit optique avec intervention sur 3 site au plus</t>
  </si>
  <si>
    <t>P8.35</t>
  </si>
  <si>
    <t xml:space="preserve"> Modification de circuit optique avec intervention sur 5 site au plus</t>
  </si>
  <si>
    <t>P8.36</t>
  </si>
  <si>
    <t xml:space="preserve"> Modification de circuit optique - Supplément pour intervention au-delà de 5 sites, par 3 sites supplémentaires</t>
  </si>
  <si>
    <t>P8.37</t>
  </si>
  <si>
    <t xml:space="preserve"> Modification de circuit optique - forfait journalier</t>
  </si>
  <si>
    <t>P8.38</t>
  </si>
  <si>
    <t>Mutation de circuit cuivre</t>
  </si>
  <si>
    <t>P8.39</t>
  </si>
  <si>
    <t xml:space="preserve"> Mutation de circuit cuivre - Sur 2 sites simultanément</t>
  </si>
  <si>
    <t>P8.40</t>
  </si>
  <si>
    <t xml:space="preserve"> Mutation de circuit cuivre - Supplément par circuit supplémentaire sur les mêmes sites</t>
  </si>
  <si>
    <t>P8.41</t>
  </si>
  <si>
    <t>Mutation de circuit fibre optique</t>
  </si>
  <si>
    <t>P8.42</t>
  </si>
  <si>
    <t xml:space="preserve"> Mutation de circuit optique - Sur 2 sites simultanément</t>
  </si>
  <si>
    <t>P8.43</t>
  </si>
  <si>
    <t xml:space="preserve"> Mutation de circuit optique - Supplément par circuit supplémentaire sur les mêmes sites</t>
  </si>
  <si>
    <t>P9</t>
  </si>
  <si>
    <t xml:space="preserve">Mesure </t>
  </si>
  <si>
    <t>P9.1</t>
  </si>
  <si>
    <t>Elaboration d'un dossier de réception d’un circuit cuivre constitué, mesures comprises</t>
  </si>
  <si>
    <t>P9.2</t>
  </si>
  <si>
    <t>Elaboration d'un dossier de réception d’un circuit cuivre - Par circuit sur câble à paires suite à réalisation</t>
  </si>
  <si>
    <t>P9.3</t>
  </si>
  <si>
    <t>Elaboration d'un dossier de réception d’un circuit cuivre - Par circuit existant sur câble à paires</t>
  </si>
  <si>
    <t>P9.4</t>
  </si>
  <si>
    <t>Elaboration d'un dossier de réception d’un circuit cuivre - Par circuit sur câble à paire ou à conducteurs suite à réalisation, mesure uniquement de la résistance de boucle</t>
  </si>
  <si>
    <t>P9.5</t>
  </si>
  <si>
    <t>Elaboration d'un dossier de réception d’un circuit cuivre - Par circuit existant sur câble à paire ou à conducteurs, mesure uniquement de la résistance de boucle</t>
  </si>
  <si>
    <t>P9.6</t>
  </si>
  <si>
    <t>Elaboration d'un dossier de réception d’un câble cuivre, mesures comprises</t>
  </si>
  <si>
    <t>P9.7</t>
  </si>
  <si>
    <t>Elaboration d'un dossier de réception d’un câble cuivre - Câble inférieur ou égal à 112 paires suite à réalisation</t>
  </si>
  <si>
    <t>P9.8</t>
  </si>
  <si>
    <t>Elaboration d'un dossier de réception d’un câble cuivre - Complément par 56 paires supplémentaires suite à réalisation</t>
  </si>
  <si>
    <t>P9.9</t>
  </si>
  <si>
    <t xml:space="preserve">Elaboration d'un dossier de réception d’un câble cuivre - Câble existant inférieur ou égal à 112 </t>
  </si>
  <si>
    <t>P9.10</t>
  </si>
  <si>
    <t>Elaboration d'un dossier de réception d’un câble cuivre - Complément pour câble existant par 56 paires supplémentaires</t>
  </si>
  <si>
    <t>P9.11</t>
  </si>
  <si>
    <t>Elaboration d'un dossier de réception d’un câble cuivre - Câble inférieur ou égal à 60 conducteurs suite à réalisation</t>
  </si>
  <si>
    <t>P9.12</t>
  </si>
  <si>
    <t>Elaboration d'un dossier de réception d’un câble cuivre - Câble existant inférieur ou égal à 60 conducteurs</t>
  </si>
  <si>
    <t>P9.13</t>
  </si>
  <si>
    <t>Elaboration d'un dossier de réception d’un câble catégorie 5, 5E ou 6, mesures comprises</t>
  </si>
  <si>
    <t>P9.14</t>
  </si>
  <si>
    <t>Elaboration d'un dossier de réception d’un câble catégorie 5, 5E, 6 ou plus - Câble 4 paires ou 2x4 paires suite à réalisation</t>
  </si>
  <si>
    <t>P9.15</t>
  </si>
  <si>
    <t>Elaboration d'un dossier de réception d’un câble catégorie 5, 5E, 6 ou plus - Câble existant 4 paires ou 2x4 paires</t>
  </si>
  <si>
    <t>P9.16</t>
  </si>
  <si>
    <t>Elaboration d'un dossier de reception de liaison modem, SHDSL, E1-G703 ou bande de base, mesures comprises</t>
  </si>
  <si>
    <t>P9.17</t>
  </si>
  <si>
    <t>Elaboration d'un dossier de reception de liaison modem, SHDSL, E1-G703 ou bande de base - Par liaison suite à réalisation</t>
  </si>
  <si>
    <t>P9.18</t>
  </si>
  <si>
    <t>Elaboration d'un dossier de reception de liaison modem, SHDSL, E1-G703 ou bande de base - Par liaison existante</t>
  </si>
  <si>
    <t>P9.19</t>
  </si>
  <si>
    <t>Elaboration d'un dossier de reception d’un circuit fibre optique, mesures comprises</t>
  </si>
  <si>
    <t>P9.20</t>
  </si>
  <si>
    <t>Elaboration d'un dossier de reception d’un circuit fibre optique - Par circuit suite à réalisation</t>
  </si>
  <si>
    <t>P9.21</t>
  </si>
  <si>
    <t>Elaboration d'un dossier de reception d’un circuit fibre optique - Par circuit existant</t>
  </si>
  <si>
    <t>P9.22</t>
  </si>
  <si>
    <t>Elaboration d'un dossier de reception d’un circuit fibre optique - Mise en service différée par circuit</t>
  </si>
  <si>
    <t>P9.23</t>
  </si>
  <si>
    <t xml:space="preserve">Elaboration d'un dossier de reception d'un câble optique, mesures comprises </t>
  </si>
  <si>
    <t>P9.24</t>
  </si>
  <si>
    <t>Elaboration d'un dossier de reception d'un câble optique - Par câble suite à réalisation à extrémités connecteurs ou jarretières</t>
  </si>
  <si>
    <t>P9.25</t>
  </si>
  <si>
    <t>Elaboration d'un dossier de reception d'un câble optique - Par câble  suite à réalisation à extrémités épissures jusqu'à 24 fibres optiques</t>
  </si>
  <si>
    <t>P9.26</t>
  </si>
  <si>
    <t>Elaboration d'un dossier de reception d'un câble optique - Complément pour câble suite à réalisation par 24 fo épissures supplémentaires</t>
  </si>
  <si>
    <t>P9.27</t>
  </si>
  <si>
    <t>Elaboration d'un dossier de reception d'un câble optique - Par câble existant à extrémités connecteurs ou jarretières</t>
  </si>
  <si>
    <t>P9.28</t>
  </si>
  <si>
    <t>Elaboration d'un dossier de reception d'un câble optique - Par câble existant à extrémités épissures jusqu'à 24 fibres optiques</t>
  </si>
  <si>
    <t>P9.29</t>
  </si>
  <si>
    <t>Elaboration d'un dossier de reception d'un câble optique - Complément pour câble existant par 24 fo épissures supplémentaires</t>
  </si>
  <si>
    <t>P9.30</t>
  </si>
  <si>
    <t>Elaboration d'un dossier de qualification Radio, mesures et cahier de mesure compris</t>
  </si>
  <si>
    <t>P9.31</t>
  </si>
  <si>
    <t>Elaboration d'un dossier de qualification Radio - de 1 à 3 tronçons</t>
  </si>
  <si>
    <t>P9.32</t>
  </si>
  <si>
    <t>Elaboration d'un dossier de qualification Radio - de 4 à 10 tronçons</t>
  </si>
  <si>
    <t>P9.33</t>
  </si>
  <si>
    <t>Elaboration d'un dossier de qualification Radio - de 11 à 25 tronçons</t>
  </si>
  <si>
    <t>P9.34</t>
  </si>
  <si>
    <t xml:space="preserve"> Elaboration d'un dossier de qualification Radio - Complément au delà 25 tronçons, par 5 tronçons supplémentaires</t>
  </si>
  <si>
    <t>P10</t>
  </si>
  <si>
    <t>Recherche de défaut sur câble en service</t>
  </si>
  <si>
    <t>P10.1</t>
  </si>
  <si>
    <t>Défauts sur câbles Cuivre</t>
  </si>
  <si>
    <t>P10.2</t>
  </si>
  <si>
    <t>Recherche de défauts sur câbles Cuivre</t>
  </si>
  <si>
    <t>P10.3</t>
  </si>
  <si>
    <t>Confirmation de défauts sur câbles Cuivre</t>
  </si>
  <si>
    <t>P10.4</t>
  </si>
  <si>
    <t>Défauts sur câbles ou circuits Fibres Optiques</t>
  </si>
  <si>
    <t>P10.5</t>
  </si>
  <si>
    <t>Recherche de défauts sur câbles ou circuits Fibres Optiques</t>
  </si>
  <si>
    <t>P11</t>
  </si>
  <si>
    <t>Intégration d'équipement</t>
  </si>
  <si>
    <t>P11.1</t>
  </si>
  <si>
    <t>Baie et coffret</t>
  </si>
  <si>
    <t>P11.2</t>
  </si>
  <si>
    <t>Installation/pose de baie TELECOM (tous types)</t>
  </si>
  <si>
    <t>P11.3</t>
  </si>
  <si>
    <t>Installation/pose d'une chaise</t>
  </si>
  <si>
    <t>P11.4</t>
  </si>
  <si>
    <t>Installation/pose d'un socle ou réhausse</t>
  </si>
  <si>
    <t>P11.5</t>
  </si>
  <si>
    <t>Installation/pose de coffret mural TELECOM</t>
  </si>
  <si>
    <t>P11.6</t>
  </si>
  <si>
    <t>Installation/pose de coffret de brassage (tous types)</t>
  </si>
  <si>
    <t>P11.7</t>
  </si>
  <si>
    <t>Installation d'un Module de Transfert d'Alimentation de type Riello UPS IRMA ou équivalent</t>
  </si>
  <si>
    <t>P11.8</t>
  </si>
  <si>
    <t>Installation/pose d'un redresseur 48V de type ELTEK ou équivalent</t>
  </si>
  <si>
    <t>P11.9</t>
  </si>
  <si>
    <t>Installation/pose d’équipement actif TELECOM</t>
  </si>
  <si>
    <t>P11.10</t>
  </si>
  <si>
    <t>Reprise ou mise en conformité de l’alimentation électrique d’une baie ou d'un coffret - Par reprise ou mise en conformité</t>
  </si>
  <si>
    <t>P11.11</t>
  </si>
  <si>
    <t>Nettoyage, dépoussièrage de baies ou coffrets - Par nettoyage</t>
  </si>
  <si>
    <t>P11.12</t>
  </si>
  <si>
    <t xml:space="preserve"> Dépose d'une armoire simple jusqu'à 42 U.</t>
  </si>
  <si>
    <t>P11.13</t>
  </si>
  <si>
    <t xml:space="preserve"> Dépose d'une armoire double.</t>
  </si>
  <si>
    <t>P11.14</t>
  </si>
  <si>
    <t xml:space="preserve"> Dépose d'un coffret.</t>
  </si>
  <si>
    <t>P11.15</t>
  </si>
  <si>
    <t>Répartiteur</t>
  </si>
  <si>
    <t>P11.16</t>
  </si>
  <si>
    <t>Confection et pose d'un répartiteur - Assemblage et pose de fermes par 2 fermes simple face</t>
  </si>
  <si>
    <t>P11.17</t>
  </si>
  <si>
    <t>Confection et pose d'un répartiteur - Assemblage et pose de fermes par 2 fermes double faces</t>
  </si>
  <si>
    <t>P11.18</t>
  </si>
  <si>
    <t>Ajout de ferme sur répartiteur existant - Par ferme supplémentaire simple face</t>
  </si>
  <si>
    <t>P11.19</t>
  </si>
  <si>
    <t>Ajout de ferme sur répartiteur existant - Par ferme supplémentaire double faces</t>
  </si>
  <si>
    <t>P11.20</t>
  </si>
  <si>
    <t>Confection et pose d'une toiture de répartiteur sur répartiteur existant - Par toiture</t>
  </si>
  <si>
    <t>P11.21</t>
  </si>
  <si>
    <t>Dépose de répartiteur- châssis ou répartiteur 2 fermes</t>
  </si>
  <si>
    <t>P11.22</t>
  </si>
  <si>
    <t>Dépose de répartiteur - Complément pour dépose de répartiteur supérieur à 2 fermes (par ferme supplémentaire)</t>
  </si>
  <si>
    <t>P12</t>
  </si>
  <si>
    <t>Radio</t>
  </si>
  <si>
    <t>P12.1</t>
  </si>
  <si>
    <t>Pose et intégration d'équipement Radio</t>
  </si>
  <si>
    <t>P12.2</t>
  </si>
  <si>
    <t>Pose Coupleur</t>
  </si>
  <si>
    <t>P12.3</t>
  </si>
  <si>
    <t xml:space="preserve">Pose Charge </t>
  </si>
  <si>
    <t>P12.4</t>
  </si>
  <si>
    <t xml:space="preserve">Pose Atténuateur </t>
  </si>
  <si>
    <t>P12.5</t>
  </si>
  <si>
    <t>Pose DC Block</t>
  </si>
  <si>
    <t>P12.6</t>
  </si>
  <si>
    <t>Pose Multi-coupleur</t>
  </si>
  <si>
    <t>P12.7</t>
  </si>
  <si>
    <t>Pose Antenne</t>
  </si>
  <si>
    <t>P12.8</t>
  </si>
  <si>
    <t>Pose Plan de masse</t>
  </si>
  <si>
    <t>P12.9</t>
  </si>
  <si>
    <t>Pose de mât antennaire</t>
  </si>
  <si>
    <t>P12.10</t>
  </si>
  <si>
    <t xml:space="preserve">Installation/pose de d’équipement radio - Par installation </t>
  </si>
  <si>
    <t>P12.11</t>
  </si>
  <si>
    <t>Dépose d'équipement Radio</t>
  </si>
  <si>
    <t>P12.12</t>
  </si>
  <si>
    <t>Dépose Coupleur</t>
  </si>
  <si>
    <t>P12.13</t>
  </si>
  <si>
    <t xml:space="preserve">Dépose Charge </t>
  </si>
  <si>
    <t>P12.14</t>
  </si>
  <si>
    <t xml:space="preserve">Dépose Atténuateur </t>
  </si>
  <si>
    <t>P12.15</t>
  </si>
  <si>
    <t>Dépose DC Block</t>
  </si>
  <si>
    <t>P12.16</t>
  </si>
  <si>
    <t>Dépose Multi-coupleur</t>
  </si>
  <si>
    <t>P12.17</t>
  </si>
  <si>
    <t>Dépose antenne</t>
  </si>
  <si>
    <t>P12.18</t>
  </si>
  <si>
    <t>Dépose Plan de masse</t>
  </si>
  <si>
    <t>P12.19</t>
  </si>
  <si>
    <t>Dépose de mât antennaire</t>
  </si>
  <si>
    <t>P13</t>
  </si>
  <si>
    <t>Aménagement divers</t>
  </si>
  <si>
    <t>P13.1</t>
  </si>
  <si>
    <t>Aménagement dans des locaux techniques</t>
  </si>
  <si>
    <t>P13.2</t>
  </si>
  <si>
    <t>Découpe de dalles ou de faux plancher.</t>
  </si>
  <si>
    <t>m²</t>
  </si>
  <si>
    <t>P13.3</t>
  </si>
  <si>
    <t>Démontage et remise en place de faux plancher.</t>
  </si>
  <si>
    <t>P13.4</t>
  </si>
  <si>
    <t>Percement pour fourreau de Ø 150 dans une cloison</t>
  </si>
  <si>
    <t>P13.5</t>
  </si>
  <si>
    <t>Débouchage d’un fourreau.</t>
  </si>
  <si>
    <t>P13.6</t>
  </si>
  <si>
    <t>Dépose et repose d’un escalier métallique de bout de quai.</t>
  </si>
  <si>
    <t>P13.7</t>
  </si>
  <si>
    <t>Ouverture et fermeture d’un coupe-feu.</t>
  </si>
  <si>
    <t>P13.8</t>
  </si>
  <si>
    <t>Pose et dépose de poteau en ciment</t>
  </si>
  <si>
    <t>P13.9</t>
  </si>
  <si>
    <t>Pose de poteau en ciment</t>
  </si>
  <si>
    <t>P13.10</t>
  </si>
  <si>
    <t>Dépose de poteau en ciment</t>
  </si>
  <si>
    <t>P14</t>
  </si>
  <si>
    <t>Installations électriques</t>
  </si>
  <si>
    <t>P14.1</t>
  </si>
  <si>
    <t>Dans des locaux techniques ou équipements</t>
  </si>
  <si>
    <t>P14.2</t>
  </si>
  <si>
    <t>Pose d'un disjoncteur ou coupe circuit.</t>
  </si>
  <si>
    <t>P14.3</t>
  </si>
  <si>
    <t>Pose d'une prise de courant.</t>
  </si>
  <si>
    <t>P14.4</t>
  </si>
  <si>
    <t>Réalisation d'un circuit d'éclairage.</t>
  </si>
  <si>
    <t>P15</t>
  </si>
  <si>
    <t>Manutentions et transports</t>
  </si>
  <si>
    <t>P15.1</t>
  </si>
  <si>
    <t>Train de travaux</t>
  </si>
  <si>
    <t>P15.2</t>
  </si>
  <si>
    <t>Le chargement et déchargement d’un train de travaux en une demi-journée.</t>
  </si>
  <si>
    <t>P15.3</t>
  </si>
  <si>
    <t>Le chargement et déchargement d’un train de travaux en une journée.</t>
  </si>
  <si>
    <t>P15.4</t>
  </si>
  <si>
    <t>Véhicule jusqu'à 3,5T avec chauffeur et agents de manutention</t>
  </si>
  <si>
    <t>P15.5</t>
  </si>
  <si>
    <t>Véhicule avec chauffeur et agents de manutention - Charge utile : 1 à 3,5 tonnes           la ½ journée (4h)</t>
  </si>
  <si>
    <t>P15.6</t>
  </si>
  <si>
    <t>Véhicule avec chauffeur et agents de manutention  - Charge utile : 1 à 3,5 tonnes           la journée (8h)</t>
  </si>
  <si>
    <t>P16</t>
  </si>
  <si>
    <t>Echaffaudage et nacelles</t>
  </si>
  <si>
    <t>P16.1</t>
  </si>
  <si>
    <t>Echaffaudage</t>
  </si>
  <si>
    <t>P16.2</t>
  </si>
  <si>
    <t>Echafaudage &lt; 10m, avec montage/démontage en jour, par journée</t>
  </si>
  <si>
    <t>P16.3</t>
  </si>
  <si>
    <t>Echafaudage &lt; 10m, avec montage/démontage en nuit, par journée</t>
  </si>
  <si>
    <t>P16.4</t>
  </si>
  <si>
    <t>Nacelle</t>
  </si>
  <si>
    <t>P16.5</t>
  </si>
  <si>
    <t>Nacelle &lt; 10m, forfait pour une journée</t>
  </si>
  <si>
    <t>P16.6</t>
  </si>
  <si>
    <t>Nacelle &lt; 10m, forfait pour un mois</t>
  </si>
  <si>
    <t>P16.7</t>
  </si>
  <si>
    <t>Nacelle &lt; 10m, Complément par journée supplémentaire</t>
  </si>
  <si>
    <t>P17</t>
  </si>
  <si>
    <t>Travaux en environnements spécifiques</t>
  </si>
  <si>
    <t>P17.1</t>
  </si>
  <si>
    <t>Travaux en SS4 : mise en œuvre (vacation)</t>
  </si>
  <si>
    <t>P17.2</t>
  </si>
  <si>
    <t>Mise en œuvre du mode opératoire SS4 pour percements - la vacation équipe</t>
  </si>
  <si>
    <t>P17.3</t>
  </si>
  <si>
    <t>Mise en œuvre du mode opératoire SS4 pour tirage de câbles en fourreaux - la vacation équipe</t>
  </si>
  <si>
    <t>P17.4</t>
  </si>
  <si>
    <t>Mise en œuvre du mode opératoire SS4 pour pose / tirage de câbles en caniveaux -  la vacation équipe</t>
  </si>
  <si>
    <t>P17.5</t>
  </si>
  <si>
    <t>Mise en œuvre du mode opératoire SS4 pour réalisation de manchonnages en caniveaux ou chambre - la vacation équipe</t>
  </si>
  <si>
    <t>P17.6</t>
  </si>
  <si>
    <t>Mise en œuvre du mode opératoire SS4 pour dépose de câbles en fourreaux - la vacation équipe</t>
  </si>
  <si>
    <t>P17.7</t>
  </si>
  <si>
    <t>Mise en œuvre du mode opératoire SS4 pour dépose de câbles en caniveaux - la vacation équipe</t>
  </si>
  <si>
    <t>P17.8</t>
  </si>
  <si>
    <t xml:space="preserve">Travaux en présence de gaz </t>
  </si>
  <si>
    <t>P17.9</t>
  </si>
  <si>
    <t>Travaux en présence de gaz sulfure hydrogéné - Par mise en œuvre de la prestation</t>
  </si>
  <si>
    <t>P17.10</t>
  </si>
  <si>
    <t xml:space="preserve">Travaux en présence de plomb </t>
  </si>
  <si>
    <t>P17.11</t>
  </si>
  <si>
    <t>Travaux en présence de plomb - Par mise en œuvre de la prestation</t>
  </si>
  <si>
    <t>P18</t>
  </si>
  <si>
    <t>Mise en œuvre de déviation de circulation</t>
  </si>
  <si>
    <t>P18.1</t>
  </si>
  <si>
    <t>Etudes de déviation</t>
  </si>
  <si>
    <t>P18.2</t>
  </si>
  <si>
    <t xml:space="preserve"> - Etudes et organisation de déviation, par étude</t>
  </si>
  <si>
    <t>P18.3</t>
  </si>
  <si>
    <t>Réalisation de déviation</t>
  </si>
  <si>
    <t>P18.4</t>
  </si>
  <si>
    <t>Location des équipements spécifiques, forfait par déviation - Pour une journée</t>
  </si>
  <si>
    <t>P18.5</t>
  </si>
  <si>
    <t xml:space="preserve">Location des équipements spécifiques, forfait par déviation - Pour une semaine </t>
  </si>
  <si>
    <t>P18.6</t>
  </si>
  <si>
    <t xml:space="preserve">Location des équipements spécifiques, forfait par déviation - Pour un mois </t>
  </si>
  <si>
    <t>P18.7</t>
  </si>
  <si>
    <t>Pose et dépose des équipements pour réalisation de déviation - Par prestation d'unité d'œuvre (pose et dépose)</t>
  </si>
  <si>
    <t>P18.8</t>
  </si>
  <si>
    <t>Mise en place de personnel pour réalisation de déviation, forfait par accès et pour une personne mise en place - Par journée (7h)</t>
  </si>
  <si>
    <t>P18.9</t>
  </si>
  <si>
    <t>Mise en place de personnel pour réalisation de déviation, forfait par accès et pour une personne mise en place - Par semaine (35h)</t>
  </si>
  <si>
    <t>P18.10</t>
  </si>
  <si>
    <t>Mise en place de personnel pour réalisation de déviation, forfait par accès et pour une personne mise en place - Par mois (152h)</t>
  </si>
  <si>
    <t>P18.11</t>
  </si>
  <si>
    <t>Mise en place de personnel pour réalisation de déviation, forfait par accès et pour une personne mise en place - Par heure supplémentaire ajouté aux forfaits</t>
  </si>
  <si>
    <t>P19</t>
  </si>
  <si>
    <t>Prestation documentaire</t>
  </si>
  <si>
    <t>P19.1</t>
  </si>
  <si>
    <t>DOE Filaire et / ou CFa</t>
  </si>
  <si>
    <t>P19.4</t>
  </si>
  <si>
    <t>DOE Radio</t>
  </si>
  <si>
    <t>P19.5</t>
  </si>
  <si>
    <t xml:space="preserve"> DOE Radio pour un site complet</t>
  </si>
  <si>
    <t>P20</t>
  </si>
  <si>
    <t>Prestation d'étude</t>
  </si>
  <si>
    <t>P20.1</t>
  </si>
  <si>
    <t>Prestation d'audit (en unité d'œuvre)</t>
  </si>
  <si>
    <t>P20.2</t>
  </si>
  <si>
    <t>Prestation d'audit - De type relevé de câbles dans une zone</t>
  </si>
  <si>
    <t>P20.3</t>
  </si>
  <si>
    <t>Prestation d'audit - De type inventaire d'équipement dans un local, dans une baie ou dans une zone avant travaux</t>
  </si>
  <si>
    <t>P20.4</t>
  </si>
  <si>
    <t xml:space="preserve">Prestation d'audit - De type inventaire d’abonné (client d’une installation) </t>
  </si>
  <si>
    <t>P20.5</t>
  </si>
  <si>
    <t xml:space="preserve">Prestation d'audit - De type prestation complémentaire à des opérations (recherche de manchon, brassage de manchon…) </t>
  </si>
  <si>
    <t>P20.6</t>
  </si>
  <si>
    <t>Note de calcul (par note fournie)</t>
  </si>
  <si>
    <t>P20.7</t>
  </si>
  <si>
    <t>Note de calcul électrique</t>
  </si>
  <si>
    <t>P20.8</t>
  </si>
  <si>
    <t>Note de calcul structure / fixation</t>
  </si>
  <si>
    <t>P20.9</t>
  </si>
  <si>
    <t>Prestation d'étude (en unité d'œuvre)</t>
  </si>
  <si>
    <t>P20.10</t>
  </si>
  <si>
    <t>Prestation d’étude d’intégration ou mécanique</t>
  </si>
  <si>
    <t>P20.11</t>
  </si>
  <si>
    <t>Prestation d'étude EXE - sans modélisation 3D</t>
  </si>
  <si>
    <t>P20.12</t>
  </si>
  <si>
    <t>Prestation d'étude EXE - avec modélisation 3D</t>
  </si>
  <si>
    <t>P20.13</t>
  </si>
  <si>
    <t>Prestation d'étude SYN - sans modélisation 3D</t>
  </si>
  <si>
    <t>P20.14</t>
  </si>
  <si>
    <t>Prestation d'étude SYN - avec modélisation 3D</t>
  </si>
  <si>
    <t>P21</t>
  </si>
  <si>
    <t>Prestation suivi de projet</t>
  </si>
  <si>
    <t>P21.7</t>
  </si>
  <si>
    <t>Réalisation d'un plan de prévention ou PPSPS supplémentaire</t>
  </si>
  <si>
    <t>P22</t>
  </si>
  <si>
    <t>Prestation de maintien en condition opérationnelle</t>
  </si>
  <si>
    <t>P22.1</t>
  </si>
  <si>
    <t>Prestation de maintien en condition opérationnelle - Intervention pour diagnostic</t>
  </si>
  <si>
    <t>P23</t>
  </si>
  <si>
    <t>Prestations pour point d'accès réseau</t>
  </si>
  <si>
    <t>P23.1</t>
  </si>
  <si>
    <t>PA</t>
  </si>
  <si>
    <t>P23.2</t>
  </si>
  <si>
    <t xml:space="preserve"> Pose et raccordement de point d'accès</t>
  </si>
  <si>
    <t>P23.3</t>
  </si>
  <si>
    <t xml:space="preserve"> Dépose de point d'accès</t>
  </si>
  <si>
    <t>P23.4</t>
  </si>
  <si>
    <t>WIFI</t>
  </si>
  <si>
    <t>P23.5</t>
  </si>
  <si>
    <t>Pose d'une borne WIFI</t>
  </si>
  <si>
    <t>P23.6</t>
  </si>
  <si>
    <t>Dépose d'une borne WIFI</t>
  </si>
  <si>
    <t>P23.7</t>
  </si>
  <si>
    <t>DECT</t>
  </si>
  <si>
    <t>P23.8</t>
  </si>
  <si>
    <t>Pose et raccordement d'une borne DECT</t>
  </si>
  <si>
    <t>P23.9</t>
  </si>
  <si>
    <t>Installation concentrateur borne DECT</t>
  </si>
  <si>
    <t>P23.10</t>
  </si>
  <si>
    <t>Dépose d'une borne DECT</t>
  </si>
  <si>
    <t>P24</t>
  </si>
  <si>
    <t>Prestations pour sonorisation</t>
  </si>
  <si>
    <t>P24.1</t>
  </si>
  <si>
    <t>Haut-parleur</t>
  </si>
  <si>
    <t>P24.2</t>
  </si>
  <si>
    <t>Pose de suspente haut-parleur</t>
  </si>
  <si>
    <t>P24.3</t>
  </si>
  <si>
    <t>Pose de haut-parleur</t>
  </si>
  <si>
    <t>P24.4</t>
  </si>
  <si>
    <t>Dépose de haut-parleur</t>
  </si>
  <si>
    <t>P24.5</t>
  </si>
  <si>
    <t>Mise en provisoire de haut-parleur</t>
  </si>
  <si>
    <t>P24.6</t>
  </si>
  <si>
    <t>Ligne de sonorisation</t>
  </si>
  <si>
    <t>P24.7</t>
  </si>
  <si>
    <t>Pose de boitier de dérivation normé anti-feu pour ligne de sonorisation</t>
  </si>
  <si>
    <t>P24.8</t>
  </si>
  <si>
    <t>Pose boitier de raccordement normé anti-feu pour ligne de sonorisation</t>
  </si>
  <si>
    <t>P24.9</t>
  </si>
  <si>
    <t>Pose de boitier fin de ligne normé anti-feu pour ligne de sonorisation</t>
  </si>
  <si>
    <t>P24.10</t>
  </si>
  <si>
    <t>Création d’un répartiteur de sonorisation</t>
  </si>
  <si>
    <t>P24.11</t>
  </si>
  <si>
    <t>Création d’un coffret de répartition de sonorisation</t>
  </si>
  <si>
    <t>P24.12</t>
  </si>
  <si>
    <t>Test et essai de ligne de sonorisation</t>
  </si>
  <si>
    <t>P24.13</t>
  </si>
  <si>
    <t>Création d’une ligne de sonorisation constitué de 5 haut-parleurs</t>
  </si>
  <si>
    <t>P24.14</t>
  </si>
  <si>
    <t>Création d’une ligne de sonorisation constitué de 7 haut-parleurs</t>
  </si>
  <si>
    <t>P24.15</t>
  </si>
  <si>
    <t>Création d’une ligne de sonorisation constitué de 10 haut-parleurs</t>
  </si>
  <si>
    <t>P24.16</t>
  </si>
  <si>
    <t>Création d’une ligne de sonorisation constitué de 18 haut-parleurs</t>
  </si>
  <si>
    <t>P24.17</t>
  </si>
  <si>
    <t>Création d’une ligne de sonorisation constitué de 24 haut-parleurs</t>
  </si>
  <si>
    <t>P24.18</t>
  </si>
  <si>
    <t>Création d’une ligne de sonorisation constitué de 32 haut-parleurs</t>
  </si>
  <si>
    <t>P24.19</t>
  </si>
  <si>
    <t>Sonorisation</t>
  </si>
  <si>
    <t>P24.20</t>
  </si>
  <si>
    <t xml:space="preserve">Pose d’une baie de sonorisation </t>
  </si>
  <si>
    <t>P24.21</t>
  </si>
  <si>
    <t xml:space="preserve">Pose d’un rack de sonorisation </t>
  </si>
  <si>
    <t>P24.22</t>
  </si>
  <si>
    <t xml:space="preserve">Pose d’un combiné de sonorisation </t>
  </si>
  <si>
    <t>P24.23</t>
  </si>
  <si>
    <t>Pose d’un combiné de sonorisation secours</t>
  </si>
  <si>
    <t>P24.24</t>
  </si>
  <si>
    <t>Pose d’un Poste de Sonorisation à Pied d’Œuvre (PSPO)</t>
  </si>
  <si>
    <t>P24.25</t>
  </si>
  <si>
    <t xml:space="preserve">Dépose d’une baie de sonorisation </t>
  </si>
  <si>
    <t>P24.26</t>
  </si>
  <si>
    <t xml:space="preserve">Dépose d’un rack de sonorisation </t>
  </si>
  <si>
    <t>P24.27</t>
  </si>
  <si>
    <t>Dépose d’un combiné de sonorisation secours</t>
  </si>
  <si>
    <t>P24.28</t>
  </si>
  <si>
    <t>Dépose d’un Poste de Sonorisation à Pied d’Œuvre (PSPO)</t>
  </si>
  <si>
    <t>P24.29</t>
  </si>
  <si>
    <t>Télésonorisation</t>
  </si>
  <si>
    <t>P24.30</t>
  </si>
  <si>
    <t xml:space="preserve">Pose d’un boitier de télésonorisation </t>
  </si>
  <si>
    <t>P24.31</t>
  </si>
  <si>
    <t xml:space="preserve">Dépose d’un boitier de télésonorisation </t>
  </si>
  <si>
    <t>P25</t>
  </si>
  <si>
    <t>Prestations pour vidéo-surveillance ou vidéo-conducteur ou information voyageur</t>
  </si>
  <si>
    <t>P25.1</t>
  </si>
  <si>
    <t>Caméra</t>
  </si>
  <si>
    <t>P25.2</t>
  </si>
  <si>
    <t>Pose de suspente caméra ou caisson translateur (condition standard)</t>
  </si>
  <si>
    <t>P25.3</t>
  </si>
  <si>
    <t>Pose de suspente caméra ou caisson translateur (poids &gt; 55kg et / ou hauteur &gt; 3m)</t>
  </si>
  <si>
    <t>P25.4</t>
  </si>
  <si>
    <t>Pose et raccordement tous type de caméra sur câble coaxial</t>
  </si>
  <si>
    <t>P25.5</t>
  </si>
  <si>
    <t xml:space="preserve">Pose et raccordement tous type de caméra sur câble à paires </t>
  </si>
  <si>
    <t>P25.6</t>
  </si>
  <si>
    <t>Dépose de suspente caméra et/ou caisson caméra ou caisson translateur (condition standard)</t>
  </si>
  <si>
    <t>P25.7</t>
  </si>
  <si>
    <t>Dépose de suspente caméra et/ou caisson caméra ou caisson translateur  (poids &gt; 55kg et / ou hauteur &gt; 3m)</t>
  </si>
  <si>
    <t>P25.8</t>
  </si>
  <si>
    <t>Dépose tous types de caméra</t>
  </si>
  <si>
    <t>P25.9</t>
  </si>
  <si>
    <t>Mise en provisoire de caméra</t>
  </si>
  <si>
    <t>P25.10</t>
  </si>
  <si>
    <t>Ecran et moniteur</t>
  </si>
  <si>
    <t>P25.11</t>
  </si>
  <si>
    <t>Pose de suspente écran (condition standard)</t>
  </si>
  <si>
    <t>P25.12</t>
  </si>
  <si>
    <t>Pose de suspente écran (poids &gt; 55kg et / ou hauteur &gt; 3m)</t>
  </si>
  <si>
    <t>P25.13</t>
  </si>
  <si>
    <t>Pose de caisson écran (condition standard)</t>
  </si>
  <si>
    <t>P25.14</t>
  </si>
  <si>
    <t>Pose de caisson écran (poids &gt; 55kg et / ou hauteur &gt; 3m)</t>
  </si>
  <si>
    <t>P25.15</t>
  </si>
  <si>
    <t>Pose et raccordement de moniteur</t>
  </si>
  <si>
    <t>P25.16</t>
  </si>
  <si>
    <t>Pose et raccordement d’écran (condition standard)</t>
  </si>
  <si>
    <t>P25.17</t>
  </si>
  <si>
    <t>Pose et raccordement d’écran (poids &gt; 55kg et / ou hauteur &gt; 3m)</t>
  </si>
  <si>
    <t>P25.18</t>
  </si>
  <si>
    <t xml:space="preserve">Pose et raccordement d’écran : intégration de sous-ensembles électroniques </t>
  </si>
  <si>
    <t>P25.19</t>
  </si>
  <si>
    <t>Dépose de suspente écran (condition standard)</t>
  </si>
  <si>
    <t>P25.20</t>
  </si>
  <si>
    <t>Dépose de suspente écran  (poids &gt; 55kg et / ou hauteur &gt; 3m)</t>
  </si>
  <si>
    <t>P25.21</t>
  </si>
  <si>
    <t>Dépose de caisson écran  (condition standard)</t>
  </si>
  <si>
    <t>P25.22</t>
  </si>
  <si>
    <t>Dépose de caisson écran  (poids &gt; 55kg et / ou hauteur &gt; 3m)</t>
  </si>
  <si>
    <t>P25.23</t>
  </si>
  <si>
    <t>Dépose moniteur</t>
  </si>
  <si>
    <t>P25.24</t>
  </si>
  <si>
    <t>Dépose d’écran (condition standard)</t>
  </si>
  <si>
    <t>P25.25</t>
  </si>
  <si>
    <t>Dépose d’écran  (poids &gt; 55kg et / ou hauteur &gt; 3m)</t>
  </si>
  <si>
    <t>P25.26</t>
  </si>
  <si>
    <t>Mise en provisoire d’écran (condition standard)</t>
  </si>
  <si>
    <t>P25.27</t>
  </si>
  <si>
    <t>Mise en provisoire d’écran (poids &gt; 55kg et / ou hauteur &gt; 3m)</t>
  </si>
  <si>
    <t>P25.28</t>
  </si>
  <si>
    <t>Remplacement d’écran (condition standard)</t>
  </si>
  <si>
    <t>P25.29</t>
  </si>
  <si>
    <t>Remplacement d’écran  (poids &gt; 55kg et / ou hauteur &gt; 3m)</t>
  </si>
  <si>
    <t>P26</t>
  </si>
  <si>
    <t xml:space="preserve">Prestations pour interphonie – téléphonie – généphonie </t>
  </si>
  <si>
    <t>P26.1</t>
  </si>
  <si>
    <t xml:space="preserve">Portier audio-vidéo </t>
  </si>
  <si>
    <t>P26.2</t>
  </si>
  <si>
    <t>Pose d’un interphone type portier audio-vidéo analogique</t>
  </si>
  <si>
    <t>P26.3</t>
  </si>
  <si>
    <t>Pose d’un poste intérieur audio-vidéo analogique supplémentaire</t>
  </si>
  <si>
    <t>P26.4</t>
  </si>
  <si>
    <t>Pose d’un interphone portier de rue audio-vidéo IP</t>
  </si>
  <si>
    <t>P26.5</t>
  </si>
  <si>
    <t>Pose d’un poste intérieur audio-vidéo IP</t>
  </si>
  <si>
    <t>P26.6</t>
  </si>
  <si>
    <t>Dépose d’un interphone type portier audio-vidéo analogique</t>
  </si>
  <si>
    <t>P26.7</t>
  </si>
  <si>
    <t>Dépose d’un interphone portier de rue audio-vidéo IP</t>
  </si>
  <si>
    <t>P26.8</t>
  </si>
  <si>
    <t>Interphone accueil guichet</t>
  </si>
  <si>
    <t>P26.9</t>
  </si>
  <si>
    <t xml:space="preserve">Pose d’un interphone type accueil guichet </t>
  </si>
  <si>
    <t>P26.10</t>
  </si>
  <si>
    <t xml:space="preserve">Dépose d’interphone type accueil guichet  </t>
  </si>
  <si>
    <t>P26.11</t>
  </si>
  <si>
    <t>Interphone type départ, Stentophon ou IAV</t>
  </si>
  <si>
    <t>P26.12</t>
  </si>
  <si>
    <t xml:space="preserve">Pose d’un interphone type départ </t>
  </si>
  <si>
    <t>P26.13</t>
  </si>
  <si>
    <t xml:space="preserve">Pose d’un interphone type Stentophon </t>
  </si>
  <si>
    <t>P26.14</t>
  </si>
  <si>
    <t xml:space="preserve">Pose d’un interphone type IAV </t>
  </si>
  <si>
    <t>P26.15</t>
  </si>
  <si>
    <t xml:space="preserve">Dépose d’interphone type IAV ou départ ou Stentophon </t>
  </si>
  <si>
    <t>P26.16</t>
  </si>
  <si>
    <t xml:space="preserve">Mise en provisoire d’un interphone type départ </t>
  </si>
  <si>
    <t>P26.17</t>
  </si>
  <si>
    <t xml:space="preserve">Mise en provisoire d’un interphone type Stentophon </t>
  </si>
  <si>
    <t>P26.18</t>
  </si>
  <si>
    <t xml:space="preserve">Mise en provisoire d’un interphone type IAV </t>
  </si>
  <si>
    <t>P26.19</t>
  </si>
  <si>
    <t>Téléphonie</t>
  </si>
  <si>
    <t>P26.20</t>
  </si>
  <si>
    <t xml:space="preserve">Pose d’un poste téléphonique analogique ou numérique </t>
  </si>
  <si>
    <t>P26.21</t>
  </si>
  <si>
    <t>Pose d’un poste téléphonique IP</t>
  </si>
  <si>
    <t>P26.22</t>
  </si>
  <si>
    <t xml:space="preserve">Pose d’un poste téléphonique sur câblage existant </t>
  </si>
  <si>
    <t>P26.23</t>
  </si>
  <si>
    <t>Pose d’une tablette murale</t>
  </si>
  <si>
    <t>P26.24</t>
  </si>
  <si>
    <t>Pose d’un poste téléphonique de voie ou tête de quai</t>
  </si>
  <si>
    <t>P26.25</t>
  </si>
  <si>
    <t>Dépose d’un poste téléphonique</t>
  </si>
  <si>
    <t>P26.26</t>
  </si>
  <si>
    <t>Mise en provisoire d’un poste téléphonique de voie ou tête de quai</t>
  </si>
  <si>
    <t>P26.27</t>
  </si>
  <si>
    <t>Généphonie</t>
  </si>
  <si>
    <t>P26.28</t>
  </si>
  <si>
    <t>Pose et raccordement de coffret prise généphone</t>
  </si>
  <si>
    <t>P26.29</t>
  </si>
  <si>
    <t>Dépose de coffret prise généphone</t>
  </si>
  <si>
    <t>P26.30</t>
  </si>
  <si>
    <t>Mise en provisoire d'un coffret prise généphone</t>
  </si>
  <si>
    <t>P27</t>
  </si>
  <si>
    <t xml:space="preserve">Prestations pour vente et contrôle </t>
  </si>
  <si>
    <t>P27.1</t>
  </si>
  <si>
    <t>Remplacement d’une AE5G par armoire AE6G</t>
  </si>
  <si>
    <t>P27.2</t>
  </si>
  <si>
    <t>Étude de basculement AE5G vers armoire AE6G</t>
  </si>
  <si>
    <t>P27.3</t>
  </si>
  <si>
    <t>Mutation de l’AE5G vers armoire AE6G</t>
  </si>
  <si>
    <t>P27.4</t>
  </si>
  <si>
    <t>Mise au propre de l’armoire AE6G en fin de travaux</t>
  </si>
  <si>
    <t>P27.6</t>
  </si>
  <si>
    <t>Remplacement d’une AE5G par baie AE6G</t>
  </si>
  <si>
    <t>P27.7</t>
  </si>
  <si>
    <t>Étude de basculement AE5G vers baie AE6G</t>
  </si>
  <si>
    <t>P27.8</t>
  </si>
  <si>
    <t>Installation de la baie AE6G pour mutation AE5G</t>
  </si>
  <si>
    <t>P27.9</t>
  </si>
  <si>
    <t>Mutation de l’AE5G vers baie AE6G</t>
  </si>
  <si>
    <t>P27.10</t>
  </si>
  <si>
    <t>Dépose de l’AE5G</t>
  </si>
  <si>
    <t>P27.11</t>
  </si>
  <si>
    <t>Mise au propre de la baie AE6G en fin de travaux</t>
  </si>
  <si>
    <t>P27.12</t>
  </si>
  <si>
    <t>AE (nouvelle installation)</t>
  </si>
  <si>
    <t>P27.13</t>
  </si>
  <si>
    <t>Pose et raccordement baie ou armoire péage AE6G</t>
  </si>
  <si>
    <t>P27.14</t>
  </si>
  <si>
    <t>Pose et raccordement d’une coupure d’urgence péages déportée CUP</t>
  </si>
  <si>
    <t>P27.15</t>
  </si>
  <si>
    <t>Pose et raccordement d’un terminal d’alarmes et commandes TAC</t>
  </si>
  <si>
    <t>P27.16</t>
  </si>
  <si>
    <t>Dépose de passage</t>
  </si>
  <si>
    <t>P27.17</t>
  </si>
  <si>
    <t>Dépose d'un tripode, PVP ou NPVP</t>
  </si>
  <si>
    <t>P27.18</t>
  </si>
  <si>
    <t>Dépose d’un coffre mort</t>
  </si>
  <si>
    <t>P27.19</t>
  </si>
  <si>
    <t>Dépose d’un passage PASTEUR ou PSNO</t>
  </si>
  <si>
    <t>P27.20</t>
  </si>
  <si>
    <t xml:space="preserve">Réaménagement avec conservation des passages existants </t>
  </si>
  <si>
    <t>P27.21</t>
  </si>
  <si>
    <t>Équipement de la nouvelle platine de distribution de ligne de péage tripode, PVP ou NPVP</t>
  </si>
  <si>
    <t>P27.22</t>
  </si>
  <si>
    <t>Repose d’un coffre mort tripode, PVP ou NPVP</t>
  </si>
  <si>
    <t>P27.23</t>
  </si>
  <si>
    <t>Repose d'un tripode, PVP ou NPVP</t>
  </si>
  <si>
    <t>P27.24</t>
  </si>
  <si>
    <t>Réaménagement avec changement des passages existants ou cration de nouvelle ligne de passage</t>
  </si>
  <si>
    <t>P27.25</t>
  </si>
  <si>
    <t>Équipement de la platine de distribution de ligne de péage NPV / NPF</t>
  </si>
  <si>
    <t>P27.26</t>
  </si>
  <si>
    <t>Option pour Équipement de la platine de distribution de ligne de péage NPV / NPF</t>
  </si>
  <si>
    <t>P27.27</t>
  </si>
  <si>
    <t>Raccordement Coffre Mort pour NPV / NVF</t>
  </si>
  <si>
    <t>P27.28</t>
  </si>
  <si>
    <t>Raccordement d’un passage NPV60</t>
  </si>
  <si>
    <t>P27.29</t>
  </si>
  <si>
    <t>Raccordement d’un passage NPV90</t>
  </si>
  <si>
    <t>P27.30</t>
  </si>
  <si>
    <t>Raccordement d’un passage NVF</t>
  </si>
  <si>
    <t>P27.31</t>
  </si>
  <si>
    <t>Raccordement d’un de portillon de service PSERV</t>
  </si>
  <si>
    <t>P27.32</t>
  </si>
  <si>
    <t>Raccordement d’une porte automatique de sortie PAS</t>
  </si>
  <si>
    <t>P27.33</t>
  </si>
  <si>
    <t>Equipement de vente</t>
  </si>
  <si>
    <t>P27.34</t>
  </si>
  <si>
    <t>Installation d’un TPV</t>
  </si>
  <si>
    <t>P27.35</t>
  </si>
  <si>
    <t>Installation d’un poste SIG</t>
  </si>
  <si>
    <t>P27.36</t>
  </si>
  <si>
    <t>Raccordement d’un automate de vente ADUP ou AS, environnement métro ou RER</t>
  </si>
  <si>
    <t>P27.37</t>
  </si>
  <si>
    <t>Raccordement d’un automate de vente ADUP ou AS, environnement tramway</t>
  </si>
  <si>
    <t>P27.38</t>
  </si>
  <si>
    <t>Raccordement d’une armoire forte</t>
  </si>
  <si>
    <t>P27.39</t>
  </si>
  <si>
    <t>Dépose / repose d’un automate de vente ADUP ou AS</t>
  </si>
  <si>
    <t>P27.40</t>
  </si>
  <si>
    <t>Stockage d’un automate de vente ADUP ou AS (période de 3 mois et par équipements)</t>
  </si>
  <si>
    <t>P27.41</t>
  </si>
  <si>
    <t>Dépose d’un automate de vente ADUP ou AS</t>
  </si>
  <si>
    <t>P27.42</t>
  </si>
  <si>
    <t>Pose d’un automate de vente ADUP ou AS</t>
  </si>
  <si>
    <t>P28</t>
  </si>
  <si>
    <t>Prestations pour contrôle d’accès</t>
  </si>
  <si>
    <t>P28.1</t>
  </si>
  <si>
    <t>Centrale</t>
  </si>
  <si>
    <t>P28.2</t>
  </si>
  <si>
    <t>Pose et raccordement d’une Centrale Contrôle d’Accès</t>
  </si>
  <si>
    <t>P28.3</t>
  </si>
  <si>
    <t xml:space="preserve">Pose et raccordement d’un boitier de raccordement </t>
  </si>
  <si>
    <t>P28.4</t>
  </si>
  <si>
    <t>Mise en provisoire d’une Centrale Contrôle d’Accès</t>
  </si>
  <si>
    <t>P28.5</t>
  </si>
  <si>
    <t>Dépose d’une Centrale Contrôle d’Accès</t>
  </si>
  <si>
    <t>P28.6</t>
  </si>
  <si>
    <t>Dépose d’un point d’accès contrôlé complet</t>
  </si>
  <si>
    <t>P28.7</t>
  </si>
  <si>
    <t>Serrurerie</t>
  </si>
  <si>
    <t>P28.8</t>
  </si>
  <si>
    <t>Pose et raccordement d’une gâche électrique</t>
  </si>
  <si>
    <t>P28.9</t>
  </si>
  <si>
    <t>Pose et raccordement d’une serrure électrique</t>
  </si>
  <si>
    <t>P28.10</t>
  </si>
  <si>
    <t>Pose passe-câble</t>
  </si>
  <si>
    <t>P28.11</t>
  </si>
  <si>
    <t>Pose et raccordement d’une ventouse</t>
  </si>
  <si>
    <t>P28.12</t>
  </si>
  <si>
    <t>Pose et raccordement d’une serrure motorisée</t>
  </si>
  <si>
    <t>P28.13</t>
  </si>
  <si>
    <t>Pose d’une Serrure Autonome Sécurisée à lecteur de badge</t>
  </si>
  <si>
    <t>P28.14</t>
  </si>
  <si>
    <t>Passe sans contact et autres accessoires</t>
  </si>
  <si>
    <t>P28.15</t>
  </si>
  <si>
    <t>Pose et raccordement d’un lecteur Passe Sans Contact</t>
  </si>
  <si>
    <t>P28.16</t>
  </si>
  <si>
    <t>Déplacement d’un lecteur Passe Sans Contact</t>
  </si>
  <si>
    <t>P28.17</t>
  </si>
  <si>
    <t>Pose et raccordement d’un contact de porte ILS</t>
  </si>
  <si>
    <t>P28.18</t>
  </si>
  <si>
    <t>Pose et raccordement d’un BP ouverture</t>
  </si>
  <si>
    <t>P29</t>
  </si>
  <si>
    <t>Prestations pour Effraction / Agression / Intrusion (EAI)</t>
  </si>
  <si>
    <t>P29.1</t>
  </si>
  <si>
    <t>P29.2</t>
  </si>
  <si>
    <t>Pose et raccordement d’une centrale d’alarme</t>
  </si>
  <si>
    <t>P29.3</t>
  </si>
  <si>
    <t xml:space="preserve">Pose et raccordement d’un boitier extension centrale d’alarme supplémentaire </t>
  </si>
  <si>
    <t>P29.4</t>
  </si>
  <si>
    <t>Pose et raccordement d’un boitier BIMD</t>
  </si>
  <si>
    <t>P29.5</t>
  </si>
  <si>
    <t>Mise en provisoire d’une centrale d’alarme</t>
  </si>
  <si>
    <t>P29.6</t>
  </si>
  <si>
    <t>Dépose d’une centrale d’alarme complète</t>
  </si>
  <si>
    <t>Capteurs et accessoires</t>
  </si>
  <si>
    <t>P29.7</t>
  </si>
  <si>
    <t xml:space="preserve">Pose d’un clavier ou serrure à clé de commande centrale d’alarme </t>
  </si>
  <si>
    <t>P29.8</t>
  </si>
  <si>
    <t>Pose d’un capteur d'ouverture</t>
  </si>
  <si>
    <t>P29.9</t>
  </si>
  <si>
    <t>Pose d’un capteur volumétrique</t>
  </si>
  <si>
    <t>P29.10</t>
  </si>
  <si>
    <t>Pose d’un capteur de choc</t>
  </si>
  <si>
    <t>P29.11</t>
  </si>
  <si>
    <t>Pose d’une pédale d’alarme</t>
  </si>
  <si>
    <t>P29.12</t>
  </si>
  <si>
    <t>Pose d’un voyant de prise en compte</t>
  </si>
  <si>
    <t>P29.13</t>
  </si>
  <si>
    <t>Pose d’un DLPS</t>
  </si>
  <si>
    <t>P29.14</t>
  </si>
  <si>
    <t xml:space="preserve">Mise en provisoire  d’un clavier ou serrure à clé de commande centrale d’alarme </t>
  </si>
  <si>
    <t>P29.15</t>
  </si>
  <si>
    <t>Mise en provisoire  d’un capteur d'ouverture</t>
  </si>
  <si>
    <t>P29.16</t>
  </si>
  <si>
    <t>Mise en provisoire  d’un capteur volumétrique</t>
  </si>
  <si>
    <t>P29.17</t>
  </si>
  <si>
    <t>Mise en provisoire  d’un capteur de choc</t>
  </si>
  <si>
    <t>P29.18</t>
  </si>
  <si>
    <t>Mise en provisoire  d’un voyant de prise en compte</t>
  </si>
  <si>
    <t>P29.19</t>
  </si>
  <si>
    <t>Mise en provisoire  d’un DLPS</t>
  </si>
  <si>
    <t>P30</t>
  </si>
  <si>
    <t>Prestations pour supervision et SAE</t>
  </si>
  <si>
    <t>P30.1</t>
  </si>
  <si>
    <t xml:space="preserve">SdP </t>
  </si>
  <si>
    <t>P30.2</t>
  </si>
  <si>
    <t>Pose et raccordement d’un Serveur de Port SdP, cas switch de raccordement du SdP dans la même baie</t>
  </si>
  <si>
    <t>P30.3</t>
  </si>
  <si>
    <t>Pose et raccordement d’un Serveur de Port SdP, cas switch de raccordement du SdP dans une autre baie</t>
  </si>
  <si>
    <t>P30.4</t>
  </si>
  <si>
    <t>Dépose d’un Serveur de Port SdP</t>
  </si>
  <si>
    <t>P30.5</t>
  </si>
  <si>
    <t>NdS</t>
  </si>
  <si>
    <t>P30.6</t>
  </si>
  <si>
    <t>Pose et raccordement d’un Nœud de Station NdS, cas switch de raccordement du SdP dans la même baie</t>
  </si>
  <si>
    <t>P30.7</t>
  </si>
  <si>
    <t>Pose et raccordement d’un Nœud de Station NdS, cas switch de raccordement du SdP dans une autre baie</t>
  </si>
  <si>
    <t>P30.8</t>
  </si>
  <si>
    <t>Dépose d’un Nœud de Station NdS</t>
  </si>
  <si>
    <t>P30.9</t>
  </si>
  <si>
    <t>UTAF</t>
  </si>
  <si>
    <t>P30.10</t>
  </si>
  <si>
    <t>Pose et raccordement rack UTAF et platine interface UTAF</t>
  </si>
  <si>
    <t>P30.11</t>
  </si>
  <si>
    <t>Pose et raccordement platine synthèse UTAF</t>
  </si>
  <si>
    <t>P30.12</t>
  </si>
  <si>
    <t>Dépose d’un ensemble UTAF</t>
  </si>
  <si>
    <t>P30.13</t>
  </si>
  <si>
    <t>API</t>
  </si>
  <si>
    <t>P30.14</t>
  </si>
  <si>
    <t>Pose et raccordement d’un API type 1</t>
  </si>
  <si>
    <t>P30.15</t>
  </si>
  <si>
    <t>Pose et raccordement d’un API type 2</t>
  </si>
  <si>
    <t>P30.16</t>
  </si>
  <si>
    <t>Pose et raccordement d’un API type 3</t>
  </si>
  <si>
    <t>P30.17</t>
  </si>
  <si>
    <t>Ajout d’une carte / module E/S dans un API</t>
  </si>
  <si>
    <t>P30.18</t>
  </si>
  <si>
    <t>Dépose d’un API</t>
  </si>
  <si>
    <t>P30.19</t>
  </si>
  <si>
    <t>MDA</t>
  </si>
  <si>
    <t>P30.20</t>
  </si>
  <si>
    <t xml:space="preserve">Pose et raccordement de Module de Distribution d’Alimentation : cas 1ier MDA </t>
  </si>
  <si>
    <t>P30.21</t>
  </si>
  <si>
    <t xml:space="preserve">Pose et raccordement de Module de Distribution d’Alimentation : cas MDA complémentaire </t>
  </si>
  <si>
    <t>P30.22</t>
  </si>
  <si>
    <t>Dépose d’un ensemble de Module de Distribution d’Alimentation MDA</t>
  </si>
  <si>
    <t>P30.23</t>
  </si>
  <si>
    <t>Raccordement à la supervision</t>
  </si>
  <si>
    <t>P30.24</t>
  </si>
  <si>
    <t xml:space="preserve">Raccordement d’un équipement ou d’une alarme technique à la supervision </t>
  </si>
  <si>
    <t>P30.25</t>
  </si>
  <si>
    <t>Pose et raccordement d’une sonde température</t>
  </si>
  <si>
    <t>P30.26</t>
  </si>
  <si>
    <t>Poste Opérateur</t>
  </si>
  <si>
    <t>P30.27</t>
  </si>
  <si>
    <t>Pose d’une imprimante</t>
  </si>
  <si>
    <t>P30.28</t>
  </si>
  <si>
    <t>Raccordement d’une imprimante</t>
  </si>
  <si>
    <t>P30.29</t>
  </si>
  <si>
    <t>Pose d'un système de déport écran-clavier-souris</t>
  </si>
  <si>
    <t>P30.30</t>
  </si>
  <si>
    <t>Pose d'une UC PO</t>
  </si>
  <si>
    <t>P30.31</t>
  </si>
  <si>
    <t>Pose des périphériques PO (écran-clavier-souris)</t>
  </si>
  <si>
    <t>P30.32</t>
  </si>
  <si>
    <t>Pose d’un pupitre type SYMPHONIE</t>
  </si>
  <si>
    <t>P30.33</t>
  </si>
  <si>
    <t>Raccordement pour pupitre SYMPHONIE</t>
  </si>
  <si>
    <t>P30.34</t>
  </si>
  <si>
    <t>Pose platine pupitre (PP BSP)</t>
  </si>
  <si>
    <t>P31</t>
  </si>
  <si>
    <t>Prestations pour coffret IAI – Ventilation ou CVC</t>
  </si>
  <si>
    <t>P31.1</t>
  </si>
  <si>
    <t>IAI – Ventilation ou CLV</t>
  </si>
  <si>
    <t>P31.2</t>
  </si>
  <si>
    <t>Pose et raccordement coffret IAI – Ventilation</t>
  </si>
  <si>
    <t>P31.3</t>
  </si>
  <si>
    <t>Pose et raccordement boitier CLV</t>
  </si>
  <si>
    <t>P31.4</t>
  </si>
  <si>
    <t>Mise en provisoire coffret IAI – Ventilation</t>
  </si>
  <si>
    <t>P31.5</t>
  </si>
  <si>
    <t>Mise en provisoire  boitier CLV</t>
  </si>
  <si>
    <t>P31.6</t>
  </si>
  <si>
    <t>Dépose coffret IAI – Ventilation / boitier CLV</t>
  </si>
  <si>
    <t>P31.7</t>
  </si>
  <si>
    <t>CVC</t>
  </si>
  <si>
    <t>P31.8</t>
  </si>
  <si>
    <t>Pose et raccordement coffret CVC</t>
  </si>
  <si>
    <t>P31.9</t>
  </si>
  <si>
    <t>Mise en provisoire coffret CVC</t>
  </si>
  <si>
    <t>P31.10</t>
  </si>
  <si>
    <t>Dépose coffret CVC</t>
  </si>
  <si>
    <t>P32</t>
  </si>
  <si>
    <t>Prestations pour chronométrie</t>
  </si>
  <si>
    <t>P32.1</t>
  </si>
  <si>
    <t>Badgeuse</t>
  </si>
  <si>
    <t>P32.2</t>
  </si>
  <si>
    <t>Pose et raccordement d’une badgeuse</t>
  </si>
  <si>
    <t>P32.3</t>
  </si>
  <si>
    <t>Dépose d’une badgeuse</t>
  </si>
  <si>
    <t>P32.4</t>
  </si>
  <si>
    <t>Horloge</t>
  </si>
  <si>
    <t>P32.5</t>
  </si>
  <si>
    <t>Pose et raccordement d’une horloge autonome</t>
  </si>
  <si>
    <t>P32.6</t>
  </si>
  <si>
    <t>Pose et raccordement d’une horloge mère</t>
  </si>
  <si>
    <t>P32.7</t>
  </si>
  <si>
    <t>Pose et raccordement d’une horloge réceptrice</t>
  </si>
  <si>
    <t>P32.8</t>
  </si>
  <si>
    <t>Pose et raccordement d’une horloge grand modèle type RER</t>
  </si>
  <si>
    <t>P32.9</t>
  </si>
  <si>
    <t>Pose et raccordement d’une horloge NTP</t>
  </si>
  <si>
    <t>P32.10</t>
  </si>
  <si>
    <t>Dépose d’une horloge (tout type)</t>
  </si>
  <si>
    <t>P33</t>
  </si>
  <si>
    <t>Prestations pour écran publicitaire</t>
  </si>
  <si>
    <t>P33.1</t>
  </si>
  <si>
    <t>Coffret publicitaire</t>
  </si>
  <si>
    <t>P33.2</t>
  </si>
  <si>
    <t>Pose d’un coffret écran publicitaire en configuration de base</t>
  </si>
  <si>
    <t>P33.3</t>
  </si>
  <si>
    <t>Pose d’un coffret écran publicitaire en configuration maximale</t>
  </si>
  <si>
    <t>Dépose d’un coffret écran publicitaire</t>
  </si>
  <si>
    <t>P33.4</t>
  </si>
  <si>
    <t>Raccordement écran</t>
  </si>
  <si>
    <t>P33.5</t>
  </si>
  <si>
    <t>Raccordement d’un écran publicitaire : cas par câble Ethernet</t>
  </si>
  <si>
    <t>P33.6</t>
  </si>
  <si>
    <t xml:space="preserve">Raccordement d’un écran publicitaire : cas par coaxial avec pose de modem CPL </t>
  </si>
  <si>
    <t>P33.7</t>
  </si>
  <si>
    <t xml:space="preserve">Raccordement d’un écran publicitaire : cas par coaxial sans pose de modem CPL </t>
  </si>
  <si>
    <t>P33.8</t>
  </si>
  <si>
    <t xml:space="preserve">Raccordement d’un écran publicitaire : cas par coaxial en antenne </t>
  </si>
  <si>
    <t>P34</t>
  </si>
  <si>
    <t>Prestations pour GTB et TCO</t>
  </si>
  <si>
    <t>P34.1</t>
  </si>
  <si>
    <t>GTB</t>
  </si>
  <si>
    <t>P34.2</t>
  </si>
  <si>
    <t>GTB : prestation de base</t>
  </si>
  <si>
    <t>P34.3</t>
  </si>
  <si>
    <t>GTB : supplément carte entrée / sortie</t>
  </si>
  <si>
    <t>P34.4</t>
  </si>
  <si>
    <t>GTB : raccordement complémentaire d’équipement supervisé</t>
  </si>
  <si>
    <t>P34.5</t>
  </si>
  <si>
    <t>GTB : supplément vue</t>
  </si>
  <si>
    <t>P34.6</t>
  </si>
  <si>
    <t>Dépose GTB</t>
  </si>
  <si>
    <t>P34.7</t>
  </si>
  <si>
    <t>TCO</t>
  </si>
  <si>
    <t>P34.8</t>
  </si>
  <si>
    <t>TCO : prestation de base</t>
  </si>
  <si>
    <t>P34.9</t>
  </si>
  <si>
    <t>TCO : supplément carte entrée / sortie</t>
  </si>
  <si>
    <t>P34.10</t>
  </si>
  <si>
    <t>TCO : raccordement complémentaire d’équipement supervisé</t>
  </si>
  <si>
    <t>P34.11</t>
  </si>
  <si>
    <t>TCO : supplément vue</t>
  </si>
  <si>
    <t>P34.12</t>
  </si>
  <si>
    <t>Dépose TCO</t>
  </si>
  <si>
    <t>P35</t>
  </si>
  <si>
    <t>Prestations pour balise sonore</t>
  </si>
  <si>
    <t>P35.1</t>
  </si>
  <si>
    <t>Pose de balise sonore</t>
  </si>
  <si>
    <t>P35.2</t>
  </si>
  <si>
    <t>Dépose de balise sonore</t>
  </si>
  <si>
    <t xml:space="preserve">Prix initial </t>
  </si>
  <si>
    <t xml:space="preserve"> Liste des Prix Unitaires des Fournitures</t>
  </si>
  <si>
    <t>C01 OF
EIFFAGE</t>
  </si>
  <si>
    <t>C02 OF
ERI</t>
  </si>
  <si>
    <t>C03 OF
INEO</t>
  </si>
  <si>
    <t>C04 OF
SDEL</t>
  </si>
  <si>
    <t>C05 OF
SOGETREL</t>
  </si>
  <si>
    <t xml:space="preserve">PU </t>
  </si>
  <si>
    <t>PU initial</t>
  </si>
  <si>
    <t>PU  initial</t>
  </si>
  <si>
    <t>F1</t>
  </si>
  <si>
    <t>Ferrures / Suspentes</t>
  </si>
  <si>
    <t>F1.1</t>
  </si>
  <si>
    <t>Ferrures</t>
  </si>
  <si>
    <t>F1.2</t>
  </si>
  <si>
    <t>Fourniture de ferrure suivant plan RATP</t>
  </si>
  <si>
    <t>Sur devis spécifique</t>
  </si>
  <si>
    <t>F1.3</t>
  </si>
  <si>
    <t>Suspentes</t>
  </si>
  <si>
    <t>F1.4</t>
  </si>
  <si>
    <t>Fourniture de suspente suivant plan RATP</t>
  </si>
  <si>
    <t>F2</t>
  </si>
  <si>
    <t>Cheminements de câbles</t>
  </si>
  <si>
    <t>F2.1</t>
  </si>
  <si>
    <t>Chemin de câble de type dalle acier perforé, hauteur d'aile 24 ou 48</t>
  </si>
  <si>
    <t>F2.2</t>
  </si>
  <si>
    <t xml:space="preserve">Chemin de câble de type dalle acier perforé, hauteur d'aile 24 ou 48 - Elément droit, largeur jusqu'à 100mm </t>
  </si>
  <si>
    <t>F2.3</t>
  </si>
  <si>
    <t xml:space="preserve">Chemin de câble de type dalle acier perforé, hauteur d'aile 24 ou 48 - Elément droit, largeur jusqu'à 200mm </t>
  </si>
  <si>
    <t>F2.4</t>
  </si>
  <si>
    <t xml:space="preserve">Chemin de câble de type dalle acier perforé, hauteur d'aile 24 ou 48 - Couvercle pour élément droit, largeur jusqu'à 100mm </t>
  </si>
  <si>
    <t>F2.5</t>
  </si>
  <si>
    <t xml:space="preserve">Chemin de câble de type dalle acier perforé, hauteur d'aile 24 ou 48 - Couvercle pour élément droit, largeur jusqu'à 200mm </t>
  </si>
  <si>
    <t>F2.6</t>
  </si>
  <si>
    <t>Chemin de câble de type dalle acier perforé, hauteur d'aile 24 ou 48 - Cornière de séparation</t>
  </si>
  <si>
    <t>F2.7</t>
  </si>
  <si>
    <t xml:space="preserve">Chemin de câble de type dalle acier perforé, hauteur d'aile 24 ou 48 - Elément de liaison (coudé, dérivation croix ou T, changement de niveau), largeur jusqu'à 100mm </t>
  </si>
  <si>
    <t>F2.8</t>
  </si>
  <si>
    <t xml:space="preserve">Chemin de câble de type dalle acier perforé, hauteur d'aile 24 ou 48 - Elément de liaison (coudé, dérivation croix ou T, changement de niveau), largeur jusqu'à 200mm </t>
  </si>
  <si>
    <t>F2.9</t>
  </si>
  <si>
    <t xml:space="preserve">Chemin de câble de type dalle acier perforé, hauteur d'aile 24 ou 48 - Couvercle pour élément de liaison (coudé, dérivation croix ou T, changement de niveau), largeur jusqu'à 100mm </t>
  </si>
  <si>
    <t>F2.10</t>
  </si>
  <si>
    <t xml:space="preserve">Chemin de câble de type dalle acier perforé, hauteur d'aile 24 ou 48 - Couvercle pour élément de liaison (coudé, dérivation croix ou T, changement de niveau), largeur jusqu'à 200mm </t>
  </si>
  <si>
    <t>F2.11</t>
  </si>
  <si>
    <t>Chemin de câble de type treillis soudé, hauteur d'aile 30 ou 54</t>
  </si>
  <si>
    <t>F2.12</t>
  </si>
  <si>
    <t xml:space="preserve">Chemin de câble de type treillis soudé, hauteur d'aile 30 ou 54 - Elément droit, largeur jusqu'à 100mm </t>
  </si>
  <si>
    <t>F2.13</t>
  </si>
  <si>
    <t xml:space="preserve">Chemin de câble de type treillis soudé, hauteur d'aile 30 ou 54 - Elément droit, largeur jusqu'à 200mm </t>
  </si>
  <si>
    <t>F2.14</t>
  </si>
  <si>
    <t>Chemin de câble de type treillis soudé, hauteur d'aile 30 ou 54 - Cornière de séparation</t>
  </si>
  <si>
    <t>F2.15</t>
  </si>
  <si>
    <t>Support de chemin de dalle</t>
  </si>
  <si>
    <t>F2.16</t>
  </si>
  <si>
    <t>Support de chemin de dalle pour fixation murale</t>
  </si>
  <si>
    <t>F2.17</t>
  </si>
  <si>
    <t>Support de chemin de dalle pour fixation suspendue</t>
  </si>
  <si>
    <t>F2.18</t>
  </si>
  <si>
    <t>Support de chemin de dalle pour fixation au sol</t>
  </si>
  <si>
    <t>F2.19</t>
  </si>
  <si>
    <t>Tube acier MRL / MRB</t>
  </si>
  <si>
    <t>F2.20</t>
  </si>
  <si>
    <t>Tube acier inoxydable type MRL ou MRB diam. 16</t>
  </si>
  <si>
    <t>F2.21</t>
  </si>
  <si>
    <t>Tube acier inoxydable type MRL ou MRB diam. 20</t>
  </si>
  <si>
    <t>F2.22</t>
  </si>
  <si>
    <t>Tube acier inoxydable type MRL ou MRB diam. 25</t>
  </si>
  <si>
    <t>F2.23</t>
  </si>
  <si>
    <t>Tube acier inoxydable type MRL ou MRB diam. 32</t>
  </si>
  <si>
    <t>F2.24</t>
  </si>
  <si>
    <t>Tube acier inoxydable type MRL ou MRB diam. 40</t>
  </si>
  <si>
    <t>F2.25</t>
  </si>
  <si>
    <t>Tube acier inoxydable type MRL ou MRB diam. 50</t>
  </si>
  <si>
    <t>F2.26</t>
  </si>
  <si>
    <t>Tube acier inoxydable type MRL ou MRB diam. 63</t>
  </si>
  <si>
    <t>F2.27</t>
  </si>
  <si>
    <t xml:space="preserve">Tube IRL </t>
  </si>
  <si>
    <t>F2.28</t>
  </si>
  <si>
    <t>Tube IRL PVC diam. 16</t>
  </si>
  <si>
    <t>F2.29</t>
  </si>
  <si>
    <t>Tube IRL PVC diam. 20</t>
  </si>
  <si>
    <t>F2.30</t>
  </si>
  <si>
    <t>Tube IRL PVC diam. 25</t>
  </si>
  <si>
    <t>F2.31</t>
  </si>
  <si>
    <t>Tube IRL PVC diam. 32</t>
  </si>
  <si>
    <t>F2.32</t>
  </si>
  <si>
    <t>Tube IRL PVC diam. 40</t>
  </si>
  <si>
    <t>F2.33</t>
  </si>
  <si>
    <t>Tube IRL PVC diam. 50</t>
  </si>
  <si>
    <t>F2.34</t>
  </si>
  <si>
    <t>Tube IRL PVC diam. 63</t>
  </si>
  <si>
    <t>F2.35</t>
  </si>
  <si>
    <t>Tube IRL sans halogène diam. 16</t>
  </si>
  <si>
    <t>F2.36</t>
  </si>
  <si>
    <t>Tube IRL sans halogène diam. 20</t>
  </si>
  <si>
    <t>F2.37</t>
  </si>
  <si>
    <t>Tube IRL sans halogène diam. 25</t>
  </si>
  <si>
    <t>F2.38</t>
  </si>
  <si>
    <t>Tube IRL sans halogène diam. 32</t>
  </si>
  <si>
    <t>F2.39</t>
  </si>
  <si>
    <t>Tube IRL sans halogène diam. 40</t>
  </si>
  <si>
    <t>F2.40</t>
  </si>
  <si>
    <t>Tube IRL sans halogène diam. 50</t>
  </si>
  <si>
    <t>F2.41</t>
  </si>
  <si>
    <t>Tube IRL sans halogène diam. 63</t>
  </si>
  <si>
    <t>F2.42</t>
  </si>
  <si>
    <t>Gaine cintrable en acier flexible</t>
  </si>
  <si>
    <t>F2.43</t>
  </si>
  <si>
    <t>Gaine acier flexible diam. 16</t>
  </si>
  <si>
    <t>F2.44</t>
  </si>
  <si>
    <t>Gaine acier flexible diam. 20</t>
  </si>
  <si>
    <t>F2.45</t>
  </si>
  <si>
    <t>Gaine acier flexible diam. 25</t>
  </si>
  <si>
    <t>F2.46</t>
  </si>
  <si>
    <t>Gaine acier flexible diam. 32</t>
  </si>
  <si>
    <t>F2.47</t>
  </si>
  <si>
    <t>Goulotte</t>
  </si>
  <si>
    <t>F2.48</t>
  </si>
  <si>
    <t>Goulotte 90 x 40 triple compartiments</t>
  </si>
  <si>
    <t>F2.49</t>
  </si>
  <si>
    <t>Goulotte 60 x 30</t>
  </si>
  <si>
    <t>F2.50</t>
  </si>
  <si>
    <t>Goulotte 50 x 20</t>
  </si>
  <si>
    <t>F2.51</t>
  </si>
  <si>
    <t>Fourreau</t>
  </si>
  <si>
    <t>F2.52</t>
  </si>
  <si>
    <t>Fourreau diam. 40</t>
  </si>
  <si>
    <t>F2.53</t>
  </si>
  <si>
    <t>Fourreau diam. 63</t>
  </si>
  <si>
    <t>F2.54</t>
  </si>
  <si>
    <t>Fourreau diam. 75</t>
  </si>
  <si>
    <t>F2.55</t>
  </si>
  <si>
    <t>Fourreau diam. 90</t>
  </si>
  <si>
    <t>F2.56</t>
  </si>
  <si>
    <t>Fourreau diam. 110</t>
  </si>
  <si>
    <t>F2.57</t>
  </si>
  <si>
    <t>Fourreau diam. 160</t>
  </si>
  <si>
    <t>F2.58</t>
  </si>
  <si>
    <t>Fourreau fendu diam. 40</t>
  </si>
  <si>
    <t>F2.59</t>
  </si>
  <si>
    <t>Fourreau fendu diam. 63</t>
  </si>
  <si>
    <t>F2.60</t>
  </si>
  <si>
    <t>Fourreau fendu diam. 75</t>
  </si>
  <si>
    <t>F2.61</t>
  </si>
  <si>
    <t>Fourreau fendu diam. 90</t>
  </si>
  <si>
    <t>F2.62</t>
  </si>
  <si>
    <t>Fourreau fendu diam. 110</t>
  </si>
  <si>
    <t>F2.63</t>
  </si>
  <si>
    <t>Fourreau fendu diam. 160</t>
  </si>
  <si>
    <t>F3</t>
  </si>
  <si>
    <t xml:space="preserve">Baie et coffret </t>
  </si>
  <si>
    <t>F3.1</t>
  </si>
  <si>
    <t xml:space="preserve">Baie TELECOM ou CFA équipée suivant spécifications du CSFT </t>
  </si>
  <si>
    <t>F3.2</t>
  </si>
  <si>
    <t>Baie équipée - IP53 - 24U  - L x P : 600 x 600 porte avant vitrée</t>
  </si>
  <si>
    <t>F3.3</t>
  </si>
  <si>
    <t>Baie équipée - IP53 - 36U  - L x P : 600 x 600 porte avant vitrée</t>
  </si>
  <si>
    <t>F3.4</t>
  </si>
  <si>
    <t>Baie équipée - IP53 - 36U  - L x P : 600 x 800 porte avant vitrée</t>
  </si>
  <si>
    <t>F3.5</t>
  </si>
  <si>
    <t xml:space="preserve">Baie équipée - IP53 - 36U  - L x P : 800 x 600 porte avant vitrée </t>
  </si>
  <si>
    <t>F3.6</t>
  </si>
  <si>
    <t>Baie équipée - IP53 - 36U  - L x P : 800 x 800 porte avant vitrée</t>
  </si>
  <si>
    <t>F3.7</t>
  </si>
  <si>
    <t>Baie équipée - IP53 - 38U  - L x P : 600 x 600 porte avant vitrée</t>
  </si>
  <si>
    <t>F3.8</t>
  </si>
  <si>
    <t xml:space="preserve">Baie équipée - IP53 - 38U  - L x P : 600 x 800 porte avant vitrée </t>
  </si>
  <si>
    <t>F3.9</t>
  </si>
  <si>
    <t xml:space="preserve">Baie équipée - IP53 - 38U  - L x P : 800 x 600 porte avant vitrée </t>
  </si>
  <si>
    <t>F3.10</t>
  </si>
  <si>
    <t>Baie équipée - IP53 - 38U  - L x P : 800 x 800 porte avant vitrée</t>
  </si>
  <si>
    <t>F3.11</t>
  </si>
  <si>
    <t>Baie équipée - IP53 - 42U  - L x P : 600 x 600 porte avant vitrée</t>
  </si>
  <si>
    <t>F3.12</t>
  </si>
  <si>
    <t>Baie équipée - IP53 - 42U  - L x P : 600 x 800 porte avant vitrée</t>
  </si>
  <si>
    <t>F3.13</t>
  </si>
  <si>
    <t>Baie équipée - IP53 - 42U  - L x P : 800 x 600 porte avant vitrée</t>
  </si>
  <si>
    <t>F3.14</t>
  </si>
  <si>
    <t>Baie équipée - IP53 - 42U  - L x P : 800 x 800 porte avant vitrée</t>
  </si>
  <si>
    <t>F3.15</t>
  </si>
  <si>
    <t>Baie équipée - IP53 - 42U  - L x P : 800 x 1000 porte avant vitrée</t>
  </si>
  <si>
    <t>F3.16</t>
  </si>
  <si>
    <t>Baie équipée - IP53 - 24U  - L x P : 600 x 600 porte avant pleine</t>
  </si>
  <si>
    <t>F3.17</t>
  </si>
  <si>
    <t>Baie équipée - IP53 - 36U  - L x P : 600 x 600 porte avant pleine</t>
  </si>
  <si>
    <t>F3.18</t>
  </si>
  <si>
    <t>Baie équipée - IP53 - 36U  - L x P : 600 x 800 porte avant pleine</t>
  </si>
  <si>
    <t>F3.19</t>
  </si>
  <si>
    <t xml:space="preserve">Baie équipée - IP53 - 36U  - L x P : 800 x 600 porte avant pleine </t>
  </si>
  <si>
    <t>F3.20</t>
  </si>
  <si>
    <t>Baie équipée - IP53 - 36U  - L x P : 800 x 800 porte avant pleine</t>
  </si>
  <si>
    <t>F3.21</t>
  </si>
  <si>
    <t>Baie équipée - IP53 - 38U  - L x P : 600 x 600 porte avant pleine</t>
  </si>
  <si>
    <t>F3.22</t>
  </si>
  <si>
    <t xml:space="preserve">Baie équipée - IP53 - 38U  - L x P : 600 x 800 porte avant pleine </t>
  </si>
  <si>
    <t>F3.23</t>
  </si>
  <si>
    <t xml:space="preserve">Baie équipée - IP53 - 38U  - L x P : 800 x 600 porte avant pleine </t>
  </si>
  <si>
    <t>F3.24</t>
  </si>
  <si>
    <t>Baie équipée - IP53 - 38U  - L x P : 800 x 800 porte avant pleine</t>
  </si>
  <si>
    <t>F3.25</t>
  </si>
  <si>
    <t>Baie équipée - IP53 - 42U  - L x P : 600 x 600 porte avant pleine</t>
  </si>
  <si>
    <t>F3.26</t>
  </si>
  <si>
    <t>Baie équipée - IP53 - 42U  - L x P : 600 x 800 porte avant pleine</t>
  </si>
  <si>
    <t>F3.27</t>
  </si>
  <si>
    <t>Baie équipée - IP53 - 42U  - L x P : 800 x 600 porte avant pleine</t>
  </si>
  <si>
    <t>F3.28</t>
  </si>
  <si>
    <t>Baie équipée - IP53 - 42U  - L x P : 800 x 800 porte avant pleine</t>
  </si>
  <si>
    <t>F3.29</t>
  </si>
  <si>
    <t>Baie équipée - IP53 - 42U  - L x P : 800 x 1000 porte avant pleine</t>
  </si>
  <si>
    <t>F3.30</t>
  </si>
  <si>
    <t>Baie équipée - IP22 - 42U  - L x P : 800 x 1000 porte avant grillagée</t>
  </si>
  <si>
    <t>F3.31</t>
  </si>
  <si>
    <t xml:space="preserve">Coffrets TELECOM ou CFA équipé suivant spécifications du CSFT </t>
  </si>
  <si>
    <t>F3.32</t>
  </si>
  <si>
    <t>Coffret équipé - IP53 - 9U - L x P : 600 x 600  porte avant vitrée</t>
  </si>
  <si>
    <t>F3.33</t>
  </si>
  <si>
    <t>Coffret équipé - IP53 - 12U - L x P : 600 x 600  porte avant vitrée</t>
  </si>
  <si>
    <t>F3.34</t>
  </si>
  <si>
    <t>Coffret équipé - IP53 - 9U - L x P : 600 x 600  porte avant pleine</t>
  </si>
  <si>
    <t>F3.35</t>
  </si>
  <si>
    <t>Coffret équipé - IP53 - 12U - L x P : 600 x 600  porte avant pleine</t>
  </si>
  <si>
    <t>F3.36</t>
  </si>
  <si>
    <t xml:space="preserve">Coffrets de brassage équipé suivant spécifications du CSFT </t>
  </si>
  <si>
    <t>F3.37</t>
  </si>
  <si>
    <t>Coffret de brassage type 1</t>
  </si>
  <si>
    <t>F3.38</t>
  </si>
  <si>
    <t>Coffret de brassage type 2</t>
  </si>
  <si>
    <t>F3.39</t>
  </si>
  <si>
    <t>Accessoire pour baies ou coffret</t>
  </si>
  <si>
    <t>F3.40</t>
  </si>
  <si>
    <t>Boitier alimentation sans interrupteur et sans cordon - 19'' - 6 prises 2P+T</t>
  </si>
  <si>
    <t>F3.41</t>
  </si>
  <si>
    <t>Boitier alimentation sans interrupteur et sans cordon - 19'' - 9 prises 2P+T</t>
  </si>
  <si>
    <t>F3.42</t>
  </si>
  <si>
    <t>Bloc de jonction toutes couleurs - 4 mm²</t>
  </si>
  <si>
    <t>F3.43</t>
  </si>
  <si>
    <t>Interrupteur sectionneur bipolaire à bascule pour rail DIN,  250V - 2A à 10A</t>
  </si>
  <si>
    <t>F3.44</t>
  </si>
  <si>
    <t>Interrupteur sectionneur bipolaire à bascule pour rail DIN,  250V - 16A à 32A</t>
  </si>
  <si>
    <t>F3.45</t>
  </si>
  <si>
    <t>Bandeau 19" 1U guide cordon</t>
  </si>
  <si>
    <t>F3.46</t>
  </si>
  <si>
    <t>Bandeau RJ45 19" 1U - 16 ports</t>
  </si>
  <si>
    <t>F3.47</t>
  </si>
  <si>
    <t>Bandeau RJ45 19" 1U - 24 ports</t>
  </si>
  <si>
    <t>F3.48</t>
  </si>
  <si>
    <t>Bandeau RJ45 19" 2U - 32 ports</t>
  </si>
  <si>
    <t>F3.49</t>
  </si>
  <si>
    <t xml:space="preserve">Noyau RJ45 adapté au type de câble </t>
  </si>
  <si>
    <t>F3.50</t>
  </si>
  <si>
    <t>Bandeau RJ45 19" 1U - 16 ports, équipé de 16 noyaux RJ45 adapté au type de câble</t>
  </si>
  <si>
    <t>F3.51</t>
  </si>
  <si>
    <t xml:space="preserve">Bandeau RJ45 19" 1U - 24 ports, équipé de 24 noyaux RJ45 adapté au type de câble </t>
  </si>
  <si>
    <t>F3.52</t>
  </si>
  <si>
    <t xml:space="preserve">Bandeau RJ45 19" 2U - 32 ports, équipé de 32 noyaux RJ45 adapté au type de câble </t>
  </si>
  <si>
    <t>F3.53</t>
  </si>
  <si>
    <t>Barillet avec jeu de clé 610</t>
  </si>
  <si>
    <t>F3.54</t>
  </si>
  <si>
    <t xml:space="preserve">Etagère 19'' fixe ajourée - L x P : 600 x 600 </t>
  </si>
  <si>
    <t>F3.55</t>
  </si>
  <si>
    <t>Etagère 19'' fixe ajourée - L x P : 600 x 800</t>
  </si>
  <si>
    <t>F3.56</t>
  </si>
  <si>
    <t>Etagère 19'' fixe ajourée - L x P : 800 x 600</t>
  </si>
  <si>
    <t>F3.57</t>
  </si>
  <si>
    <t>Etagère 19'' fixe ajourée - L x P : 800 x 800</t>
  </si>
  <si>
    <t>F3.58</t>
  </si>
  <si>
    <t>Etagère 19'' fixe ajourée - L x P : 800 x 1000</t>
  </si>
  <si>
    <t>F3.59</t>
  </si>
  <si>
    <t xml:space="preserve">Etagère 19'' télescopique ajourée - L x P : 600 x 600 </t>
  </si>
  <si>
    <t>F3.60</t>
  </si>
  <si>
    <t>Etagère 19'' télescopique ajourée - L x P : 600 x 800</t>
  </si>
  <si>
    <t>F3.61</t>
  </si>
  <si>
    <t>Etagère 19'' télescopique ajourée - L x P : 800 x 600</t>
  </si>
  <si>
    <t>F3.62</t>
  </si>
  <si>
    <t>Etagère 19'' télescopique ajourée - L x P : 800 x 800</t>
  </si>
  <si>
    <t>F3.63</t>
  </si>
  <si>
    <t>Etagère 19'' télescopique ajourée - L x P : 800 x 1000</t>
  </si>
  <si>
    <t>F3.64</t>
  </si>
  <si>
    <t>Jeu de montants pour baie 24U</t>
  </si>
  <si>
    <t>F3.65</t>
  </si>
  <si>
    <t>Jeu de montants pour baie 36U</t>
  </si>
  <si>
    <t>F3.66</t>
  </si>
  <si>
    <t>Jeu de montants pour baie 38U</t>
  </si>
  <si>
    <t>F3.67</t>
  </si>
  <si>
    <t>Jeu de montants pour baie 42U</t>
  </si>
  <si>
    <t>F3.68</t>
  </si>
  <si>
    <t>Jeu de cornière support d'équipement - P : 600</t>
  </si>
  <si>
    <t>F3.69</t>
  </si>
  <si>
    <t>Jeu de cornière support d'équipement - P : 800</t>
  </si>
  <si>
    <t>F3.70</t>
  </si>
  <si>
    <t>Jeu de cornière support d'équipement - P : 1000</t>
  </si>
  <si>
    <t>F3.71</t>
  </si>
  <si>
    <t>Support de baie</t>
  </si>
  <si>
    <t>F3.72</t>
  </si>
  <si>
    <t xml:space="preserve">Socle pour baie 600 x 600 </t>
  </si>
  <si>
    <t>F3.73</t>
  </si>
  <si>
    <t>Socle pour baie 600 x 800</t>
  </si>
  <si>
    <t>F3.74</t>
  </si>
  <si>
    <t>Socle pour baie 800 x 600</t>
  </si>
  <si>
    <t>F3.75</t>
  </si>
  <si>
    <t xml:space="preserve">Socle pour baie 800 x 800 </t>
  </si>
  <si>
    <t>F3.76</t>
  </si>
  <si>
    <t xml:space="preserve">Socle pour baie 800 x 1000 </t>
  </si>
  <si>
    <t>F3.77</t>
  </si>
  <si>
    <t xml:space="preserve">Chaise pour faux plancher 600 x 600 </t>
  </si>
  <si>
    <t>F3.78</t>
  </si>
  <si>
    <t>Chaise pour faux plancher 600 x 800</t>
  </si>
  <si>
    <t>F3.79</t>
  </si>
  <si>
    <t>Chaise pour faux plancher 800 x 600</t>
  </si>
  <si>
    <t>F3.80</t>
  </si>
  <si>
    <t xml:space="preserve">Chaise pour faux plancher 800 x 800 </t>
  </si>
  <si>
    <t>F3.81</t>
  </si>
  <si>
    <t xml:space="preserve">Chaise pour faux plancher 800 x 1000 </t>
  </si>
  <si>
    <t>F3.82</t>
  </si>
  <si>
    <t>Appareil d'alimentation électrique</t>
  </si>
  <si>
    <t>F3.83</t>
  </si>
  <si>
    <t>Module de transfert d'alimentation type Riello UPS IRMS ou équivalent 2 entrées,8 sorties</t>
  </si>
  <si>
    <t>F3.84</t>
  </si>
  <si>
    <t>Atelier d'énergie 48V continu avec groupe batterie de type Eltek 48V ou équivalent</t>
  </si>
  <si>
    <t>F4</t>
  </si>
  <si>
    <t>F4.1</t>
  </si>
  <si>
    <t xml:space="preserve">Répartiteur câble cuivre </t>
  </si>
  <si>
    <t>F4.2</t>
  </si>
  <si>
    <t>Répartiteur câble cuivre monoface - 2 fermes</t>
  </si>
  <si>
    <t>F4.3</t>
  </si>
  <si>
    <t>Répartiteur câble cuivre monoface - 4 fermes</t>
  </si>
  <si>
    <t>F4.4</t>
  </si>
  <si>
    <t>Répartiteur câble cuivre monoface - 6 fermes</t>
  </si>
  <si>
    <t>F4.5</t>
  </si>
  <si>
    <t xml:space="preserve">Répartiteur câble optique </t>
  </si>
  <si>
    <t>F4.6</t>
  </si>
  <si>
    <t>Répartiteur câble optique monoface - 2 fermes dont 1 ferme équipable</t>
  </si>
  <si>
    <t>F4.7</t>
  </si>
  <si>
    <t>Répartiteur câble optique monoface - 4 fermes dont 2 fermes équipables</t>
  </si>
  <si>
    <t>F4.8</t>
  </si>
  <si>
    <t>Répartiteur câble optique monoface - 6 fermes dont 3 fermes équipables</t>
  </si>
  <si>
    <t>F4.9</t>
  </si>
  <si>
    <t>Répartiteur mixte cuivre et optique</t>
  </si>
  <si>
    <t>F4.10</t>
  </si>
  <si>
    <t>Répartiteur mixte monoface - 2 fermes dont 2 ferme équipable</t>
  </si>
  <si>
    <t>F4.11</t>
  </si>
  <si>
    <t>Accessoire</t>
  </si>
  <si>
    <t>F4.12</t>
  </si>
  <si>
    <t xml:space="preserve">Anneau ouvert + bride anti-rotation </t>
  </si>
  <si>
    <t>F4.13</t>
  </si>
  <si>
    <t>Anneau fermé petit modèle</t>
  </si>
  <si>
    <t>F4.14</t>
  </si>
  <si>
    <t>Anneau fermé grand modèle</t>
  </si>
  <si>
    <t>F4.15</t>
  </si>
  <si>
    <t>Equerre support anneau</t>
  </si>
  <si>
    <t>F4.16</t>
  </si>
  <si>
    <t>Barre cuivre trou taraudé 12x2 / 110A</t>
  </si>
  <si>
    <t>F4.17</t>
  </si>
  <si>
    <t>Entretoise longueur 17cm</t>
  </si>
  <si>
    <t>F4.18</t>
  </si>
  <si>
    <t>Entretoise longueur 25cm</t>
  </si>
  <si>
    <t>F4.19</t>
  </si>
  <si>
    <t xml:space="preserve">Ferme monoface </t>
  </si>
  <si>
    <t>F4.20</t>
  </si>
  <si>
    <t>Ferme double faces</t>
  </si>
  <si>
    <t>F4.21</t>
  </si>
  <si>
    <t>Rail Alu 2 mètres HPUL</t>
  </si>
  <si>
    <t>F4.22</t>
  </si>
  <si>
    <t>Support étiquette repérage de ferme (étiquette incluse)</t>
  </si>
  <si>
    <t>F5</t>
  </si>
  <si>
    <t>Infrastructure cuivre</t>
  </si>
  <si>
    <t>F5.1</t>
  </si>
  <si>
    <t>Tête pour câble 100Ω catégorie 6</t>
  </si>
  <si>
    <t>F5.2</t>
  </si>
  <si>
    <t xml:space="preserve">Tête RJ45 complète (bandeau + noyau catégorie 6 ) pour câble 100Ω 4 paires </t>
  </si>
  <si>
    <t>F5.3</t>
  </si>
  <si>
    <t xml:space="preserve">Tête RJ45 complète (bandeau + noyaux catégorie 6 ) pour câble 100Ω 2 x 4 paires </t>
  </si>
  <si>
    <t>F5.4</t>
  </si>
  <si>
    <t>Tête pour câble à paire 6/10</t>
  </si>
  <si>
    <t>F5.5</t>
  </si>
  <si>
    <t>Tête CAD complète RIM (modules + porte étiquette + intercalaire) toutes couleurs pour câble 2, 4 , 5, 7 ou 8 paires</t>
  </si>
  <si>
    <t>F5.6</t>
  </si>
  <si>
    <t>Tête CAD complète RIM (modules + porte étiquette + intercalaire) toutes couleurs pour câble 14 ou 15 paires</t>
  </si>
  <si>
    <t>F5.7</t>
  </si>
  <si>
    <t>Tête CAD complète RIM (modules + porte étiquette + intercalaire) toutes couleurs pour câble 21 paires</t>
  </si>
  <si>
    <t>F5.8</t>
  </si>
  <si>
    <t>Tête CAD complète RIM (modules + porte étiquette + intercalaire) toutes couleurs pour câble 28 ou 30 paires</t>
  </si>
  <si>
    <t>F5.9</t>
  </si>
  <si>
    <t>Tête CAD complète RIM (modules + porte étiquette + intercalaire) toutes couleurs pour câble 56 paires</t>
  </si>
  <si>
    <t>F5.10</t>
  </si>
  <si>
    <t>Tête RJ45 complète (bandeau + noyaux ) pour câble 56 paires - câblage mirroir 2 paires</t>
  </si>
  <si>
    <t>F5.11</t>
  </si>
  <si>
    <t>Tête RJ45 complète (bandeau + noyaux ) pour câble 56 paires - câblage mirroir 4 paires</t>
  </si>
  <si>
    <t>F5.12</t>
  </si>
  <si>
    <t>Porte étiquette CAD 8PA + intercalaire</t>
  </si>
  <si>
    <t>F5.13</t>
  </si>
  <si>
    <t>Module CAD type 1 (RCP) toutes couleurs</t>
  </si>
  <si>
    <t>F5.14</t>
  </si>
  <si>
    <t>Module CAD type 2 (RIM) toutes couleurs</t>
  </si>
  <si>
    <t>F5.15</t>
  </si>
  <si>
    <t>Tête pour câble à paire 10/10</t>
  </si>
  <si>
    <t>F5.16</t>
  </si>
  <si>
    <t>Bornier Type Phoenix contact TS-A-SIT OSC 4PV-10/10-B ou équivalent 4 paires</t>
  </si>
  <si>
    <t>F5.17</t>
  </si>
  <si>
    <t>Bornier Type Phoenix contact TS-A-SIT OSC 8PV-10/10-B ou équivalent 8 paires</t>
  </si>
  <si>
    <t>F5.18</t>
  </si>
  <si>
    <t>Bornier Type Phoenix contact TS-A-SIT OSC 14PV-10/10-B ou équivalent 14 paires</t>
  </si>
  <si>
    <t>F5.19</t>
  </si>
  <si>
    <t>Bornier Type Phoenix contact TS-A-SIT OSC 28PV-10/10-B ou équivalent 28 paires</t>
  </si>
  <si>
    <t>F5.20</t>
  </si>
  <si>
    <t>Bornier Type Phoenix contact TS-A-SIT OSC 38PV-10/10-B ou équivalent 38 paires</t>
  </si>
  <si>
    <t>F5.21</t>
  </si>
  <si>
    <t>Bornier Type Phoenix contactTS-A-SIT OSC 56PV-10/10-B ou équivalent 56 paires</t>
  </si>
  <si>
    <t>F5.22</t>
  </si>
  <si>
    <t>Bornier Type Phoenix contact réf: 51501135/A ou équivalent 112 paires</t>
  </si>
  <si>
    <t>F5.23</t>
  </si>
  <si>
    <t>Tête pour câble à paire 16/10</t>
  </si>
  <si>
    <t>F5.24</t>
  </si>
  <si>
    <t>Bornier Type Phoenix contact SIT OSC 6C-16/10 ou équivalent 6 conducteurs</t>
  </si>
  <si>
    <t>F5.25</t>
  </si>
  <si>
    <t>Bornier Type Phoenix contact SIT OSC 14C-16/10  ou équivalent 14 conducteurs</t>
  </si>
  <si>
    <t>F5.26</t>
  </si>
  <si>
    <t>Bornier Type Phoenix contact SIT OSC 24C-16/10  ou équivalent 24 conducteurs</t>
  </si>
  <si>
    <t>F5.27</t>
  </si>
  <si>
    <t>Bornier Type Phoenix contact SIT OSC 36C-16/10  ou équivalent 36 conducteurs</t>
  </si>
  <si>
    <t>F5.28</t>
  </si>
  <si>
    <t>Bornier Type Phoenix contact SIT OSC 60C-16/10  ou équivalent 60 conducteurs</t>
  </si>
  <si>
    <t>F5.29</t>
  </si>
  <si>
    <t>Cordon et jarretières</t>
  </si>
  <si>
    <t>F5.30</t>
  </si>
  <si>
    <t>Cordon brassage RJ45 CAT6 (droit ou croisé, toutes couleurs), longueur jusqu'à 1m</t>
  </si>
  <si>
    <t>F5.31</t>
  </si>
  <si>
    <t>Cordon brassage RJ45 CAT6 (droit ou croisé, toutes couleurs), longueur jusqu'à 2m</t>
  </si>
  <si>
    <t>F5.32</t>
  </si>
  <si>
    <t>Cordon brassage RJ45 CAT6 (droit ou croisé, toutes couleurs), longueur jusqu'à 3m</t>
  </si>
  <si>
    <t>F5.33</t>
  </si>
  <si>
    <t>Cordon brassage RJ45 CAT6 (droit ou croisé, toutes couleurs), longueur jusqu'à 5m</t>
  </si>
  <si>
    <t>F5.34</t>
  </si>
  <si>
    <t>Cordon brassage RJ45 CAT6 (droit ou croisé, toutes couleurs), longueur jusqu'à 10m</t>
  </si>
  <si>
    <t>F5.35</t>
  </si>
  <si>
    <t>Jarretière 9/10 en 1 paire  torsadées (Bleu – Blanc/Rouge), bobine de 100m</t>
  </si>
  <si>
    <t>F5.36</t>
  </si>
  <si>
    <t>Jarretière 9/10 en quarte (2 paires torsadée) (paire 1 : Blanc – Bleu, paire 2 : Jaune – Marron), bobine de 100m</t>
  </si>
  <si>
    <t>F5.37</t>
  </si>
  <si>
    <t>Jarretière 9/10 en tierce (3 paires torsadées) (paire 1 : Blanc – Bleu, paire 2 : Jaune – Marron, paire 3 : Noir -  Rouge), bobine de 100m</t>
  </si>
  <si>
    <t>F5.38</t>
  </si>
  <si>
    <t>Jarretière 5/10 en 1 paire torsadée toutes couleurs, bobine de 100m</t>
  </si>
  <si>
    <t>F5.39</t>
  </si>
  <si>
    <t>Bague repérage - osselet</t>
  </si>
  <si>
    <t>F5.40</t>
  </si>
  <si>
    <t>Manchon à glissière</t>
  </si>
  <si>
    <t>F5.41</t>
  </si>
  <si>
    <t>Manchon à glissière - 4, 8, 14 ou 28 paires</t>
  </si>
  <si>
    <t>F5.42</t>
  </si>
  <si>
    <t>Manchon à glissière - 56 paires</t>
  </si>
  <si>
    <t>F5.43</t>
  </si>
  <si>
    <t>Manchon à glissière - 112 paires</t>
  </si>
  <si>
    <t>F5.44</t>
  </si>
  <si>
    <t>Manchon à glissière - 224 paires</t>
  </si>
  <si>
    <t>F5.45</t>
  </si>
  <si>
    <t>Trousses pour câble 6/10</t>
  </si>
  <si>
    <t>F5.46</t>
  </si>
  <si>
    <t>Trousses pour câble 6/10 - 4 paires</t>
  </si>
  <si>
    <t>F5.47</t>
  </si>
  <si>
    <t>Trousses pour câble 6/10 - 8 paires</t>
  </si>
  <si>
    <t>F5.48</t>
  </si>
  <si>
    <t>Trousses pour câble 6/10 - 14 paires</t>
  </si>
  <si>
    <t>F5.49</t>
  </si>
  <si>
    <t>Trousses pour câble 6/10 - 28 paires</t>
  </si>
  <si>
    <t>F5.50</t>
  </si>
  <si>
    <t>Trousses pour câble 6/10 - 38 paires</t>
  </si>
  <si>
    <t>F5.51</t>
  </si>
  <si>
    <t>Trousses pour câble 6/10 - 56 paires</t>
  </si>
  <si>
    <t>F5.52</t>
  </si>
  <si>
    <t>Trousses pour câble 6/10 - 112 paires</t>
  </si>
  <si>
    <t>F5.53</t>
  </si>
  <si>
    <t>Trousses pour câble 10/10</t>
  </si>
  <si>
    <t>F5.54</t>
  </si>
  <si>
    <t>Trousses pour câble 10/10 - 4 paires</t>
  </si>
  <si>
    <t>F5.55</t>
  </si>
  <si>
    <t>Trousses pour câble 10/10 - 8 paires</t>
  </si>
  <si>
    <t>F5.56</t>
  </si>
  <si>
    <t>Trousses pour câble 10/10 - 14 paires</t>
  </si>
  <si>
    <t>F5.57</t>
  </si>
  <si>
    <t>Trousses pour câble 10/10 - 28 paires</t>
  </si>
  <si>
    <t>F5.58</t>
  </si>
  <si>
    <t>Trousses pour câble 10/10 - 38 paires</t>
  </si>
  <si>
    <t>F5.59</t>
  </si>
  <si>
    <t>Trousses pour câble 10/10 - 56 paires</t>
  </si>
  <si>
    <t>F5.60</t>
  </si>
  <si>
    <t>Trousses pour câble 10/10 - 112 paires</t>
  </si>
  <si>
    <t>F5.61</t>
  </si>
  <si>
    <t>Trousses pour câble 16/10</t>
  </si>
  <si>
    <t>F5.62</t>
  </si>
  <si>
    <t>Trousses pour câble 16/10 - 6 conducteurs</t>
  </si>
  <si>
    <t>F5.63</t>
  </si>
  <si>
    <t>Trousses pour câble 16/10 - 14 conducteurs</t>
  </si>
  <si>
    <t>F5.64</t>
  </si>
  <si>
    <t>Trousses pour câble 16/10 - 24 conducteurs</t>
  </si>
  <si>
    <t>F5.65</t>
  </si>
  <si>
    <t>Trousses pour câble 16/10 - 36 conducteurs</t>
  </si>
  <si>
    <t>F5.66</t>
  </si>
  <si>
    <t>Trousses pour câble 16/10 - 60 conducteurs</t>
  </si>
  <si>
    <t>F5.67</t>
  </si>
  <si>
    <t>Manchon à souder Diam 16/10 (férets)</t>
  </si>
  <si>
    <t>F5.68</t>
  </si>
  <si>
    <t>Point d'accès (PA)</t>
  </si>
  <si>
    <t>F5.69</t>
  </si>
  <si>
    <t>PA unitaire encastré</t>
  </si>
  <si>
    <t>F5.70</t>
  </si>
  <si>
    <t>PA unitaire en applique</t>
  </si>
  <si>
    <t>F5.71</t>
  </si>
  <si>
    <t>PA bureautique encastré</t>
  </si>
  <si>
    <t>F5.72</t>
  </si>
  <si>
    <t>PA bureautique en applique</t>
  </si>
  <si>
    <t>F5.73</t>
  </si>
  <si>
    <t>PA étanche 1RJ45</t>
  </si>
  <si>
    <t>F5.74</t>
  </si>
  <si>
    <t>PA étanche 2RJ45</t>
  </si>
  <si>
    <t>F6</t>
  </si>
  <si>
    <t>Infrastructure 75Ω Vidéo</t>
  </si>
  <si>
    <t>F6.1</t>
  </si>
  <si>
    <t xml:space="preserve">Cordon BNC </t>
  </si>
  <si>
    <t>F6.2</t>
  </si>
  <si>
    <t>Cordon coaxial 75Ω - BNC m.  / BNC m. - longueur jusqu'à 1m</t>
  </si>
  <si>
    <t>F6.3</t>
  </si>
  <si>
    <t>Cordon coaxial 75Ω - BNC m.  / BNC m. - longueur jusqu'à 2m</t>
  </si>
  <si>
    <t>F6.4</t>
  </si>
  <si>
    <t>Cordon coaxial 75Ω - BNC m.  / BNC m. - longueur jusqu'à 3m</t>
  </si>
  <si>
    <t>F6.5</t>
  </si>
  <si>
    <t>Cordon coaxial 75Ω - BNC m.  / BNC m. - longueur jusqu'à 5m</t>
  </si>
  <si>
    <t>F6.6</t>
  </si>
  <si>
    <t>Cordon coaxial 75Ω - BNC m.  / BNC m. - longueur jusqu'à 10m</t>
  </si>
  <si>
    <t>F6.7</t>
  </si>
  <si>
    <t>Connecteur et autre</t>
  </si>
  <si>
    <t>F6.8</t>
  </si>
  <si>
    <t>Connecteur à compression BNC - mâle</t>
  </si>
  <si>
    <t>F6.9</t>
  </si>
  <si>
    <t>Connecteur à compression BNC - femelle</t>
  </si>
  <si>
    <t>F6.10</t>
  </si>
  <si>
    <t xml:space="preserve">Bandeau BNC équipé de 16 traversées BNC isolées  - BNC f. / BNC f. </t>
  </si>
  <si>
    <t>F6.11</t>
  </si>
  <si>
    <t xml:space="preserve">Traversées BNC isolées  - BNC f. / BNC f. </t>
  </si>
  <si>
    <t>F6.12</t>
  </si>
  <si>
    <t xml:space="preserve">Transition BNC f. / BNC f. </t>
  </si>
  <si>
    <t>F6.13</t>
  </si>
  <si>
    <t xml:space="preserve">Traversée standard  pour panneau epoxy - BNC f. / BNC f. </t>
  </si>
  <si>
    <t>F7</t>
  </si>
  <si>
    <t>Infrastructure Optique</t>
  </si>
  <si>
    <t>F7.1</t>
  </si>
  <si>
    <t>Tiroir d'épissurage</t>
  </si>
  <si>
    <t>F7.2</t>
  </si>
  <si>
    <t>Module NEXAN PES24 1U 19" /ETSI, ouverture à droite ou à gauche, platine de lovage pigtails intégrées, équipé de 1 cassette d'épissurage 24 soudure, arrimage de câbles ou équivalent</t>
  </si>
  <si>
    <t>F7.3</t>
  </si>
  <si>
    <t>Tiroir à pigtail monomode</t>
  </si>
  <si>
    <t>F7.4</t>
  </si>
  <si>
    <t>Module NEXAN PES24 1U 19" /ETSI, ouverture à droite ou à gauche, platine de lovage pigtails intégrées, équipé de 6 pigtails LC/PC monomode longueur utile 2,5m diam 2,0 mm jaune, 1 cassette d'épissurage 24 soudure, arrimage de câbles ou équivalent</t>
  </si>
  <si>
    <t>F7.5</t>
  </si>
  <si>
    <t>Module NEXAN PES24 1U 19" /ETSI, ouverture à droite ou à gauche, platine de lovage pigtails intégrées, équipé de 12 pigtails LC/PC monomode longueur utile 2,5m diam 2,0 mm jaune, 1 cassette d'épissurage 24 soudure, arrimage de câbles ou équivalent</t>
  </si>
  <si>
    <t>F7.6</t>
  </si>
  <si>
    <t>Module NEXAN PES24 1U 19" /ETSI, ouverture à droite ou à gauche, platine de lovage pigtails intégrées, équipé de 24 pigtails LC/PC monomode longueur utile 2,5m diam 2,0 mm jaune, 1 cassette d'épissurage 24 soudure, arrimage de câbles ou équivalent</t>
  </si>
  <si>
    <t>F7.7</t>
  </si>
  <si>
    <t>Module NEXAN PES24 1U 19" /ETSI, ouverture à droite ou à gauche, platine de lovage pigtails intégrées, équipé de 6 pigtails MU/PC monomode longueur utile 2,5m diam 2,0 mm jaune, 1 cassette d'épissurage 24 soudure, arrimage de câbles ou équivalent</t>
  </si>
  <si>
    <t>F7.8</t>
  </si>
  <si>
    <t>Module NEXAN PES24 1U 19" /ETSI, ouverture à droite ou à gauche, platine de lovage pigtails intégrées, équipé de 12 pigtails MU/PC monomode longueur utile 2,5m diam 2,0 mm jaune, 1 cassette d'épissurage 24 soudure, arrimage de câbles ou équivalent</t>
  </si>
  <si>
    <t>F7.9</t>
  </si>
  <si>
    <t>Tiroir anti-rongeur IDEAOPTICAL iTES-24-HB-AR (réf 10168028) 1U 19" /ETSI ouverture à droite avec zone de lovage, équipé de 24 pigtails longs LC/UPC monomode G652D longueur utile 2m gaine diam 2,0 mm  jaune, kit fixation câble BEC-72/144, 2 cassettes épissurage IOC2, 1 coque arrière anti-rongeur, 1 m de gaine annelé, nécessaire de fixation 
ou matériel équivalent</t>
  </si>
  <si>
    <t>F7.10</t>
  </si>
  <si>
    <t>Tiroir anti-rongeur IDEAOPTICAL iTES-24-HB-AR (réf 10168029) 1U 19" /ETSI ouverture à droite avec zone de lovage, équipé de 24 pigtails longs SC/APC monomode G652D longueur utile 2m gaine diam 2,0 mm  jaune, kit fixation câble BEC-72/144, 2 cassettes épissurage IOC2, 1 coque arrière anti-rongeur, 1 m de gaine annelé, nécessaire de fixation 
ou matériel équivalent</t>
  </si>
  <si>
    <t>F7.11</t>
  </si>
  <si>
    <t>Tiroir à pigtail multimode</t>
  </si>
  <si>
    <t>F7.12</t>
  </si>
  <si>
    <t>Module NEXAN PES24 1U 19" /ETSI, ouverture à droite ou à gauche, platine de lovage pigtails intégrées, équipé de 24 pigtails LC/PC multimode 50/125 longueur utile 2,5m diam 2,0 mm orange, 1 cassette d'épissurage 24 soudure, arrimage de câbles ou équivalent</t>
  </si>
  <si>
    <t>F7.13</t>
  </si>
  <si>
    <t>Module NEXAN PES24 1U 19" /ETSI, ouverture à droite ou à gauche, platine de lovage pigtails intégrées, équipé de 48 pigtails LC/PC multimode 50/125 longueur utile 2,5m diam 2,0 mm orange, 2 cassettes d'épissurage 24 soudure, arrimage de câbles ou équivalent</t>
  </si>
  <si>
    <t>F7.14</t>
  </si>
  <si>
    <t>Tiroir anti-rongeur IDEAOPTICAL iTES-24-HB-AR (réf 10168030) 1U 19" /ETSI ouverture à droite avec zone de lovage, équipé de 24 pigtails longs LC mutimode 50/125 OM4 longueur utile 2m gaine diam 2,0 mm  orange kit fixation câble BEC-72/144, 2 cassettes épissurage IOC2, 1 coque arrière anti-rongeur, 1 m de gaine annelé, nécessaire de fixation
ou matériel équivalent</t>
  </si>
  <si>
    <t>F7.15</t>
  </si>
  <si>
    <t>Tiroir à pigtail mixte</t>
  </si>
  <si>
    <t>F7.16</t>
  </si>
  <si>
    <t>Tiroir anti-rongeur IDEAOPTICAL iTES-24-HB (réf 10168001) 1U 19" /ETSI ouverture à droite avec zone de lovage, kit fixation câble BEC_x001E_72/144, 2 cassettes épissurage IOC2, 1 coque arrière anti-rongeur, 1 m de gaine annelé, nécessaire de fixation 
ou matériel équivalent</t>
  </si>
  <si>
    <t>F7.17</t>
  </si>
  <si>
    <t>Tiroir anti-rongeur IDEAOPTICAL iTES-24-HB-AR (réf 10168031) 1U 19" /ETSI ouverture à droite avec zone de lovage, équipé de 12 pigtails longs (1 à 12) SC/APC  monomode G652D et 12 pigtails longs (13 à 24) LC/UPC monomode G652D longueur utile 2,5m gaine diam 2,0 mm  orange kit fixation câble BEC-72/144, 2 cassettes épissurage IOC2, 1 coque arrière anti-rongeur, 1 m de gaine annelé, nécessaire de fixation
ou matériel équivalent</t>
  </si>
  <si>
    <t>F7.18</t>
  </si>
  <si>
    <t>Tiroir à connecteur monomode</t>
  </si>
  <si>
    <t>F7.19</t>
  </si>
  <si>
    <t>Tiroir 12 FOMO anti-rongeur pivotant charnière à droite 1U 19" modèle IDEAOPTICAL iTOR-24-HB-AR (10136191203) équipé de :
12 pigtails SC/APC monomode, 12 raccords  SC/APC, 12 obturateurs, 1 cassette d'épissurage IOC2 24  positions,
1 arrimage de câble type BEC-AE-72, 2 m de gaine, 1 kit de mise à la terre, 1 kit de fixation et capot anti-rongeur
ou matériel équivalent</t>
  </si>
  <si>
    <t>F7.20</t>
  </si>
  <si>
    <t>Tiroir 24 FOMO anti-rongeur pivotant charnière à droite 1U 19" modèle IDEAOPTICAL iTOR-24-HB-AR (10136192404) équipé de :
24 pigtails SC/APC monomode, 24 raccords  SC/APC, 1 cassette d'épissurage IOC2 24  positions,
1 arrimage de câble type BEC-AE-72, 2 m de gaine, 1 kit de mise à la terre, 1 kit de fixation et capot anti-rongeur
ou matériel équivalent</t>
  </si>
  <si>
    <t>F7.21</t>
  </si>
  <si>
    <t>Tiroir 48 FOMO anti-rongeur pivotant charnière à droite 2U 19" modèle IDEAOPTICAL iTOR-24-HB-AR (10137194802) équipé de :
48 pigtails SC/APC monomode, 48 raccords  SC/APC, 2 cassettes d'épissurage IOC2 24  positions,
1 arrimage de câble type BEC-AE-72, 5 m de gaine, 1 kit de mise à la terre, 1 kit de fixation et capot anti-rongeur
ou matériel équivalent</t>
  </si>
  <si>
    <t>F7.22</t>
  </si>
  <si>
    <t>Tiroir IDEAOPTICAL iTOR-48-HB 2U 19" ouverture à droite ou gauche, équipé de 24 pigtails SC/APC monomode, 24 raccords SC/APC, 1 cassette épissurage ICO2-24 (en bas), 3 cassettes épissurage IOC2-12 (au-dessus), 2 kit fixation câble BEC-AE-72,  2x2m gaine annelée, capot anti-rongeur, kit de fixation ou matériel équivalent</t>
  </si>
  <si>
    <t>F7.23</t>
  </si>
  <si>
    <t>Tiroir à connecteur multimode</t>
  </si>
  <si>
    <t>F7.24</t>
  </si>
  <si>
    <t>Tiroir 12 FOMU anti-rongeur pivotant charnière à droite 1U 19" modèle IDEAOPTICAL iTOR-24-HB-AR (10136441201) équipé de :
12 pigtails ST multimode 50/125 OM2, 12 raccords ST, 12 obturateurs, 1 cassette d'épissurage IOC2 24  positions,
1 arrimage de câble type BEC-AE-72, 2 m de gaine, 1 kit de mise à la terre, 1 kit de fixation et capot anti-rongeur</t>
  </si>
  <si>
    <t>F7.25</t>
  </si>
  <si>
    <t>Tiroir 24 FOMU anti-rongeur pivotant charnière à droite 1U 19" modèle IDEAOPTICAL iTOR-24-HB-AR (10136442401) équipé de :
24 pigtails ST multimode 50/125 OM2, 24 raccords ST, 1 cassette d'épissurage IOC2 24  positions,
1 arrimage de câble type BEC-AE-72, 2 m de gaine, 1 kit de mise à la terre, 1 kit de fixation et capot anti-rongeur</t>
  </si>
  <si>
    <t>F7.26</t>
  </si>
  <si>
    <t>Tiroir 12 FOMU OM4 anti-rongeur pivotant charnière à droite 1U 19" modèle IDEAOPTICAL iTOR-24-HB-V2 (10136461201) équipé de :
12 pigtails ST multimode 50/125 OM4, 12 raccords  ST/PC, 1 cassettes d'épissurage IOC2 24  positions,
1 arrimage de câble type BEC-AE-72/144-6T, 2 m de gaine, 1 kit de mise à la terre, 1 kit de fixation et capot anti-rongeur
ou matériel équivalent</t>
  </si>
  <si>
    <t>F7.27</t>
  </si>
  <si>
    <t>Tiroir 24 FOMU OM4 anti-rongeur pivotant charnière à droite 1U 19" modèle IDEAOPTICAL iTOR-24-HB-V2 (10136461201) équipé de :
24 pigtails ST multimode 50/125 OM4, 24 raccords  ST/PC, 1 cassettes d'épissurage IOC2 24  positions,
1 arrimage de câble type BEC-AE-72/144-6T, 2 m de gaine, 1 kit de mise à la terre, 1 kit de fixation et capot anti-rongeur
ou matériel équivalent</t>
  </si>
  <si>
    <t>F7.28</t>
  </si>
  <si>
    <t>Tête poutre à épissure</t>
  </si>
  <si>
    <t>F7.29</t>
  </si>
  <si>
    <t>Tête IDEAOPTICAL iROP-ES (Réf. 213001) équipée de 6 plateaux (pour 12 pigtails longs). Livré avec 6 cassettes, la gaine annelée et 1 nécessaire de fixation ou  matériel équivalent</t>
  </si>
  <si>
    <t>F7.30</t>
  </si>
  <si>
    <t>Tête IDEAOPTICAL iROP-ES (Réf. 213101) équipée de 12 plateaux (pour 24 pigtails longs). Livrée avec 12 cassettes, la gaine annelée, 2 ACS et 1 nécessaire de fixation  ou  matériel équivalent</t>
  </si>
  <si>
    <t>F7.31</t>
  </si>
  <si>
    <t>Tête IDEAOPTICAL iROP-ES (Réf. 213201) équipée de 18 plateaux (pour 36 pigtails longs). Livrée avec 18 cassettes, la gaine annelée, 2 ACS et 1 nécessaire de fixation  ou  matériel équivalent</t>
  </si>
  <si>
    <t>F7.32</t>
  </si>
  <si>
    <t>Tête IDEAOPTICAL iROP-ES (Réf. 213301) équipée de 24 plateaux (pour 48 pigtails longs). Livrée avec 24 cassettes, la gaine annelée, 2 ACS et 1 nécessaire de fixation  ou  matériel équivalent</t>
  </si>
  <si>
    <t>F7.33</t>
  </si>
  <si>
    <t>Tête IDEAOPTICAL iROP-ES (Réf. 213501) équipée de 36 plateaux (pour 72 pigtails longs). Livrée avec 36 cassettes, la gaine annelée, 2 ACS et 1 nécessaire de fixation  ou  matériel équivalent</t>
  </si>
  <si>
    <t>F7.34</t>
  </si>
  <si>
    <t>Tête IDEAOPTICAL iROP-ES (Réf. 213601) équipée de 48 plateaux (pour 96 pigtails longs). Livrée avec 48 cassettes, la gaine annelée, 2 ACS et 1 nécessaire de fixation  ou  matériel équivalent</t>
  </si>
  <si>
    <t>F7.35</t>
  </si>
  <si>
    <t>Tête IDEAOPTICAL iROP-ES (Réf. 214002) 12 plateaux (pour 24 pigtails longs + 6 cassettes de continuité de 6F0). Livrée avec 18 cassettes, la gaine annelée, 2 ACS et 1 nécessaire de fixation ou matériel équivalent
Référence modifiée</t>
  </si>
  <si>
    <t>F7.36</t>
  </si>
  <si>
    <t>Tête IDEAOPTICAL iROP-ES (Réf. 214102) 24 plateaux (pour 48 pigtails longs + 6 cassettes de continuité de 6F0). Livrée avec 30 cassettes, la gaine annelée, 2 ACS et 1 nécessaire de fixation ou matériel équivalent
Référence modifiée</t>
  </si>
  <si>
    <t>F7.37</t>
  </si>
  <si>
    <t>Tête IDEAOPTICAL iROP-ES (Réf. 214201) 36 plateaux (pour 72 pigtails longs + 6 cassettes de continuité de 6F0). Livrée avec 42 cassettes, la gaine annelée, 2 ACS et 1 nécessaire de fixation ou matériel équivalent 
Référence modifiée</t>
  </si>
  <si>
    <t>F7.38</t>
  </si>
  <si>
    <t>Tête presse étoupe NEXANS TDCO1FA équipée de 12 plateaux (pour 24 pigtails longs ). Livrée avec 12 cassettes, 2 arrimages de câble et 1 nécessaire de fixation ou matériel équivalent</t>
  </si>
  <si>
    <t>F7.39</t>
  </si>
  <si>
    <t>Tête presse étoupe NEXANS TDCO2FA équipée de 24 plateaux (pour 48 pigtails longs ou 36 pigtails longs + 5 cassettes de continuités de 6FO). Livrée avec 24 cassettes, 2 arrimages de câble et 1 nécessaire de fixation ou matériel équivalent</t>
  </si>
  <si>
    <t>F7.40</t>
  </si>
  <si>
    <t>Tête presse étoupe NEXANS TDCO3FA équipée de 36 plateaux (pour 72 pigtails longs ou 60 pigtails longs + 5 cassettes de continuités de 6FO). Livrée avec 36 cassettes, 2 arrimages de câble et 1 nécessaire de fixation ou matériel équivalent</t>
  </si>
  <si>
    <t>F7.41</t>
  </si>
  <si>
    <t>Tête poutre à connecteur monomode</t>
  </si>
  <si>
    <t>F7.42</t>
  </si>
  <si>
    <t>Tête IDEAOPTICAL iROP-ER (Réf 2110191201) 12 positions SC simplex, équipé de 12 raccords SC/APC, 12 pigtails SC/APC, 2 cassettes d'épissurage IOT 12 pos., 2 ACS et 1 kit de fixation  ou matériel équivalent</t>
  </si>
  <si>
    <t>F7.43</t>
  </si>
  <si>
    <t>Tête IDEAOPTICAL iROP-ER (Réf 2111192401) 24 positions SC simplex, équipé de 24 raccords SC/APC, 24 pigtails SC/APC, 4 cassettes d'épissurage IOT 12 pos., 2 ACS et 1 kit de fixation  ou matériel équivalent</t>
  </si>
  <si>
    <t>F7.44</t>
  </si>
  <si>
    <t>Tête IDEAOPTICAL iROP-ER (Réf 2113194801) 48 positions SC, équipé de 48 raccords SC/APC, 48 pigtails SC/APC, 8 cassettes d'épissurage IOT 12 pos., 2 ACS et 1 kit de fixation  ou matériel équivalent</t>
  </si>
  <si>
    <t>F7.45</t>
  </si>
  <si>
    <t>Tête NEXANS TDCO12CO/SC - 12 positions SC simplex ou matériel équivalent</t>
  </si>
  <si>
    <t>F7.46</t>
  </si>
  <si>
    <t>Tête NEXANS TDCO24CO/SC - 24 positions SC simplex ou matériel équivalent</t>
  </si>
  <si>
    <t>F7.47</t>
  </si>
  <si>
    <t>Tête NEXANS TDCO36CO/SC - 36 positions SC simplex ou matériel équivalent</t>
  </si>
  <si>
    <t>F7.48</t>
  </si>
  <si>
    <t>Tête NEXANS TDCO48CO/SC - 48 positions SC simplex ou matériel équivalent</t>
  </si>
  <si>
    <t>F7.49</t>
  </si>
  <si>
    <t>Tête poutre à connecteur multimode</t>
  </si>
  <si>
    <t>F7.50</t>
  </si>
  <si>
    <t>Tête IDEAOPTICAL iROP-ER (Réf 2119440601) 6 positions ST simplex, équipé de 6 raccords ST multimode, 6 pigtails ST multimode 50/125, 1 cassette d'épissurage IOT 12 pos., 1 ACS et 1 kit de fixation  ou matériel équivalent</t>
  </si>
  <si>
    <t>F7.51</t>
  </si>
  <si>
    <t>Tête IDEAOPTICAL iROP-ER (Réf 2120441201) 12 positions ST simplex, équipé de 12 raccords ST multimode, 12 pigtails ST multimode 50/125, 2 cassettes d'épissurage IOT 12 pos., 2 ACS et 1 kit de fixation  ou matériel équivalent</t>
  </si>
  <si>
    <t>F7.52</t>
  </si>
  <si>
    <t>Tête IDEAOPTICAL iROP-ER (Réf 2121442401) 24 positions ST simplex, équipé de 24 raccords ST multimode, 24 pigtails ST multimode 50/125, 4 cassettes d'épissurage IOT 12 pos., 2 ACS et 1 kit de fixation  ou matériel équivalent</t>
  </si>
  <si>
    <t>F7.53</t>
  </si>
  <si>
    <t>Tête NEXANS TDCO12CO/ST - 12 positions ST simplex ou matériel équivalent</t>
  </si>
  <si>
    <t>F7.54</t>
  </si>
  <si>
    <t>Tête NEXANS TDCO24CO/ST - 24 positions ST simplex ou matériel équivalent</t>
  </si>
  <si>
    <t>F7.55</t>
  </si>
  <si>
    <t>Tête NEXANS TDCO36CO/ST - 36 positions ST simplex ou matériel équivalent</t>
  </si>
  <si>
    <t>F7.56</t>
  </si>
  <si>
    <t>Tête NEXANS TDCO48CO/ST - 48 positions ST simplex ou matériel équivalent</t>
  </si>
  <si>
    <t>F7.57</t>
  </si>
  <si>
    <t>Tête IDEAOPTICAL iROP-ER (Réf 2120461201) 12 positions ST simplex, équipé de 12 raccords ST multimode, 12 pigtails ST multimode 50/125 OM4, 2 cassettes d'épissurage IOC2, 1 mini ACS et 1 kit de fixation  ou matériel équivalent</t>
  </si>
  <si>
    <t>F7.58</t>
  </si>
  <si>
    <t>Tête IDEAOPTICAL iROP-ER (Réf 2121462401) 24 positions ST simplex, équipé de 24 raccords ST multimode, 24 pigtails ST multimode 50/125 OM4, 4 cassettes d'épissurage IOC2, 1 mini ACS et 1 kit de fixation  ou matériel équivalent</t>
  </si>
  <si>
    <t>F7.59</t>
  </si>
  <si>
    <t>Tête IDEAOPTICAL iROP-ER (Réf 2123464801) 48 positions ST simplex, équipé de 48 raccords ST multimode, 48 pigtails ST multimode 50/125 OM4, 8 cassettes d'épissurage IOC2, 1 mini ACS et 1 kit de fixation  ou matériel équivalent</t>
  </si>
  <si>
    <t>F7.60</t>
  </si>
  <si>
    <t>Coffret mural</t>
  </si>
  <si>
    <t>F7.61</t>
  </si>
  <si>
    <t>Boite étanche protection/ épissure</t>
  </si>
  <si>
    <t>F7.62</t>
  </si>
  <si>
    <t>Coffret IDEAOPTICAL ICOM12 ou équivalent</t>
  </si>
  <si>
    <t>F7.63</t>
  </si>
  <si>
    <t>Coffret mural IDEAOPTICAL iCOM-24-IPS (1121191201) équipé de 12 pigtails SC/APC, 12 raccords SC/APC, 1 cassette d'épissurage IOC2, 1 serrure extérieure + 1 fermeture push pull intérieur et kit de fixation ou matériel équivalent</t>
  </si>
  <si>
    <t>F7.64</t>
  </si>
  <si>
    <t>Coffret mural IDEAOPTICAL iCOM-24-IPS (1121192401) équipé de 24 pigtails SC/APC, 24 raccords SC/APC, 2 cassettes d'épissurage IOC2, 1 serrure extérieure + 1 fermeture push pull intérieur et kit de fixation  ou matériel équivalent</t>
  </si>
  <si>
    <t>F7.65</t>
  </si>
  <si>
    <t>Coffret mural IDEAOPTICAL iCOM-24-IPS (1121441201) équipé de 12 pigtails SC multimode 50/125 OM2, 12 raccords hybrides SC/ST multimode, 1 cassettes d'épissurage IOT 12positions, 1 serrure extérieure + 1 fermeture push pull intérieur et kit de fixation  ou matériel équivalent</t>
  </si>
  <si>
    <t>F7.66</t>
  </si>
  <si>
    <t>Coffret mural IDEAOPTICAL iCOM-24-IPS (1121442401) équipé de 24 pigtails SC multimode 50/125 OM2, 24 raccords hybrides SC/ST multimode, 2 cassettes d'épissurage IOC2, 1 serrure extérieure + 1 fermeture push pull intérieur et kit de fixation ou matériel équivalent</t>
  </si>
  <si>
    <t>F7.67</t>
  </si>
  <si>
    <t>Tête pour rail DIN</t>
  </si>
  <si>
    <t>F7.68</t>
  </si>
  <si>
    <t>Tête optique GIGAMEDIA pour montage / accroche sur rail DIN équipé de 12 pigtails SC multimode 50/125 OM2, 12 raccords hybrides SC/ST multimode et kit de fixation pour rail DIN oui matériel équivalent</t>
  </si>
  <si>
    <t>F7.69</t>
  </si>
  <si>
    <t>Manchon optique</t>
  </si>
  <si>
    <t>F7.70</t>
  </si>
  <si>
    <t>Manchon optique 3M BPEO  avec 4 entrées équipée de : 
1 boite de protection d'épissure BPE/O - 1 EVOL CDP 12 PAS 
8 cassettes 1 pas équipée d'un support 12 fusions BPE/O-K7-1PAS 
1 Kit d'entrée de câble double  de 5 à 20mm ECAM PAS D5-20 
2 Kit d'entrée de câble de 5 à 18mm ECAM D5-18 
1 Kit de fixation murale ou sur poteau BPE/O taille 1 BPE/O Pole
ou matériel équivalent</t>
  </si>
  <si>
    <t>F7.71</t>
  </si>
  <si>
    <t>Manchon optique 3M BPEO  avec 6 entrées équipée de:
1 boite de protection d'épissure BPE/O - 2 EVOL EDP 28 PAS 
8 cassettes 2 pas équipée d'un support 12 fusions BPE/O-K7-2PAS 
1 Kit d'entrée de câble double  de 5 à 27mm ECAM PAS D5-27 
6 Kit d'entrée de câble de 5 à 18mm ECAM D5-18 
1 Kit de fixation sur poteau BPE/O taille 2 et 3 BPE/O Pole 2 et 3
ou matériel équivalent</t>
  </si>
  <si>
    <t>F7.72</t>
  </si>
  <si>
    <t>Manchon optique 3M BPEO  avec 6 entrées équipée de:
1 boite de protection d'épissure BPE/O - 2 EVOL EDP 28 PAS 
12 cassettes 2 pas équipée d'un support 12 fusions BPE/O-K7-2PAS 
1 Kit d'entrée de câble double  de 5 à 27mm ECAM PAS D5-27 
6 Kit d'entrée de câble de 5 à 18mm ECAM D5-18 
1 Kit de fixation sur poteau BPE/O taille 2 et 3 BPE/O Pole 2 et 3
ou matériel équivalent</t>
  </si>
  <si>
    <t>F7.73</t>
  </si>
  <si>
    <t>Manchon optique 3M BPEO  avec 6 entrées équipée de:
1 boite de protection d'épissure BPE/O - 3 EVOL EDP 28 PAS 
16 cassettes 2 pas équipée d'un support 12 fusions BPE/O-K7-2PAS 
1 Kit d'entrée de câble double  de 5 à 27mm ECAM PAS D5-27 
6 Kit d'entrée de câble de 5 à 18mm ECAM D5-18 
1 Kit de fixation sur poteau BPE/O taille 2 et 3 BPE/O Pole 2 et 3
ou matériel équivalent</t>
  </si>
  <si>
    <t>F7.74</t>
  </si>
  <si>
    <t>Tête poutre NEXANS TDCO1FA équipée de 12 plateaux (72 continuités en 12 cassettes de continuité de 6FO). Livrée avec 12 cassettes, 2 arrimages de câble et 1 nécessaire de fixation ou matériel équivalent</t>
  </si>
  <si>
    <t>F7.75</t>
  </si>
  <si>
    <t>Tête presse étoupe NEXANS TDCO2FA équipée de 24 plateaux (144 continuités en 12 cassettes de continuité de 6FO). Livrée avec 24 cassettes, 2 arrimages de câble et 1 nécessaire de fixation ou matériel équivalent</t>
  </si>
  <si>
    <t>F7.76</t>
  </si>
  <si>
    <t>Jarretières monomode</t>
  </si>
  <si>
    <t>F7.77</t>
  </si>
  <si>
    <t>Jarretière monomode nue, gaine diam 2,8 mm  jaune</t>
  </si>
  <si>
    <t>F7.78</t>
  </si>
  <si>
    <t>Jarretière monomode simplex, SC/APC - fibre nue, gaine diam 2,8 mm  jaune : longueur jusqu'à 5m</t>
  </si>
  <si>
    <t>F7.79</t>
  </si>
  <si>
    <t>Jarretière monomode simplex, SC/APC - fibre nue, gaine diam 2,8 mm  jaune : longueur jusqu'à 10m</t>
  </si>
  <si>
    <t>F7.80</t>
  </si>
  <si>
    <t>Jarretière monomode simplex, SC/APC - SC/APC, gaine diam 2,8 mm  jaune : longueur jusqu'à 1m</t>
  </si>
  <si>
    <t>F7.81</t>
  </si>
  <si>
    <t>Jarretière monomode simplex, SC/APC - SC/APC, gaine diam 2,8 mm  jaune : longueur jusqu'à 2m</t>
  </si>
  <si>
    <t>F7.82</t>
  </si>
  <si>
    <t>Jarretière monomode simplex, SC/APC - SC/APC, gaine diam 2,8 mm  jaune : longueur jusqu'à 3m</t>
  </si>
  <si>
    <t>F7.83</t>
  </si>
  <si>
    <t>Jarretière monomode simplex, SC/APC - SC/APC, gaine diam 2,8 mm  jaune : longueur jusqu'à 5m</t>
  </si>
  <si>
    <t>F7.84</t>
  </si>
  <si>
    <t>Jarretière monomode simplex, SC/APC - SC/APC, gaine diam 2,8 mm  jaune : longueur jusqu'à 10m</t>
  </si>
  <si>
    <t>F7.85</t>
  </si>
  <si>
    <t>Jarretière monomode duplex tous types de connectique, gaine jaune : longueur jusqu'à 1m</t>
  </si>
  <si>
    <t>F7.86</t>
  </si>
  <si>
    <t>Jarretière monomode duplex tous types de connectique, gaine jaune : longueur jusqu'à 2m</t>
  </si>
  <si>
    <t>F7.87</t>
  </si>
  <si>
    <t>Jarretière monomode duplex tous types de connectique, gaine jaune : longueur jusqu'à 3m</t>
  </si>
  <si>
    <t>F7.88</t>
  </si>
  <si>
    <t>Cordon blindé monomode</t>
  </si>
  <si>
    <t>F7.89</t>
  </si>
  <si>
    <t>Cordon optique blindé monomode duplex tous type de connectique (IDEAOPTICAL ou équivalent) : longueur jusqu'à 5m</t>
  </si>
  <si>
    <t>F7.90</t>
  </si>
  <si>
    <t>Cordon optique blindé monomode duplex tous type de connectique (IDEAOPTICAL ou équivalent) : longueur jusqu'à 10m</t>
  </si>
  <si>
    <t>F7.91</t>
  </si>
  <si>
    <t>Cordon optique blindé monomode duplex tous type de connectique (IDEAOPTICAL ou équivalent) : longueur jusqu'à 15m</t>
  </si>
  <si>
    <t>F7.92</t>
  </si>
  <si>
    <t>Cordon optique blindé monomode duplex tous type de connectique (IDEAOPTICAL ou équivalent) : longueur jusqu'à 20m</t>
  </si>
  <si>
    <t>F7.93</t>
  </si>
  <si>
    <t>Cordon optique blindé monomode duplex tous type de connectique (IDEAOPTICAL ou équivalent) : longueur jusqu'à 25m</t>
  </si>
  <si>
    <t>F7.94</t>
  </si>
  <si>
    <t>Jarretières multimode OM2</t>
  </si>
  <si>
    <t>F7.95</t>
  </si>
  <si>
    <t>Jarretière multimode nue OM2, gaine diam 2,8 mm  orange</t>
  </si>
  <si>
    <t>F7.96</t>
  </si>
  <si>
    <t>Jarretière multimode OM2 simplex, ST/PC - fibre nue, gaine diam 2,8 mm  orange : longueur jusqu'à 5m</t>
  </si>
  <si>
    <t>F7.97</t>
  </si>
  <si>
    <t>Jarretière multimode OM2 simplex, ST/PC - fibre nue, gaine diam 2,8 mm  orange : longueur jusqu'à 10m</t>
  </si>
  <si>
    <t>F7.98</t>
  </si>
  <si>
    <t>Jarretière multimode OM2 simplex, ST/PC - ST/PC, gaine diam 2,8 mm  orange : longueur jusqu'à 1m</t>
  </si>
  <si>
    <t>F7.99</t>
  </si>
  <si>
    <t>Jarretière multimode OM2 simplex, ST/PC - ST/PC, gaine diam 2,8 mm  orange : longueur jusqu'à 2m</t>
  </si>
  <si>
    <t>F7.100</t>
  </si>
  <si>
    <t>Jarretière multimode OM2 simplex, ST/PC - ST/PC, gaine diam 2,8 mm  orange : longueur jusqu'à 3m</t>
  </si>
  <si>
    <t>F7.101</t>
  </si>
  <si>
    <t>Jarretière multimode OM2 simplex, ST/PC - ST/PC, gaine diam 2,8 mm  orange : longueur jusqu'à 5m</t>
  </si>
  <si>
    <t>F7.102</t>
  </si>
  <si>
    <t>Jarretière multimode OM2 simplex, ST/PC - ST/PC, gaine diam 2,8 mm  orange : longueur jusqu'à 10m</t>
  </si>
  <si>
    <t>F7.103</t>
  </si>
  <si>
    <t>Jarretière multimode OM2 duplex tous types de connectique, gaine orange : longueur jusqu'à 1m</t>
  </si>
  <si>
    <t>F7.104</t>
  </si>
  <si>
    <t>Jarretière multimode OM2 duplex tous types de connectique, gaine orange : longueur jusqu'à 2m</t>
  </si>
  <si>
    <t>F7.105</t>
  </si>
  <si>
    <t>Jarretière multimode OM2 duplex tous types de connectique, gaine orange : longueur jusqu'à 3m</t>
  </si>
  <si>
    <t>F7.106</t>
  </si>
  <si>
    <t>Jarretières multimode OM4</t>
  </si>
  <si>
    <t>F7.107</t>
  </si>
  <si>
    <t>Jarretière multimode nue OM4, gaine diam 2,8 mm  magenta</t>
  </si>
  <si>
    <t>F7.108</t>
  </si>
  <si>
    <t>Jarretière multimode OM4 simplex, ST/PC - fibre nue, gaine diam 2,8 mm  magenta : longueur jusqu'à 5m</t>
  </si>
  <si>
    <t>F7.109</t>
  </si>
  <si>
    <t>Jarretière multimode OM4 simplex, ST/PC - fibre nue, gaine diam 2,8 mm  magenta : longueur jusqu'à 10m</t>
  </si>
  <si>
    <t>F7.110</t>
  </si>
  <si>
    <t>Jarretière multimode OM4 simplex, ST/PC - ST/PC, gaine diam 2,8 mm  magenta : longueur jusqu'à 1m</t>
  </si>
  <si>
    <t>F7.111</t>
  </si>
  <si>
    <t>Jarretière multimode OM4 simplex, ST/PC - ST/PC, gaine diam 2,8 mm  magenta : longueur jusqu'à 2m</t>
  </si>
  <si>
    <t>F7.112</t>
  </si>
  <si>
    <t>Jarretière multimode OM4 simplex, ST/PC - ST/PC, gaine diam 2,8 mm  magenta : longueur jusqu'à 3m</t>
  </si>
  <si>
    <t>F7.113</t>
  </si>
  <si>
    <t>Jarretière multimode OM4 simplex, ST/PC - ST/PC, gaine diam 2,8 mm  magenta : longueur jusqu'à 5m</t>
  </si>
  <si>
    <t>F7.114</t>
  </si>
  <si>
    <t>Jarretière multimode OM4 simplex, ST/PC - ST/PC, gaine diam 2,8 mm  magenta : longueur jusqu'à 10m</t>
  </si>
  <si>
    <t>F7.115</t>
  </si>
  <si>
    <t>Jarretière multimode OM4 duplex tous types de connectique, gaine magenta : longueur jusqu'à 1m</t>
  </si>
  <si>
    <t>F7.116</t>
  </si>
  <si>
    <t>Jarretière multimode OM4 duplex tous types de connectique, gaine magenta : longueur jusqu'à 2m</t>
  </si>
  <si>
    <t>F7.117</t>
  </si>
  <si>
    <t>Jarretière multimode OM4 duplex tous types de connectique, gaine magenta : longueur jusqu'à 3m</t>
  </si>
  <si>
    <t>F7.118</t>
  </si>
  <si>
    <t>Optique divers</t>
  </si>
  <si>
    <t>F7.119</t>
  </si>
  <si>
    <t>Pigtail monomode - 9,5/125 SC/APC</t>
  </si>
  <si>
    <t>F7.120</t>
  </si>
  <si>
    <t>Pigtail multimode - 50/125 ST</t>
  </si>
  <si>
    <t>F7.121</t>
  </si>
  <si>
    <t>Fiche ST multimode</t>
  </si>
  <si>
    <t>F7.122</t>
  </si>
  <si>
    <t>Raccord ST multimode</t>
  </si>
  <si>
    <t>F7.123</t>
  </si>
  <si>
    <t>Traverse monomode SC/APC</t>
  </si>
  <si>
    <t>F8</t>
  </si>
  <si>
    <t>Infrastructure Radio</t>
  </si>
  <si>
    <t>F8.1</t>
  </si>
  <si>
    <t>Bretelle</t>
  </si>
  <si>
    <t>F8.2</t>
  </si>
  <si>
    <t>Bretelle RG214 N m. / N m. Longueur jusqu'à 1m</t>
  </si>
  <si>
    <t>F8.3</t>
  </si>
  <si>
    <t>Bretelle RG214 N m. / N m. Longueur jusqu'à 2m</t>
  </si>
  <si>
    <t>F8.4</t>
  </si>
  <si>
    <t>Bretelle RG214 N m. / N m. Longueur jusqu'à 5m</t>
  </si>
  <si>
    <t>F8.5</t>
  </si>
  <si>
    <t>Bretelle RG214 N m. / N m. Longueur jusqu'à 10m</t>
  </si>
  <si>
    <t>F8.6</t>
  </si>
  <si>
    <t>Bretelle RG214 N m. / N m. Longueur jusqu'à 20m</t>
  </si>
  <si>
    <t>F8.7</t>
  </si>
  <si>
    <t>Connecteur</t>
  </si>
  <si>
    <t>F8.8</t>
  </si>
  <si>
    <t>Connecteur 50Ω - N - femelle pour câble 1/2"</t>
  </si>
  <si>
    <t>F8.9</t>
  </si>
  <si>
    <t>Connecteur 50Ω - N - femelle pour câble 7/8"</t>
  </si>
  <si>
    <t>F8.10</t>
  </si>
  <si>
    <t>Connecteur 50Ω - N - femelle pour câble 1"1/4</t>
  </si>
  <si>
    <t>F8.11</t>
  </si>
  <si>
    <t>Transition coudée N f. / N m.</t>
  </si>
  <si>
    <t>F8.12</t>
  </si>
  <si>
    <t>Coupleur</t>
  </si>
  <si>
    <t>F8.13</t>
  </si>
  <si>
    <t>Coupleur 50Ω - 100W large bande - 3dB Delta Ohm ou équivalent</t>
  </si>
  <si>
    <t>F8.14</t>
  </si>
  <si>
    <t>Coupleur 50Ω - 100W large bande - 4,7dB Delta Ohm ou équivalent</t>
  </si>
  <si>
    <t>F8.15</t>
  </si>
  <si>
    <t>Coupleur 50Ω - 100W large bande - 6dB Delta Ohm ou équivalent</t>
  </si>
  <si>
    <t>F8.16</t>
  </si>
  <si>
    <t>Coupleur 50Ω - 100W large bande - 7dB Delta Ohm ou équivalent</t>
  </si>
  <si>
    <t>F8.17</t>
  </si>
  <si>
    <t>Coupleur 50Ω - 100W large bande - 10dB Delta Ohm ou équivalent</t>
  </si>
  <si>
    <t>F8.18</t>
  </si>
  <si>
    <t>Splitter 50Ω - 200W KATHREIN 86010130 ou équivalent</t>
  </si>
  <si>
    <t>F8.19</t>
  </si>
  <si>
    <t>DC Block Spinner ou équivalent</t>
  </si>
  <si>
    <t>F8.20</t>
  </si>
  <si>
    <t>Charge</t>
  </si>
  <si>
    <t>F8.21</t>
  </si>
  <si>
    <t>Charge 50Ω - N m. - 1W Delta Ohm ou équivalent</t>
  </si>
  <si>
    <t>F8.22</t>
  </si>
  <si>
    <t>Charge 50Ω - N m. - 6W Delta Ohm ou équivalent</t>
  </si>
  <si>
    <t>F8.23</t>
  </si>
  <si>
    <t>Charge 50Ω - N m. - 100W Delta Ohm ou équivalent</t>
  </si>
  <si>
    <t>F8.24</t>
  </si>
  <si>
    <t>Charge 50Ω - N f. - 1W Delta Ohm ou équivalent</t>
  </si>
  <si>
    <t>F8.25</t>
  </si>
  <si>
    <t>Charge 50Ω - N f. - 6W Delta Ohm ou équivalent</t>
  </si>
  <si>
    <t>F8.26</t>
  </si>
  <si>
    <t>Charge 50Ω - N f. - 100W Delta Ohm ou équivalent</t>
  </si>
  <si>
    <t>F8.27</t>
  </si>
  <si>
    <t>Antenne</t>
  </si>
  <si>
    <t>F8.28</t>
  </si>
  <si>
    <t>Antenne radio panneau type KATHREIN 80010330 ou équivalent</t>
  </si>
  <si>
    <t>F8.29</t>
  </si>
  <si>
    <t>Antenne radio panneau type KATHREIN K733621 ou équivalent</t>
  </si>
  <si>
    <t>F8.30</t>
  </si>
  <si>
    <t xml:space="preserve">Antenne radio panneau type JAYBEAM 5047420 ou équivalent </t>
  </si>
  <si>
    <t>F8.31</t>
  </si>
  <si>
    <t xml:space="preserve">Antenne radio panneau type PROCOM PLPO/TETRA/s-f ou équivalent </t>
  </si>
  <si>
    <t>F8.32</t>
  </si>
  <si>
    <t xml:space="preserve">Antenne radio omni type perche KATHREIN 728 888 ou équivalent </t>
  </si>
  <si>
    <t>F8.33</t>
  </si>
  <si>
    <t xml:space="preserve">Antenne radio omni type perche KATHREIN 737 003 ou équivalent </t>
  </si>
  <si>
    <t>F8.34</t>
  </si>
  <si>
    <t xml:space="preserve">Antenne radio omni type perche KATHREIN K751121 ou équivalent </t>
  </si>
  <si>
    <t>F8.35</t>
  </si>
  <si>
    <t>Antenne radio omni type perche HUBER+SUHNER 848114 Band 2 ou équivalent</t>
  </si>
  <si>
    <t>F8.36</t>
  </si>
  <si>
    <t xml:space="preserve">Antenne radio omni type perche SELECOM 602 918 ou équivalent </t>
  </si>
  <si>
    <t>F8.37</t>
  </si>
  <si>
    <t xml:space="preserve">Antenne radio omni type pot Giga Concept GC-7110B ou équivalent </t>
  </si>
  <si>
    <t>F8.38</t>
  </si>
  <si>
    <t xml:space="preserve">Antenne radio omni type pot ADVANTEM ATOM7 ou équivalent </t>
  </si>
  <si>
    <t>F8.39</t>
  </si>
  <si>
    <t xml:space="preserve">Antenne radio dièdre type KATHREIN K731221 ou équivalent </t>
  </si>
  <si>
    <t>F8.40</t>
  </si>
  <si>
    <t>Antenne radio YAGI type PROCOM S2Y-405 ou équivalent</t>
  </si>
  <si>
    <t>F8.41</t>
  </si>
  <si>
    <t>Antenne radio YAGI type JAYBEAM MA421PR03 ou équivalent</t>
  </si>
  <si>
    <t>F8.42</t>
  </si>
  <si>
    <t xml:space="preserve">Antenne radio YAGI type SELECOM 602 682 ou équivalent </t>
  </si>
  <si>
    <t>F8.43</t>
  </si>
  <si>
    <t xml:space="preserve">Antenne radio YAGI type SELECOM 602 684 ou équivalent </t>
  </si>
  <si>
    <t>F8.44</t>
  </si>
  <si>
    <t>Divers</t>
  </si>
  <si>
    <t>F8.45</t>
  </si>
  <si>
    <t xml:space="preserve">Attache support câble rayonnant 1/2" type FIMO ou équivalent </t>
  </si>
  <si>
    <t>F8.46</t>
  </si>
  <si>
    <t xml:space="preserve">Attache support câble rayonnant 7/8" type FIMO ou équivalent </t>
  </si>
  <si>
    <t>F8.47</t>
  </si>
  <si>
    <t xml:space="preserve">Attache support câble rayonnant 1"1/4 type FIMO ou équivalent </t>
  </si>
  <si>
    <t>F8.48</t>
  </si>
  <si>
    <t>Plan de masse métallique 300x300</t>
  </si>
  <si>
    <t>F8.49</t>
  </si>
  <si>
    <t>Plan de masse métallique 600x600</t>
  </si>
  <si>
    <t>F9</t>
  </si>
  <si>
    <t>F9.1</t>
  </si>
  <si>
    <t>Haut-Parleur norme EN54-24</t>
  </si>
  <si>
    <t>F9.2</t>
  </si>
  <si>
    <t>Enceinte colonne verticale 20W Blanc - RAL9016 IP 55 
Référence ATEÏS MCS20T/EN IP55 ou matériel équivalent</t>
  </si>
  <si>
    <t>F9.3</t>
  </si>
  <si>
    <t>Enceinte colonne verticale 20W Noir - RAL9004 IP 55 
Référence ATEÏS MCS20T/EN + ZPPXX0060 ou matériel équivalent</t>
  </si>
  <si>
    <t>F9.4</t>
  </si>
  <si>
    <t>Enceinte colonne verticale 20W Blanc - RAL9016 IP 55 pour intégration dans nouveau bandeau luminaire
Référence ATEÏS MCS20T/EN IP55 Spéciale ou matériel équivalent</t>
  </si>
  <si>
    <t>F9.5</t>
  </si>
  <si>
    <t>Enceinte colonne verticale 40W Blanc - RAL9016 IP 55
Référence ATEÏS MCS40T/EN ou matériel équivalent</t>
  </si>
  <si>
    <t>F9.6</t>
  </si>
  <si>
    <t>Enceinte colonne verticale 80W Blanc - RAL9016 IP 55
Référence ATEÏS MCS80T/EN ou matériel équivalent</t>
  </si>
  <si>
    <t>F9.7</t>
  </si>
  <si>
    <t>Enceinte colonne verticale 80W Gris - RAL9007 IP 55 
Référence ATEÏS MCS80T/EN IP55 + PRESTA PEINTURE ou matériel équivalent</t>
  </si>
  <si>
    <t>F9.8</t>
  </si>
  <si>
    <t>Haut-parleur plafonnier encastrable rond 10W Blanc - RAL9016 IP21
Référence ATEÏS RCS6FT/EN ou matériel équivalent</t>
  </si>
  <si>
    <t>F9.9</t>
  </si>
  <si>
    <t>Haut-parleur plafonnier encastrable rond 20W Blanc - RAL9016 IP21
Référence ATEÏS RCS8FT/EN ou matériel équivalent</t>
  </si>
  <si>
    <t>F9.10</t>
  </si>
  <si>
    <t>Haut-parleur plafonnier encastrable rond 20W Noir mat - RAL9004 IP21
Référence ATEÏS RCS8FT/EN + Peinture ou matériel équivalent</t>
  </si>
  <si>
    <t>F9.11</t>
  </si>
  <si>
    <t>Haut-parleur plafonnier encastrable rond 20W  Bleu/Noir - RAL5004 IP21
Référence ATEÏS RCS8FT/EN + ZPPXX0060 ou matériel équivalent</t>
  </si>
  <si>
    <t>F9.12</t>
  </si>
  <si>
    <t>Haut-parleur plafonnier encastrable rectangulaire 10W Blanc IP33
Référence ARCHEAN  AT54PL1010T-W ou matériel équivalent</t>
  </si>
  <si>
    <t>F10</t>
  </si>
  <si>
    <t>Fourniture pour tableau électrique</t>
  </si>
  <si>
    <t>F10.1</t>
  </si>
  <si>
    <t>Disjonteur monophasé courbe C différentiel 30mA</t>
  </si>
  <si>
    <t>F10.2</t>
  </si>
  <si>
    <t>Disjonteur monophasé courbe C différentiel 30mA - calibre 10A</t>
  </si>
  <si>
    <t>F10.3</t>
  </si>
  <si>
    <t>Disjonteur monophasé courbe C différentiel 30mA - calibre 16A ou 20A</t>
  </si>
  <si>
    <t>F10.4</t>
  </si>
  <si>
    <t>Disjonteur monophasé courbe C différentiel 30mA - calibre 25A ou 32A ou 40A</t>
  </si>
  <si>
    <t>F10.5</t>
  </si>
  <si>
    <t>Disjonteur monophasé courbe D différentiel 30mA</t>
  </si>
  <si>
    <t>F10.6</t>
  </si>
  <si>
    <t>Disjonteur monophasé courbe D différentiel 30mA - calibre 10A</t>
  </si>
  <si>
    <t>F10.7</t>
  </si>
  <si>
    <t>Disjonteur monophasé courbe D différentiel 30mA - calibre 16A ou 20A</t>
  </si>
  <si>
    <t>F10.8</t>
  </si>
  <si>
    <t>Disjonteur monophasé courbe D différentiel 30mA - calibre 25A ou 32A ou 40A</t>
  </si>
  <si>
    <t>F10.9</t>
  </si>
  <si>
    <t>Disjonteur monophasé courbe C différentiel 300mA</t>
  </si>
  <si>
    <t>F10.10</t>
  </si>
  <si>
    <t>Disjonteur monophasé courbe C différentiel 300mA - calibre 10A</t>
  </si>
  <si>
    <t>F10.11</t>
  </si>
  <si>
    <t>Disjonteur monophasé courbe C différentiel 300mA - calibre 16A ou 20A</t>
  </si>
  <si>
    <t>F10.12</t>
  </si>
  <si>
    <t>Disjonteur monophasé courbe C différentiel 300mA - calibre 25A ou 32A ou 40A</t>
  </si>
  <si>
    <t>F10.13</t>
  </si>
  <si>
    <t>Disjonteur monophasé courbe D différentiel 300mA</t>
  </si>
  <si>
    <t>F10.14</t>
  </si>
  <si>
    <t>Disjonteur monophasé courbe D différentiel 300mA - calibre 10A</t>
  </si>
  <si>
    <t>F10.15</t>
  </si>
  <si>
    <t>Disjonteur monophasé courbe D différentiel 300mA - calibre 16A ou 20A</t>
  </si>
  <si>
    <t>F10.16</t>
  </si>
  <si>
    <t>Disjonteur monophasé courbe D différentiel 300mA - calibre 25A ou 32A ou 40A</t>
  </si>
  <si>
    <t>Prestations Forfaitaires</t>
  </si>
  <si>
    <t>Prestations d'installation d'équipements</t>
  </si>
  <si>
    <t>Prix forfaitaire
(€ HT)</t>
  </si>
  <si>
    <t>PF1.1</t>
  </si>
  <si>
    <t xml:space="preserve">Prestation standard d'installation d'équipement LAN / LAN-EXTENDER avec VAT pour 1 équipement actif </t>
  </si>
  <si>
    <t>PF1.2</t>
  </si>
  <si>
    <t>Prestation standard d'installation d'équipement LAN / LAN-EXTENDER avec VAT pour 2 équipements actifs sur le même site lors d’une même intervention</t>
  </si>
  <si>
    <t>PF1.3</t>
  </si>
  <si>
    <t>Prestation standard d'installation d'équipement LAN / LAN-EXTENDER avec VAT pour 3 à 5 équipements actifs sur le même site lors d’une même intervention</t>
  </si>
  <si>
    <t>PF1.4</t>
  </si>
  <si>
    <t>Supplément par équipement  LAN / LAN-EXTENDER au dela de 5 équipements actifs sur le même site lors d’une même intervention</t>
  </si>
  <si>
    <t>PF1.5</t>
  </si>
  <si>
    <t>Prestation d'installation et VAT d'un équipement avec mise en œuvre de fonction de routage ou d'un équipement de type WAN</t>
  </si>
  <si>
    <t>PF1.6</t>
  </si>
  <si>
    <t>Supplément pour réalisation VABF (forfait par équipement)</t>
  </si>
  <si>
    <t>PF1.7</t>
  </si>
  <si>
    <t>Prestation d'insertion de SFP ou équivalents pour un site distant (si aucun autre travail n'est réalisé sur le site distant)</t>
  </si>
  <si>
    <t>PF1.8</t>
  </si>
  <si>
    <t>Supplément par équipement en cas de configuration sans outil de configuration ( dit "à pied d'oeuvre")</t>
  </si>
  <si>
    <t>PF1.9</t>
  </si>
  <si>
    <t>Prestation standard d'installation d'équipement LAN / LAN-EXTENDER avec VAT pour 1 équipement actif  pour laquelle le titulaire se limite à intégrer l'adresse IP au matériel , la RATP réalisant la configuration du matériel</t>
  </si>
  <si>
    <t>PF1.10</t>
  </si>
  <si>
    <t>Prestation standard d'installation d'équipement LAN / LAN-EXTENDER avec VAT pour 2 équipements actifs sur le même site lors d’une même intervention pour laquelle le titulaire se limite à intégrer l'adresse IP au matériel , la RATP réalisant la configuration du matériel</t>
  </si>
  <si>
    <t>PF1.11</t>
  </si>
  <si>
    <t>Prestation standard d'installation d'équipement LAN / LAN-EXTENDER avec VAT pour 3 à 5 équipements actifs sur le même site lors d’une même intervention pour laquelle le titulaire se limite à intégrer l'adresse IP au matériel , la RATP réalisant la configuration du matériel</t>
  </si>
  <si>
    <t>PF1.12</t>
  </si>
  <si>
    <t>Prestation d'installation et VAT d'un équipement avec mise en œuvre de fonction de routage ou d'un équipement de type WAN pour laquelle le titulaire se limite à intégrer l'adresse IP au matériel , la RATP réalisant la configuration du matériel</t>
  </si>
  <si>
    <t>Prestations de travaux de câblage</t>
  </si>
  <si>
    <t>PF2.1</t>
  </si>
  <si>
    <t>Installation et raccordement d'une borne WIFI</t>
  </si>
  <si>
    <t>PF2.2</t>
  </si>
  <si>
    <t>Installation d'un équipement complet connexe RTHD (xWDM)</t>
  </si>
  <si>
    <t>PF2.3</t>
  </si>
  <si>
    <t>Création de pieuvre LAN EXTENDER, 8 ports RJ45</t>
  </si>
  <si>
    <t>PF2.4</t>
  </si>
  <si>
    <t xml:space="preserve">Création de pieuvre LAN EXTENDER, 16 ports RJ45 </t>
  </si>
  <si>
    <t>PF2.5</t>
  </si>
  <si>
    <t>Création de pieuvre LAN EXTENDER, 8 ports BNC</t>
  </si>
  <si>
    <t>PF2.6</t>
  </si>
  <si>
    <t>Création de pieuvre LAN EXTENDER, 16 ports BNC</t>
  </si>
  <si>
    <t>PF3.1</t>
  </si>
  <si>
    <t>Installation et raccordement d'un coffret 9U ou 12 U suivant CSFT</t>
  </si>
  <si>
    <t>PF3.2</t>
  </si>
  <si>
    <t>Installation et raccordement d'une baie 24U ou 42U suivant CSFT</t>
  </si>
  <si>
    <t>PF3.3</t>
  </si>
  <si>
    <t>Création d'un câble 2x4paires catégorie 6 incluant 30m de déroulage, confections des têtes, étiquetage et dossier de qualification</t>
  </si>
  <si>
    <t>PF3.4</t>
  </si>
  <si>
    <t>Déroulage de 30m supplémentaire pour un câble 2x4 paires catégorie 6 (longueur maximale du câble : 90m)</t>
  </si>
  <si>
    <t>PF3.5</t>
  </si>
  <si>
    <t>Création d'un câble optique incluant 30m de déroulage, confections des têtes, étiquetage et dossier de qualification</t>
  </si>
  <si>
    <t>PF3.6</t>
  </si>
  <si>
    <t>Déroulage de 30m supplémentaire pour un câble optique (longueur maximale du câble : 120m)</t>
  </si>
  <si>
    <t>PF3.7</t>
  </si>
  <si>
    <t>Réalisation d'un circuit cuivre catégorie 6 avec dossier de qualification</t>
  </si>
  <si>
    <t>PF3.8</t>
  </si>
  <si>
    <t>Réalisation d'un circuit optique avec intervention sur 1 site au plus avec dossier de qualification</t>
  </si>
  <si>
    <t>PF3.9</t>
  </si>
  <si>
    <t>Réalisation d'un circuit optique avec intervention sur 3 site au plus avec dossier de qualification</t>
  </si>
  <si>
    <t>PF3.10</t>
  </si>
  <si>
    <t>Réalisation d'un circuit optique avec intervention sur 5 site au plus avec dossier de qualification</t>
  </si>
  <si>
    <t>PF3.11</t>
  </si>
  <si>
    <t>Supplément pour intervention au-delà de 5 sites, par 3 sites supplémentaires</t>
  </si>
  <si>
    <t>PF3.12</t>
  </si>
  <si>
    <t>Mise à niveau de connecteurs sur têtes EC (mise en place de connecteurs SC/APC) ; par tête mise à niveau</t>
  </si>
  <si>
    <t>PF4.1</t>
  </si>
  <si>
    <t>Réalisation de plan de prévention ou PPSPS : forfait pour un plan ou PPSPS</t>
  </si>
  <si>
    <t>PF5.1</t>
  </si>
  <si>
    <t>Réalisation DOE</t>
  </si>
  <si>
    <t>Prestations complexes / prestations réseau diverses (taux horaire)</t>
  </si>
  <si>
    <t>Profil</t>
  </si>
  <si>
    <t>Taux horaire
HO : 6h00 à 22h00
 (€ HT)</t>
  </si>
  <si>
    <t>PC1.1</t>
  </si>
  <si>
    <t>Directeur de projet</t>
  </si>
  <si>
    <t>PC1.2</t>
  </si>
  <si>
    <t>Architecte/Expert réseau</t>
  </si>
  <si>
    <t>PC1.3</t>
  </si>
  <si>
    <t>Ingénieur réseau</t>
  </si>
  <si>
    <t>PC1.4</t>
  </si>
  <si>
    <t>Technicien réseau</t>
  </si>
  <si>
    <t>PC2.1</t>
  </si>
  <si>
    <t>Technicien d'installation</t>
  </si>
  <si>
    <t>PC2.2</t>
  </si>
  <si>
    <t>Monteur/câbleur</t>
  </si>
  <si>
    <t>Immobilisation de main d'œuvre</t>
  </si>
  <si>
    <r>
      <t>Taux de remise ou forfait</t>
    </r>
    <r>
      <rPr>
        <b/>
        <sz val="10"/>
        <color theme="0"/>
        <rFont val="Parisine Office"/>
        <family val="2"/>
      </rPr>
      <t xml:space="preserve"> </t>
    </r>
    <r>
      <rPr>
        <b/>
        <i/>
        <sz val="10"/>
        <color theme="0"/>
        <rFont val="Parisine Office"/>
        <family val="2"/>
      </rPr>
      <t>(€ HT)</t>
    </r>
  </si>
  <si>
    <t>IMM</t>
  </si>
  <si>
    <t>Immobilisation de main d’œuvre</t>
  </si>
  <si>
    <t>IMM.1</t>
  </si>
  <si>
    <t>- Forfait annulation d'une nuit le jour dit après 12h00 et avant 18h00</t>
  </si>
  <si>
    <t>IMM.2</t>
  </si>
  <si>
    <t>- Forfait annulation d'une nuit le jour dit entre 18h00 et 6h00</t>
  </si>
  <si>
    <t>IMM.3</t>
  </si>
  <si>
    <t xml:space="preserve">- Forfait dérangement </t>
  </si>
  <si>
    <t>PRESTATIONS D'INGENIERIE</t>
  </si>
  <si>
    <t xml:space="preserve">Type de prestation </t>
  </si>
  <si>
    <t>Taux Journalier Moyen (€ HT)</t>
  </si>
  <si>
    <t>Type</t>
  </si>
  <si>
    <t>ING-1</t>
  </si>
  <si>
    <t>Réalisation de conception générale (HLD)</t>
  </si>
  <si>
    <t>Unitaire</t>
  </si>
  <si>
    <t>ING-2</t>
  </si>
  <si>
    <t>Réalisation de conception détaillée (hors dossier de configuration des équipements)</t>
  </si>
  <si>
    <t>Assistance à la définition et à la validation de nouveaux profils réseau</t>
  </si>
  <si>
    <t>ING-3</t>
  </si>
  <si>
    <t>Réalisation de conception détaillée relative à la configuration des équipements ( Option : mise en œuvre)</t>
  </si>
  <si>
    <t>ING-4</t>
  </si>
  <si>
    <t>Assistance à la vérification de bon fonctionnement (VABF) HO ou HNO</t>
  </si>
  <si>
    <t>ING-5</t>
  </si>
  <si>
    <t>Assistance en matière de référentiel documentaire</t>
  </si>
  <si>
    <t>ING-6</t>
  </si>
  <si>
    <t>ING-7</t>
  </si>
  <si>
    <t>Qualification d'un nouveau produit réseau en plateforme et gestion des anomalies en production</t>
  </si>
  <si>
    <t>ING-8</t>
  </si>
  <si>
    <t>Assistance à la mise à jour des équipements</t>
  </si>
  <si>
    <t>ING-9</t>
  </si>
  <si>
    <t xml:space="preserve"> Expertise ponctuelle à la demande sur un périmètre technique en matière d'ingénierie réseau </t>
  </si>
  <si>
    <t>ING-10</t>
  </si>
  <si>
    <t>Prestations de montée en compétences des équipes d'ingénierie RATP dans le cadre des évolutions réseaux</t>
  </si>
  <si>
    <t>Fourniture connexe ou de câblage :</t>
  </si>
  <si>
    <t>Type d'équipement</t>
  </si>
  <si>
    <t xml:space="preserve">Prix unitaire 
(€ HT) </t>
  </si>
  <si>
    <t>Délai standard de livraison (semaine)</t>
  </si>
  <si>
    <t>Marque, référence, nomenclature de la fourniture</t>
  </si>
  <si>
    <t>FC.1</t>
  </si>
  <si>
    <t xml:space="preserve">Coffret équipé suivant CSFT : IP53 600 x 600 9U </t>
  </si>
  <si>
    <t>5 à 6 semaines</t>
  </si>
  <si>
    <t>Schneider</t>
  </si>
  <si>
    <t>FC.2</t>
  </si>
  <si>
    <t>Coffret équipé suivant CSFT : IP53 600 x 600 12U</t>
  </si>
  <si>
    <t>FC.3</t>
  </si>
  <si>
    <t>Baie équipée suivant CSFT :   IP53 600 x 600 24U</t>
  </si>
  <si>
    <t>FC.4</t>
  </si>
  <si>
    <t>Baie équipée suivant CSFT :   IP53 600 x 600 42U</t>
  </si>
  <si>
    <t>FC.5</t>
  </si>
  <si>
    <t>Baie équipée suivant CSFT :   IP53 600 x 800 42U</t>
  </si>
  <si>
    <t>FC.6</t>
  </si>
  <si>
    <t>Baie équipée suivant CSFT :   IP53 800 x 600 42U</t>
  </si>
  <si>
    <t>FC.7</t>
  </si>
  <si>
    <t>Baie équipée suivant CSFT :   IP53 800 x 800 42U</t>
  </si>
  <si>
    <t>FC.8</t>
  </si>
  <si>
    <t>Baie équipée suivant CSFT :   IP22 800 x 1000 42U</t>
  </si>
  <si>
    <t>FC.9</t>
  </si>
  <si>
    <t>Socle pour baie 600 x 600</t>
  </si>
  <si>
    <t>FC.10</t>
  </si>
  <si>
    <t>FC.11</t>
  </si>
  <si>
    <t>FC.12</t>
  </si>
  <si>
    <t>Socle pour baie 800 x 800</t>
  </si>
  <si>
    <t>FC.13</t>
  </si>
  <si>
    <t>Socle pour baie 800 x 1000</t>
  </si>
  <si>
    <t>FC.14</t>
  </si>
  <si>
    <t>Chaise pour baie 600 x 600</t>
  </si>
  <si>
    <t>Schneider Chaise Standard</t>
  </si>
  <si>
    <t>FC.15</t>
  </si>
  <si>
    <t>Chaise pour baie 600 x 800</t>
  </si>
  <si>
    <t>FC.16</t>
  </si>
  <si>
    <t>Chaise pour baie 800 x 600</t>
  </si>
  <si>
    <t>FC.17</t>
  </si>
  <si>
    <t>Chaise pour baie 800 x 800</t>
  </si>
  <si>
    <t>FC.18</t>
  </si>
  <si>
    <t>Chaise pour baie 800 x 1000</t>
  </si>
  <si>
    <t>FC.19</t>
  </si>
  <si>
    <t>Bandeau guide cordon / jarretière</t>
  </si>
  <si>
    <t>1 semaines</t>
  </si>
  <si>
    <t>FC.20</t>
  </si>
  <si>
    <t xml:space="preserve">Bandeau 16 BNC isolées </t>
  </si>
  <si>
    <t>RS</t>
  </si>
  <si>
    <t>FC.21</t>
  </si>
  <si>
    <t>Bandeau 24 RJ45 sans noyau</t>
  </si>
  <si>
    <t>FC.22</t>
  </si>
  <si>
    <t xml:space="preserve">Noyau RJ45 Catégorie 6 adapté au type de câble </t>
  </si>
  <si>
    <t>FC.23</t>
  </si>
  <si>
    <t>Tête poutre 24 FO monomode SC/APC</t>
  </si>
  <si>
    <t>12 semaines</t>
  </si>
  <si>
    <t>Nexans</t>
  </si>
  <si>
    <t>FC.24</t>
  </si>
  <si>
    <t>Tête poutre 24 FO multimode ST</t>
  </si>
  <si>
    <t>IdéaOptical</t>
  </si>
  <si>
    <t>FC.25</t>
  </si>
  <si>
    <t>Tête poutre 12 FO multimode ST</t>
  </si>
  <si>
    <t>FC.26</t>
  </si>
  <si>
    <t xml:space="preserve">Tête poutre 24 FO Epissure </t>
  </si>
  <si>
    <t>FC.27</t>
  </si>
  <si>
    <t>Tiroir 24 FO monomode SC/APC</t>
  </si>
  <si>
    <t>FC.28</t>
  </si>
  <si>
    <t>Tiroir 24 FO multimode ST</t>
  </si>
  <si>
    <t>FC.29</t>
  </si>
  <si>
    <t>Tiroir 12 FO multimode ST</t>
  </si>
  <si>
    <t>FC.30</t>
  </si>
  <si>
    <r>
      <t xml:space="preserve">Jarretières monomode, simplex, long. </t>
    </r>
    <r>
      <rPr>
        <sz val="11"/>
        <color indexed="8"/>
        <rFont val="Calibri"/>
        <family val="2"/>
      </rPr>
      <t>≤ 3</t>
    </r>
    <r>
      <rPr>
        <sz val="11"/>
        <color indexed="8"/>
        <rFont val="Parisine Office"/>
        <family val="2"/>
      </rPr>
      <t>m, toutes connectiques</t>
    </r>
  </si>
  <si>
    <t>FC.31</t>
  </si>
  <si>
    <t>Jarretières multimode, simplex, long. ≤ 3m, toutes connectiques</t>
  </si>
  <si>
    <t>FC.32</t>
  </si>
  <si>
    <t>Jarretières monomode, duplex,  long. ≤ 3m, toutes connectiques</t>
  </si>
  <si>
    <t>FC.33</t>
  </si>
  <si>
    <t>Jarretières multimode, duplex, long. ≤ 3m, toutes connectiques</t>
  </si>
  <si>
    <t>FC.34</t>
  </si>
  <si>
    <t>Connecteur BNC à compression</t>
  </si>
  <si>
    <t>NBNC75BLP9</t>
  </si>
  <si>
    <t>FC.35</t>
  </si>
  <si>
    <t>Cordon BNC, long. ≤ 3m</t>
  </si>
  <si>
    <t>FC.36</t>
  </si>
  <si>
    <t>Cordon RJ45 catégorie 6, long. ≤ 3m, toutes couleurs</t>
  </si>
  <si>
    <t>Scheinder</t>
  </si>
  <si>
    <t>FC.37</t>
  </si>
  <si>
    <t>Cordon 220V - C14 (coté source) &lt;--&gt; type adapté à l'équipement suivant le cas</t>
  </si>
  <si>
    <t>FC.38</t>
  </si>
  <si>
    <t>Cordon 220V - C20 (coté source) &lt;--&gt; type adapté à l'équipement suivant le cas</t>
  </si>
  <si>
    <t>FC.39</t>
  </si>
  <si>
    <t>Founiture connexe RTHD : équipement xWDM type OADM 2 CH (châssis + 1 module optique)</t>
  </si>
  <si>
    <t xml:space="preserve"> 8 -12 semaines</t>
  </si>
  <si>
    <t>Châssis FONEX LG21/19 avec module OADM de canaux LG-D1D02-xx/U (xx: 22, 24, 26, 28, 31, 33, 35, 37)</t>
  </si>
  <si>
    <t>FC.40</t>
  </si>
  <si>
    <t>Founiture connexe RTHD : module optique OADM 2 CH</t>
  </si>
  <si>
    <t>Module FONEX OADM de 2 canaux LG-D1D02-xx/U (xx: 22, 24, 26, 28, 31, 33, 35, 37)</t>
  </si>
  <si>
    <t>FC.41</t>
  </si>
  <si>
    <t>Founiture connexe RTHD : équipement xWDM  type MUX 16 CH  (châssis + 1 module optique)</t>
  </si>
  <si>
    <t>Châssis FONEX LG21/19 avec module Mux/Dmux DWDM de 16 canaux LG-D1MD16-22/L/U</t>
  </si>
  <si>
    <t>FC.42</t>
  </si>
  <si>
    <t>Founiture connexe RTHD : module optique MUX 16 CH</t>
  </si>
  <si>
    <t xml:space="preserve"> 8-12 semaines</t>
  </si>
  <si>
    <t>Module FONEX Mux/Dmux DWDM de 16 canaux LG-D1MD16-22/L/U</t>
  </si>
  <si>
    <t>FC.43</t>
  </si>
  <si>
    <t>Founiture connexe RTHD : Châssis équipement xWDM</t>
  </si>
  <si>
    <t>6 a 8 semaines</t>
  </si>
  <si>
    <t>Châssis FONEX xWDM, LG21/19</t>
  </si>
  <si>
    <t>Les dimensions des baies ou coffrets sont exprimées en Largeur x Profondeur  Hauteur</t>
  </si>
  <si>
    <t>Fourniture coffret spécifique : "All in One"</t>
  </si>
  <si>
    <t>"all in one" - conformément au dossier de fabrication transmis, le candidat décline le dossier avec 4 configurations différents</t>
  </si>
  <si>
    <t>FC.44</t>
  </si>
  <si>
    <t>Coffret all-in one - Raccordement FOMO et abonnés en 4 paires Cu</t>
  </si>
  <si>
    <t>Coffret All in One FOMO 4P tout assemblé; inclus le switch Alcatel OS6465P-12 et le forfait main d'œuvre nécessaire à l'assemblage (la configuration / VAT du switch est en sus)</t>
  </si>
  <si>
    <t>FC.45</t>
  </si>
  <si>
    <t>Coffret all-in one - Raccordement FOMO et abonnés en 2x4 paires Cu</t>
  </si>
  <si>
    <t>Coffret All in One FOMO 2x4P tout assemblé; inclus le switch Alcatel OS6465P-12 et le forfait main d'œuvre nécessaire à l'assemblage (la configuration / VAT du switch est en sus)</t>
  </si>
  <si>
    <t>FC.46</t>
  </si>
  <si>
    <t>Coffret all-in one - Raccordement FOMU et abonnés en 4 paires Cu</t>
  </si>
  <si>
    <t>Coffret All in One FOMU 4P tout assemblé; inclus le switch Alcatel OS6465P-12 et le forfait main d'œuvre nécessaire à l'assemblage (la configuration / VAT du switch est en sus)</t>
  </si>
  <si>
    <t>FC.47</t>
  </si>
  <si>
    <t>Coffret all-in one - Raccordement FOMU et abonnés en 2x4 paires Cu</t>
  </si>
  <si>
    <t>Coffret All in One FOMU 2x4P tout assemblé; inclus le switch Alcatel OS6465P-12 et le forfait main d'œuvre nécessaire à l'assemblage (la configuration / VAT du switch est en sus)</t>
  </si>
  <si>
    <t>Fourniture catalogue LAN EXTENDER :</t>
  </si>
  <si>
    <t>Intercoax</t>
  </si>
  <si>
    <t>Prix unitaire remisé (€)</t>
  </si>
  <si>
    <t>Remise sur prix catalogue 
(%)</t>
  </si>
  <si>
    <t xml:space="preserve">Prix public catalogue </t>
  </si>
  <si>
    <t>FI.01</t>
  </si>
  <si>
    <t>ECP-2701
Ehernet over Coax Transceiver : 1-BNC &amp; 1-RJ45 10/100/1000 Ethernet PoE/ PoE+/ Extra PoE up to 60W;   270Mbps; Up to 2,400m Tx/Rx Distance; 12V DC out for Non-PoE Camera;  48 or 57V DC Adapter Only</t>
  </si>
  <si>
    <t>FI.02</t>
  </si>
  <si>
    <t>ECP-2601T
Ethernet over Coax Transmitter : 1-BNC &amp; 1-RJ45 10/100 Ethernet PoE/ PoE+/ Extra PoE up to 60W; 270Mbps between Intercoax 2xxx series; Up to 2,400m Tx/Rx Distance;  48 or 57V DC Adapter Only</t>
  </si>
  <si>
    <t>FI.03</t>
  </si>
  <si>
    <t>ECP-2704T
Ethernet &amp; PoE over Coax Transmitter : 1-BNC &amp; 4-RJ45 10/100/1000 Ethernet PoE/ PoE+/ Extra PoE up to 60W (DC adapter on Tx side suggested to be used and additional DC adapter on Rx side to double the power, Power only on Rx side also can be used.); 270Mbps;  Up to 2,400m Tx/Rx Distance; 48 or 57V DC Adapter Only</t>
  </si>
  <si>
    <t>FI.04</t>
  </si>
  <si>
    <t>EUP-2601T
Ethernet over UTP (Cat5e or better) Transmitter : 1-RJ45(RED) &amp; 1-RJ45 10/100 Ethernet PoE/ PoE+/ Extra PoE up to 60W; 270Mbps between Intercoax 2xxx series; Up to 1,200m Tx/Rx Distance; 48 or 57V DC Adapter Only</t>
  </si>
  <si>
    <t>FI.05</t>
  </si>
  <si>
    <t>ECP-2808RM
LAN Extender Master Switch : 8 port coax long distance up to 2,400m;  10/100/1000 Ethernet; PoE/PoE+/Extra PoE up to 60W (PoE++) per B-Linx port; 320W (8 port models) built in Power supply</t>
  </si>
  <si>
    <t>FI.06</t>
  </si>
  <si>
    <t>ECP-2816RM
LAN Extender Master Switch : 16 port coax long distance up to 2,400m;  10/100/1000 Ethernet; PoE/PoE+/Extra PoE up to 60W (PoE++) per B-Linx port; 640W (16 port models) built in Power supply</t>
  </si>
  <si>
    <t>FI.07</t>
  </si>
  <si>
    <t>EUP-2808RM
LAN Extender Master Switch : 8 port UTP long distance up to 1200m;  10/100/1000 Ethernet; PoE/PoE+/Extra PoE up to 60W (PoE++) per T-Linx port; 320W (8 port models) built in Power supply</t>
  </si>
  <si>
    <t>FI.08</t>
  </si>
  <si>
    <t>EUP-2816RM
LAN Extender Master Switch : 16 port UTP long distance up to 1200m;  10/100/1000 Ethernet; PoE/PoE+/Extra PoE up to 60W (PoE++) per TB-Linx port; 640W (16 port models) built in Power supply</t>
  </si>
  <si>
    <t>FI.09</t>
  </si>
  <si>
    <t>GM60-550120-F
57V DC Adapter (Input: 100~240V AC 50/60Hz ; Output: 57V DC 1.2A;  Compact Size)</t>
  </si>
  <si>
    <t>FI.10</t>
  </si>
  <si>
    <t>BTE-02
BNC to RJ45 Exchanger : 1-BNC(Male) &amp; 1-RJ45; works only with ECP Series</t>
  </si>
  <si>
    <t xml:space="preserve">Fourniture sur catalogue LAN : </t>
  </si>
  <si>
    <t>Alcatel</t>
  </si>
  <si>
    <t xml:space="preserve">Ensemble - configuration standard </t>
  </si>
  <si>
    <t>FE.01</t>
  </si>
  <si>
    <t xml:space="preserve">Switch 6560-P48 avec simple alim et SFP multi </t>
  </si>
  <si>
    <t>FE.02</t>
  </si>
  <si>
    <t>Switch 6560-P48 avec simple alim et SFP mono</t>
  </si>
  <si>
    <t>FE.03</t>
  </si>
  <si>
    <t xml:space="preserve">Switch 6560-P48 avec double alim et SFP multi </t>
  </si>
  <si>
    <t>FE.04</t>
  </si>
  <si>
    <t xml:space="preserve">Switch 6560-P48 avec double alim et SFP mono </t>
  </si>
  <si>
    <t>FE.05</t>
  </si>
  <si>
    <t xml:space="preserve">Switch 6560-P48 à stacker sur un switch existant </t>
  </si>
  <si>
    <t>FE.06</t>
  </si>
  <si>
    <t xml:space="preserve">Stack de 2 switches 6560-P48 simple alim et SFP multi </t>
  </si>
  <si>
    <t>FE.07</t>
  </si>
  <si>
    <t>Stack de 2 switches 6560-P48 simple alim et SFP mono</t>
  </si>
  <si>
    <t>FE.08</t>
  </si>
  <si>
    <t xml:space="preserve">Stack de 2 switches 6560-P48 double alim et SFP multi </t>
  </si>
  <si>
    <t>FE.09</t>
  </si>
  <si>
    <t xml:space="preserve">Stack de 2 switches 6560-P48 double alim et SFP mono </t>
  </si>
  <si>
    <t>FE.10</t>
  </si>
  <si>
    <t xml:space="preserve">Stack de 3 switches 6560-P48 simple alim et SFP multi </t>
  </si>
  <si>
    <t>FE.11</t>
  </si>
  <si>
    <t>Stack de 3 switches 6560-P48 simple alim et SFP mono</t>
  </si>
  <si>
    <t>FE.12</t>
  </si>
  <si>
    <t xml:space="preserve">Stack de 3 switches 6560-P48 double alim et SFP multi </t>
  </si>
  <si>
    <t>FE.13</t>
  </si>
  <si>
    <t xml:space="preserve">Stack de 3 switches 6560-P48 double alim et SFP mono </t>
  </si>
  <si>
    <t>FE.14</t>
  </si>
  <si>
    <t>SFP 10 GO multi</t>
  </si>
  <si>
    <t>FE.15</t>
  </si>
  <si>
    <t>SFP 1 GO multi</t>
  </si>
  <si>
    <t>FE.16</t>
  </si>
  <si>
    <t xml:space="preserve">switch industriel 6465 P12 simple alim SFP multi </t>
  </si>
  <si>
    <t>FE.17</t>
  </si>
  <si>
    <t>Coffret all-in-one FOMU 2x4P clé en main avec switch intégré (hors VAT)</t>
  </si>
  <si>
    <t>FE.18</t>
  </si>
  <si>
    <t xml:space="preserve">Switch 6860N-U28 avec simple alim et SFP multi </t>
  </si>
  <si>
    <t>FE.19</t>
  </si>
  <si>
    <t>Switch 6860N-U28 avec simple alim et SFP mono</t>
  </si>
  <si>
    <t>FE.20</t>
  </si>
  <si>
    <t xml:space="preserve">Switch 6860N-U28 avec double alim et SFP multi </t>
  </si>
  <si>
    <t>FE.21</t>
  </si>
  <si>
    <t xml:space="preserve">Switch 6860N-U28 avec double alim et SFP mono </t>
  </si>
  <si>
    <t>FE.22</t>
  </si>
  <si>
    <t xml:space="preserve">Switch 6860N-U28 à stacker sur un switch existant </t>
  </si>
  <si>
    <t>FE.23</t>
  </si>
  <si>
    <t>SFP 10 GO multimode</t>
  </si>
  <si>
    <t>FE.24</t>
  </si>
  <si>
    <t>SFP 1 GO multimode</t>
  </si>
  <si>
    <t>FE.25</t>
  </si>
  <si>
    <t>AP504 + ANT 19 Indoor</t>
  </si>
  <si>
    <t>FE.26</t>
  </si>
  <si>
    <t>AP5018 + ANT 19 Outdoor</t>
  </si>
  <si>
    <t>FE.27</t>
  </si>
  <si>
    <t xml:space="preserve">AP504 antenne ATEX omniX-DL24/50 G/D indoor </t>
  </si>
  <si>
    <t>FE.28</t>
  </si>
  <si>
    <t>AP505 indoor</t>
  </si>
  <si>
    <t>FE.29</t>
  </si>
  <si>
    <t xml:space="preserve">AP515 (haute densité) Indoor </t>
  </si>
  <si>
    <t>FE.30</t>
  </si>
  <si>
    <t>Power injector (avec cordon secteur)</t>
  </si>
  <si>
    <t>FE.31</t>
  </si>
  <si>
    <t>FA.01</t>
  </si>
  <si>
    <t>OS6560-P48X4</t>
  </si>
  <si>
    <t>FA.02</t>
  </si>
  <si>
    <t>OS6560-BP-PH</t>
  </si>
  <si>
    <t>FA.03</t>
  </si>
  <si>
    <t>SFP-GIG-SX</t>
  </si>
  <si>
    <t>FA.04</t>
  </si>
  <si>
    <t>SFP-GIG-LX</t>
  </si>
  <si>
    <t>FA.05</t>
  </si>
  <si>
    <t>SFP-10G-SR</t>
  </si>
  <si>
    <t>FA.06</t>
  </si>
  <si>
    <t>SFP-10G-C1M</t>
  </si>
  <si>
    <t>FA.07</t>
  </si>
  <si>
    <t>OS6465H-P12</t>
  </si>
  <si>
    <t>FA.08</t>
  </si>
  <si>
    <t>OS6860N-U28</t>
  </si>
  <si>
    <t>FA.09</t>
  </si>
  <si>
    <t>OS6860-BP</t>
  </si>
  <si>
    <t>FA.10</t>
  </si>
  <si>
    <t>OS6860-CBL-100</t>
  </si>
  <si>
    <t>FA.11</t>
  </si>
  <si>
    <t>OAW-AP504</t>
  </si>
  <si>
    <t>FA.12</t>
  </si>
  <si>
    <t>ANT-19</t>
  </si>
  <si>
    <t>FA.13</t>
  </si>
  <si>
    <t>Antenne ATEX</t>
  </si>
  <si>
    <t>FA.14</t>
  </si>
  <si>
    <t>OAW-AP505</t>
  </si>
  <si>
    <t>FA.15</t>
  </si>
  <si>
    <t>OAW-AP515</t>
  </si>
  <si>
    <t>FA.16</t>
  </si>
  <si>
    <t>OAW-AP518</t>
  </si>
  <si>
    <t>FA.17</t>
  </si>
  <si>
    <t>AP-MNT-D</t>
  </si>
  <si>
    <t>FA.18</t>
  </si>
  <si>
    <t>OAW-AP-LAP</t>
  </si>
  <si>
    <t>FA.19</t>
  </si>
  <si>
    <t>OAW-AP-PEFNG</t>
  </si>
  <si>
    <t>FA.20</t>
  </si>
  <si>
    <t>OAW-AP-RFP</t>
  </si>
  <si>
    <t>FA.21</t>
  </si>
  <si>
    <t>OV3600-AM</t>
  </si>
  <si>
    <t>FA.22</t>
  </si>
  <si>
    <t>PD-9001GR/AT/AC</t>
  </si>
  <si>
    <t>FA.23</t>
  </si>
  <si>
    <t>FA.24</t>
  </si>
  <si>
    <t>FA.25</t>
  </si>
  <si>
    <t>FA.26</t>
  </si>
  <si>
    <t>FA.27</t>
  </si>
  <si>
    <t>Cisco</t>
  </si>
  <si>
    <t>coefficient de convertion vers €</t>
  </si>
  <si>
    <t>Prix catalogue en dollar</t>
  </si>
  <si>
    <t>FB.01</t>
  </si>
  <si>
    <t>C9200 avec double alim et SFP mono</t>
  </si>
  <si>
    <t>FB.02</t>
  </si>
  <si>
    <t>C9200 avec double alim et SFP multi</t>
  </si>
  <si>
    <t>FB.03</t>
  </si>
  <si>
    <t>C9300 avec double alim et SFP mono</t>
  </si>
  <si>
    <t>FB.04</t>
  </si>
  <si>
    <t>C9300 avec double alim et SFP multi</t>
  </si>
  <si>
    <t>FB.05</t>
  </si>
  <si>
    <t>C9500 avec double alim et SFP mono</t>
  </si>
  <si>
    <t>FB.06</t>
  </si>
  <si>
    <t>C9500 avec double alim et SFP multi</t>
  </si>
  <si>
    <t>FB.07</t>
  </si>
  <si>
    <t>SFP 10 GO</t>
  </si>
  <si>
    <t>FB.08</t>
  </si>
  <si>
    <t xml:space="preserve">SFP 1GO </t>
  </si>
  <si>
    <t>FB.09</t>
  </si>
  <si>
    <t>C9105 indoor</t>
  </si>
  <si>
    <t>FB.10</t>
  </si>
  <si>
    <t xml:space="preserve">C9015 (haute densité) indoor </t>
  </si>
  <si>
    <t>FB.11</t>
  </si>
  <si>
    <t>C9024 outdoor</t>
  </si>
  <si>
    <t>FB.12</t>
  </si>
  <si>
    <t>FB.13</t>
  </si>
  <si>
    <t>FB.14</t>
  </si>
  <si>
    <t>FB.15</t>
  </si>
  <si>
    <t>FB.16</t>
  </si>
  <si>
    <t>FR.01</t>
  </si>
  <si>
    <t>C9200L-48P-4G-E</t>
  </si>
  <si>
    <t>FR.02</t>
  </si>
  <si>
    <t>CON-PSRT-C92004GE (12 mois)</t>
  </si>
  <si>
    <t>FR.03</t>
  </si>
  <si>
    <t>C9200L-DNA-E-48-3Y (obligatoire)</t>
  </si>
  <si>
    <t>FR.04</t>
  </si>
  <si>
    <t>PWR-C5-1KWAC/2</t>
  </si>
  <si>
    <t>FR.05</t>
  </si>
  <si>
    <t>C9300-24S-A</t>
  </si>
  <si>
    <t>FR.06</t>
  </si>
  <si>
    <t>CON-PSRT-C930024A (12 mois)</t>
  </si>
  <si>
    <t>FR.07</t>
  </si>
  <si>
    <t xml:space="preserve"> C9300-DNA-A-24S-3Y (obligatoire)</t>
  </si>
  <si>
    <t>FR.08</t>
  </si>
  <si>
    <t>PWR-C1-350WAC-P/2</t>
  </si>
  <si>
    <t>FR.09</t>
  </si>
  <si>
    <t>C9500-24Y4C-A</t>
  </si>
  <si>
    <t>FR.10</t>
  </si>
  <si>
    <t>CON-PSRT-C95024YA (12 mois)</t>
  </si>
  <si>
    <t>FR.11</t>
  </si>
  <si>
    <t>C9500-DNA-L-A-3Y (obligatoire)</t>
  </si>
  <si>
    <t>FR.12</t>
  </si>
  <si>
    <t xml:space="preserve"> C9K-PWR-650WAC-R/2</t>
  </si>
  <si>
    <t>FR.13</t>
  </si>
  <si>
    <t>GLC-SX-MMD</t>
  </si>
  <si>
    <t>FR.14</t>
  </si>
  <si>
    <t>GLC-LH-SMD</t>
  </si>
  <si>
    <t>FR.15</t>
  </si>
  <si>
    <t>SFP-10G-SR-S</t>
  </si>
  <si>
    <t>FR.16</t>
  </si>
  <si>
    <t>C9105AXI-E</t>
  </si>
  <si>
    <t>FR.17</t>
  </si>
  <si>
    <t>C9115AXI-E</t>
  </si>
  <si>
    <t>FR.18</t>
  </si>
  <si>
    <t>C9124AXI-E</t>
  </si>
  <si>
    <t>FR.19</t>
  </si>
  <si>
    <t>AIR-DNA-E-3Y</t>
  </si>
  <si>
    <t xml:space="preserve">Remise sur catalogue LAN &amp; Routeurs &amp; WIFI: </t>
  </si>
  <si>
    <t>Famille d'équipement</t>
  </si>
  <si>
    <t>C1.1</t>
  </si>
  <si>
    <t>Commutateurs niveau 2</t>
  </si>
  <si>
    <t>Catalyst 9200L</t>
  </si>
  <si>
    <t>C1.2</t>
  </si>
  <si>
    <t>Catalyst 9200</t>
  </si>
  <si>
    <t>C1.3</t>
  </si>
  <si>
    <t>Catalyst 9200CX (compact)</t>
  </si>
  <si>
    <t>C1.4</t>
  </si>
  <si>
    <t>Commutateurs niveau 2/3</t>
  </si>
  <si>
    <t>Catalyst 9300L</t>
  </si>
  <si>
    <t>C1.5</t>
  </si>
  <si>
    <t>Catalyst 9300</t>
  </si>
  <si>
    <t>C1.6</t>
  </si>
  <si>
    <t>Catalyst 9400</t>
  </si>
  <si>
    <t>C1.7</t>
  </si>
  <si>
    <t>Catalyst 9500</t>
  </si>
  <si>
    <t>C1.8</t>
  </si>
  <si>
    <t>Catalyst 9600</t>
  </si>
  <si>
    <t>C1.9</t>
  </si>
  <si>
    <t>Switches industriels IE3000, IE4000, IE5000</t>
  </si>
  <si>
    <t>C1.10</t>
  </si>
  <si>
    <t>Routeur</t>
  </si>
  <si>
    <t>Catalyst 8000</t>
  </si>
  <si>
    <t>C1.11</t>
  </si>
  <si>
    <t>Modules et accessoires communs</t>
  </si>
  <si>
    <t>SFP, SFP+, QSFP, QSFP28</t>
  </si>
  <si>
    <t>C1.12</t>
  </si>
  <si>
    <t>Equipement WIFI (contrôleur, borne…)</t>
  </si>
  <si>
    <t>Catalyst 9100 et 9800</t>
  </si>
  <si>
    <t>C1.13</t>
  </si>
  <si>
    <t>Pour les autres équipements du constructeur</t>
  </si>
  <si>
    <t xml:space="preserve">Si nécessaire, des lignes peuvent être ajoutées si les remises applicables pour les familles d'équipement sont différentes  </t>
  </si>
  <si>
    <t>C2.1</t>
  </si>
  <si>
    <t>OS6360</t>
  </si>
  <si>
    <t>C2.2</t>
  </si>
  <si>
    <t>OS6465</t>
  </si>
  <si>
    <t>C2.3</t>
  </si>
  <si>
    <t>OS6560</t>
  </si>
  <si>
    <t>C2.4</t>
  </si>
  <si>
    <t>OS6570M</t>
  </si>
  <si>
    <t>C2.5</t>
  </si>
  <si>
    <t>OS6860E/N</t>
  </si>
  <si>
    <t>C2.6</t>
  </si>
  <si>
    <t>OS6865</t>
  </si>
  <si>
    <t>C2.7</t>
  </si>
  <si>
    <t>OS6900</t>
  </si>
  <si>
    <t>C2.8</t>
  </si>
  <si>
    <t>Pas de routeur Alcatel, hors commutateur L2/L3</t>
  </si>
  <si>
    <t>C2.9</t>
  </si>
  <si>
    <t>C2.10</t>
  </si>
  <si>
    <t xml:space="preserve">Remise sur catalogue WIFI: </t>
  </si>
  <si>
    <t>C6.1</t>
  </si>
  <si>
    <t>Bornes AP303, AP5xx et AP6xx, contrôleurs WiFi OAW</t>
  </si>
  <si>
    <t>C6.2</t>
  </si>
  <si>
    <t>contrôleurs ClearPass</t>
  </si>
  <si>
    <t>Aruba</t>
  </si>
  <si>
    <t>C6.3</t>
  </si>
  <si>
    <t>C6.4</t>
  </si>
  <si>
    <t xml:space="preserve">Remise sur catalogue MPLS : </t>
  </si>
  <si>
    <t>C3.1</t>
  </si>
  <si>
    <t>Equipement d'accès</t>
  </si>
  <si>
    <t>NCS 540 - Hardware</t>
  </si>
  <si>
    <t>C3.2</t>
  </si>
  <si>
    <t>NCS 560-4 - Hardware</t>
  </si>
  <si>
    <t>C3.3</t>
  </si>
  <si>
    <t>Equipement de drainage</t>
  </si>
  <si>
    <t>NCS-57C3 - Hardware</t>
  </si>
  <si>
    <t>C3.4</t>
  </si>
  <si>
    <t>ASR9903 Hardware</t>
  </si>
  <si>
    <t>C3.5</t>
  </si>
  <si>
    <t>Equipement de backbone</t>
  </si>
  <si>
    <t>NCS 5504 Hardware</t>
  </si>
  <si>
    <t>C3.6</t>
  </si>
  <si>
    <t>Cisco8000 - Hardware</t>
  </si>
  <si>
    <t>C3.7</t>
  </si>
  <si>
    <t>Equipement de dessertes services</t>
  </si>
  <si>
    <t>C3.9</t>
  </si>
  <si>
    <t>Licences Software</t>
  </si>
  <si>
    <t>Software équipements MPLS</t>
  </si>
  <si>
    <t>C3.8</t>
  </si>
  <si>
    <t>Optiques SFP</t>
  </si>
  <si>
    <t>Logiciel de management</t>
  </si>
  <si>
    <t>EPNM</t>
  </si>
  <si>
    <t>C3.10</t>
  </si>
  <si>
    <t>Nokia</t>
  </si>
  <si>
    <t xml:space="preserve">7705 SAR-Ax </t>
  </si>
  <si>
    <t>7705 SAR-X</t>
  </si>
  <si>
    <t>7705 SAR-8</t>
  </si>
  <si>
    <t>7705 SAR-Hc</t>
  </si>
  <si>
    <t>7705 SAR logiciels communs</t>
  </si>
  <si>
    <t>7705 SAR accessoires communs</t>
  </si>
  <si>
    <t>7250 IXR-e</t>
  </si>
  <si>
    <t>Logiciel SR-OS pour 7250 IXR</t>
  </si>
  <si>
    <t>7210 SAS-S/Sx 1/10G satellite</t>
  </si>
  <si>
    <t>7210 SAS-Mxp</t>
  </si>
  <si>
    <t>C3.11</t>
  </si>
  <si>
    <t>7210 SAS-K</t>
  </si>
  <si>
    <t>C3.12</t>
  </si>
  <si>
    <t>7210 SAS-Dxp</t>
  </si>
  <si>
    <t>C3.13</t>
  </si>
  <si>
    <t>Equipement d'accès ou de drainage</t>
  </si>
  <si>
    <t>7750 SR-a Chassis/IOM-a</t>
  </si>
  <si>
    <t>C3.14</t>
  </si>
  <si>
    <t>7750 SR-a MDA-a</t>
  </si>
  <si>
    <t>C3.15</t>
  </si>
  <si>
    <t>Equipement de drainage ou de desserte service</t>
  </si>
  <si>
    <t>7250 IXR-R4/6</t>
  </si>
  <si>
    <t>C3.16</t>
  </si>
  <si>
    <t>7250 IXR MDA</t>
  </si>
  <si>
    <t>C3.17</t>
  </si>
  <si>
    <t>C3.18</t>
  </si>
  <si>
    <t>Equipement de desserte ou de backbone</t>
  </si>
  <si>
    <t>C3.19</t>
  </si>
  <si>
    <t>C3.20</t>
  </si>
  <si>
    <t>7750 SR-7/12 bundles</t>
  </si>
  <si>
    <t>C3.21</t>
  </si>
  <si>
    <t>Logiciel 7750 SR-OS / RTU</t>
  </si>
  <si>
    <t>C3.22</t>
  </si>
  <si>
    <t>7750 IOM4-e-BQ/LQ</t>
  </si>
  <si>
    <t>C3.23</t>
  </si>
  <si>
    <t>7750 MDA-e</t>
  </si>
  <si>
    <t>C3.24</t>
  </si>
  <si>
    <t>7750 SR IOM5-e</t>
  </si>
  <si>
    <t>C3.25</t>
  </si>
  <si>
    <t>7750 MDA-e-XP</t>
  </si>
  <si>
    <t>C3.26</t>
  </si>
  <si>
    <t>C3.27</t>
  </si>
  <si>
    <t>Plateforme NSP</t>
  </si>
  <si>
    <t>Points de licence (LP)</t>
  </si>
  <si>
    <t>C3.28</t>
  </si>
  <si>
    <t>Remise sur catalogue LAN EXTENDER :</t>
  </si>
  <si>
    <t>C4.1</t>
  </si>
  <si>
    <t xml:space="preserve">Equipement MAÎTRE infra câble à paire </t>
  </si>
  <si>
    <t>EUP-28XX</t>
  </si>
  <si>
    <t>C4.2</t>
  </si>
  <si>
    <t xml:space="preserve">Equipement ESCLAVE infra câble à paire </t>
  </si>
  <si>
    <t>EUP-26XX</t>
  </si>
  <si>
    <t>C4.3</t>
  </si>
  <si>
    <t>Equipement MAÎTRE infra câble coaxial</t>
  </si>
  <si>
    <t>ECP-28XX</t>
  </si>
  <si>
    <t>C4.4</t>
  </si>
  <si>
    <t>Equipement ESCLAVE infra câble coaxial</t>
  </si>
  <si>
    <t>ECP-2601T</t>
  </si>
  <si>
    <t>C4.5</t>
  </si>
  <si>
    <t>ECP-2701</t>
  </si>
  <si>
    <t>C4.6</t>
  </si>
  <si>
    <t>ECP-2704T</t>
  </si>
  <si>
    <t>C4.7</t>
  </si>
  <si>
    <t>BTE Convertisseur</t>
  </si>
  <si>
    <t>C4.8</t>
  </si>
  <si>
    <t>Remise sur catalogue SECURITE :</t>
  </si>
  <si>
    <t>Checkpoint</t>
  </si>
  <si>
    <t>C5.1</t>
  </si>
  <si>
    <t>Equipement type Firewall</t>
  </si>
  <si>
    <t>Quantum Firewal, SDWAN, lOT et MGMT</t>
  </si>
  <si>
    <t>C5.2</t>
  </si>
  <si>
    <t>Equipement de gamme orchestrateur</t>
  </si>
  <si>
    <t>Gamme Maestro MHO</t>
  </si>
  <si>
    <t>C5.3</t>
  </si>
  <si>
    <t xml:space="preserve">Equipement haute performance Lightspeed </t>
  </si>
  <si>
    <t>Quantum Lightspeed</t>
  </si>
  <si>
    <t>C5.4</t>
  </si>
  <si>
    <t>Renewals &amp; Blades (Licences)</t>
  </si>
  <si>
    <t>C5.5</t>
  </si>
  <si>
    <t>Solution DDOS</t>
  </si>
  <si>
    <t>Produits, appliance</t>
  </si>
  <si>
    <t>C5.6</t>
  </si>
  <si>
    <t>Solutions Harmony et Cloudguard Firewall</t>
  </si>
  <si>
    <t>Produits et souscription (Endpoint, Firewalls et MGMT dans le Cloud)</t>
  </si>
  <si>
    <t>C5.7</t>
  </si>
  <si>
    <t>Transceiver, RAM, SSD, power-supply, rail</t>
  </si>
  <si>
    <t>C5.8</t>
  </si>
  <si>
    <t>Autres </t>
  </si>
  <si>
    <t>Fortinet</t>
  </si>
  <si>
    <t>Equipement type Firewall Fortigate gamme SMB et Middle-size</t>
  </si>
  <si>
    <t>Low End HW and Bundle (&lt; = 2xx) (CAT A)</t>
  </si>
  <si>
    <t>Equipement type Firewall Fortigate gamme Entreprise et Haute performance</t>
  </si>
  <si>
    <t>High End HW and Bundles (CAT B)</t>
  </si>
  <si>
    <t xml:space="preserve">Bundle licences, licence à la carte, service support renouvellement </t>
  </si>
  <si>
    <t>Support, Service Renewals, Co-terms, Service or Subscription bundles incl. FortiCare (CAT C)</t>
  </si>
  <si>
    <t>Bundle licences, licence à la carte sans service support</t>
  </si>
  <si>
    <t>SW, FortiGuard Standalone, FortiGuard Standalone, Subscription licenses without FortiCare (CAT E)</t>
  </si>
  <si>
    <t>Accessoires équipements (CAT F)</t>
  </si>
  <si>
    <t>Service en mode SaaS, IaaS (fonctions avancées FortiCloud) Services FW, MGMT déporté sur le Cloud</t>
  </si>
  <si>
    <t>SaaS/IaaS/PaaS, Linksys Homework for Business SKUs (CAT S)</t>
  </si>
  <si>
    <t>Remise sur catalogue Modem</t>
  </si>
  <si>
    <t>CXR</t>
  </si>
  <si>
    <t>Equipement type Modem</t>
  </si>
  <si>
    <t>Modem optique FO-4E1T1-GE</t>
  </si>
  <si>
    <t>Divers accessoires modem optique (SFP)</t>
  </si>
  <si>
    <t>Remise sur catalogue Multiplexage</t>
  </si>
  <si>
    <t>FONEX</t>
  </si>
  <si>
    <t xml:space="preserve">Equipement type xWDM </t>
  </si>
  <si>
    <t>Multiplexeur et OADM LambdaGain</t>
  </si>
  <si>
    <t>Châssis LG21</t>
  </si>
  <si>
    <t>Fourniture de divers composants</t>
  </si>
  <si>
    <t>Catalogue DIVERS</t>
  </si>
  <si>
    <t>Taux de remise</t>
  </si>
  <si>
    <t>Convertisseur</t>
  </si>
  <si>
    <t>Convertisseur d'alimentation AC/DC ARCHEAN</t>
  </si>
  <si>
    <t>module optique</t>
  </si>
  <si>
    <t>Transceivers xWDM FONEX</t>
  </si>
  <si>
    <t>équipement de synchronisation</t>
  </si>
  <si>
    <t>TimeProvider MICROSEMI</t>
  </si>
  <si>
    <t>ATLAS Magasin DEI</t>
  </si>
  <si>
    <t>Code Article</t>
  </si>
  <si>
    <t>Nom Famille</t>
  </si>
  <si>
    <t>Nom Sous Famille</t>
  </si>
  <si>
    <t>Ud</t>
  </si>
  <si>
    <t>C_M_P</t>
  </si>
  <si>
    <t>EQ.01</t>
  </si>
  <si>
    <t>VA7PK00001</t>
  </si>
  <si>
    <t>AUTOMATE 2007 PARKEON</t>
  </si>
  <si>
    <t>AUTOMATE7</t>
  </si>
  <si>
    <t>PARKEON</t>
  </si>
  <si>
    <t>PE</t>
  </si>
  <si>
    <t>EQ.02</t>
  </si>
  <si>
    <t>VACCO00010</t>
  </si>
  <si>
    <t>TÊTE LECTURE V6 (PSC)</t>
  </si>
  <si>
    <t>MARCHANDISES DIVERSES</t>
  </si>
  <si>
    <t>APPAREILS OBLITERATEURS</t>
  </si>
  <si>
    <t>EQ.03</t>
  </si>
  <si>
    <t>VACCO00011</t>
  </si>
  <si>
    <t>TÊTE DE LECTURE V8 (PSC)</t>
  </si>
  <si>
    <t>CONTROLE ACCES</t>
  </si>
  <si>
    <t>CONTROLE D'ACCES</t>
  </si>
  <si>
    <t>EQ.04</t>
  </si>
  <si>
    <t>VACCO00030</t>
  </si>
  <si>
    <t>CONCENTRATEUR CCA 12E (A2E)</t>
  </si>
  <si>
    <t>EQ.05</t>
  </si>
  <si>
    <t>VACCO00031</t>
  </si>
  <si>
    <t>CARTE UTL CCV4 POUR CCA (A2E)</t>
  </si>
  <si>
    <t>EQ.06</t>
  </si>
  <si>
    <t>VACCO00032</t>
  </si>
  <si>
    <t>CONCENTRATEUR CCA 2E (A2E)</t>
  </si>
  <si>
    <t>EQ.07</t>
  </si>
  <si>
    <t>VACCO00033</t>
  </si>
  <si>
    <t>CONCENTRATEUR CCA 12E-B (A2E)</t>
  </si>
  <si>
    <t>EQ.08</t>
  </si>
  <si>
    <t>VACCO00034</t>
  </si>
  <si>
    <t>CARTE MODULE DIGI CMCA1G ET BMCA1G</t>
  </si>
  <si>
    <t>EQ.09</t>
  </si>
  <si>
    <t>VACCO00050</t>
  </si>
  <si>
    <t>AUTOCOLLANT HZTAL LEDS A GAUCHE</t>
  </si>
  <si>
    <t>EQ.10</t>
  </si>
  <si>
    <t>VACCO00060</t>
  </si>
  <si>
    <t>AUTOCOLLANT HZTAL LEDS EN HAUT</t>
  </si>
  <si>
    <t>EQ.11</t>
  </si>
  <si>
    <t>VAEAL00100</t>
  </si>
  <si>
    <t>BLOC ALIMENTATION CAMERA WATEC</t>
  </si>
  <si>
    <t>ACCESSOIRES ELECTRIQUES</t>
  </si>
  <si>
    <t>ALIMENTATION</t>
  </si>
  <si>
    <t>EQ.12</t>
  </si>
  <si>
    <t>VAEAL00101</t>
  </si>
  <si>
    <t>CORDON POUR ALIM CINCOM TR36A13</t>
  </si>
  <si>
    <t>EQ.13</t>
  </si>
  <si>
    <t>VAEAL00200</t>
  </si>
  <si>
    <t>ALIM 24V MONITEUR CONDUCTEUR</t>
  </si>
  <si>
    <t>EQ.14</t>
  </si>
  <si>
    <t>VAEAL00300</t>
  </si>
  <si>
    <t>ALIMENTATION 24VDC 2A RAIL DIN</t>
  </si>
  <si>
    <t>EQ.15</t>
  </si>
  <si>
    <t>VAEAL00310</t>
  </si>
  <si>
    <t>BLOC ALIM 24DC 700 PRISE JACK</t>
  </si>
  <si>
    <t>EQ.16</t>
  </si>
  <si>
    <t>VAEAL00480</t>
  </si>
  <si>
    <t>ALIMENTATION CAMERA MONOBLOC</t>
  </si>
  <si>
    <t>EQ.17</t>
  </si>
  <si>
    <t>VAEAL01SPN</t>
  </si>
  <si>
    <t>ALIM EXTERNE 220/24 120W ECRIN</t>
  </si>
  <si>
    <t>EQ.18</t>
  </si>
  <si>
    <t>VAEAL14660</t>
  </si>
  <si>
    <t>ALIMENTATION CAMERA HYBRIDE</t>
  </si>
  <si>
    <t>EQ.19</t>
  </si>
  <si>
    <t>VAEAP NOOK</t>
  </si>
  <si>
    <t>CHÂSSIS AE5G RETOUR CHANTIER</t>
  </si>
  <si>
    <t>APPAREILLAGE DOMESTIQUE</t>
  </si>
  <si>
    <t>EQ.20</t>
  </si>
  <si>
    <t>VAEAP00010</t>
  </si>
  <si>
    <t>HORLOGE MERE RACK NTP 230V</t>
  </si>
  <si>
    <t>EQ.21</t>
  </si>
  <si>
    <t>VAEAP00011</t>
  </si>
  <si>
    <t>HORLOGE MERE MURAL NTP 230V</t>
  </si>
  <si>
    <t>EQ.22</t>
  </si>
  <si>
    <t>VAEAP00015</t>
  </si>
  <si>
    <t>HORLOGE BODET HMS 15 LED BLEUE</t>
  </si>
  <si>
    <t>EQ.23</t>
  </si>
  <si>
    <t>VAEAP00020</t>
  </si>
  <si>
    <t>HORLOGE LEDI 5S H/M/S NTP POE</t>
  </si>
  <si>
    <t>EQ.24</t>
  </si>
  <si>
    <t>VAEAP00021</t>
  </si>
  <si>
    <t>HORLOGE LEDI 5 H/M NTP POE</t>
  </si>
  <si>
    <t>EQ.25</t>
  </si>
  <si>
    <t>VAEAP00022</t>
  </si>
  <si>
    <t>HORLOGE LEDI 5S H/M/S NTP ALIM 230V</t>
  </si>
  <si>
    <t>EQ.26</t>
  </si>
  <si>
    <t>VAEAP00023</t>
  </si>
  <si>
    <t>HORLOGE LEDI 5S H/M/S AFNOR 230V</t>
  </si>
  <si>
    <t>EQ.27</t>
  </si>
  <si>
    <t>VAEAP00030</t>
  </si>
  <si>
    <t>HORLOGE LEDI 7 H/M AFNOR 230V</t>
  </si>
  <si>
    <t>EQ.28</t>
  </si>
  <si>
    <t>VAEAP00031</t>
  </si>
  <si>
    <t>HORLOGE LEDI 7S H/M/S AFNOR 230V</t>
  </si>
  <si>
    <t>EQ.29</t>
  </si>
  <si>
    <t>VAEAP00032</t>
  </si>
  <si>
    <t>HORLOGE LEDICA H/M/D AFNOR 230V</t>
  </si>
  <si>
    <t>EQ.30</t>
  </si>
  <si>
    <t>VAEAP00033</t>
  </si>
  <si>
    <t>HORLOGE LEDI 7,6 H/M/S AFNOR 230V</t>
  </si>
  <si>
    <t>EQ.31</t>
  </si>
  <si>
    <t>VAEAP00040</t>
  </si>
  <si>
    <t>HORLOGE LEDI 10 H/M AFNOR 230V</t>
  </si>
  <si>
    <t>EQ.32</t>
  </si>
  <si>
    <t>VAEAP00041</t>
  </si>
  <si>
    <t>HORLOGE LEDI 10 H/M NTP POE</t>
  </si>
  <si>
    <t>EQ.33</t>
  </si>
  <si>
    <t>VAEAP00042</t>
  </si>
  <si>
    <t>HORLOGE LEDI REVERSO 10</t>
  </si>
  <si>
    <t>EQ.34</t>
  </si>
  <si>
    <t>VAEAP00043</t>
  </si>
  <si>
    <t>POTENCE PLAFOND LEDI EXT</t>
  </si>
  <si>
    <t>EQUIPEMENT MECANIQUE</t>
  </si>
  <si>
    <t>FIXATION</t>
  </si>
  <si>
    <t>EQ.35</t>
  </si>
  <si>
    <t>VAEAP00050</t>
  </si>
  <si>
    <t>HORLOGE LEDI 5.60 H/M</t>
  </si>
  <si>
    <t>EQ.36</t>
  </si>
  <si>
    <t>VAEAP00206</t>
  </si>
  <si>
    <t>RETOUR HORLOGE BODET STYLE 5 S</t>
  </si>
  <si>
    <t>EQ.37</t>
  </si>
  <si>
    <t>VAEAP00600</t>
  </si>
  <si>
    <t>AE6G RETOUR CHANTIER 600X600</t>
  </si>
  <si>
    <t>EQ.38</t>
  </si>
  <si>
    <t>VAEAP01SPN</t>
  </si>
  <si>
    <t>AE6G FORMAT AE5G + CARTES TDA</t>
  </si>
  <si>
    <t>EQ.39</t>
  </si>
  <si>
    <t>VAEAP06SPN</t>
  </si>
  <si>
    <t>AE6G 600 X 600 + CARTES TDA</t>
  </si>
  <si>
    <t>EQ.40</t>
  </si>
  <si>
    <t>VAEAP08SPN</t>
  </si>
  <si>
    <t>AE6G 800 X 600 + CARTES TDA</t>
  </si>
  <si>
    <t>EQ.41</t>
  </si>
  <si>
    <t>VAEAU00032</t>
  </si>
  <si>
    <t>GENERATEUR DE MIRE HDMI</t>
  </si>
  <si>
    <t>AUTRE</t>
  </si>
  <si>
    <t>EQ.42</t>
  </si>
  <si>
    <t>VAEAU00037</t>
  </si>
  <si>
    <t>VOLET PROTECTEUR POUR BHU</t>
  </si>
  <si>
    <t>EQ.43</t>
  </si>
  <si>
    <t>VAEAU00048</t>
  </si>
  <si>
    <t>26 BHU VERT DOUBLE CONTACT</t>
  </si>
  <si>
    <t>EQ.44</t>
  </si>
  <si>
    <t>VAEAU00049</t>
  </si>
  <si>
    <t>BHU VERT SAILLIE</t>
  </si>
  <si>
    <t>EQ.45</t>
  </si>
  <si>
    <t>VAEAU00050</t>
  </si>
  <si>
    <t>BHU BLANC SAILLIE LEGRAND</t>
  </si>
  <si>
    <t>EQ.46</t>
  </si>
  <si>
    <t>VAEAU00150</t>
  </si>
  <si>
    <t>BOITIER PEC ERSB</t>
  </si>
  <si>
    <t>EQ.47</t>
  </si>
  <si>
    <t>VAEAU01309</t>
  </si>
  <si>
    <t>BOITIER COMMADE LOCAL 48V</t>
  </si>
  <si>
    <t>EQ.48</t>
  </si>
  <si>
    <t>VAEAU01440</t>
  </si>
  <si>
    <t>DETECTEUR D'OUVERTURE ELKRON</t>
  </si>
  <si>
    <t>EQ.49</t>
  </si>
  <si>
    <t>VAPIN00051</t>
  </si>
  <si>
    <t>API TYPE 1 AEF</t>
  </si>
  <si>
    <t>AUTOMATE PROGRAMMABLE</t>
  </si>
  <si>
    <t>INDUSTRIEL</t>
  </si>
  <si>
    <t>EQ.50</t>
  </si>
  <si>
    <t>VAPIN00052</t>
  </si>
  <si>
    <t>API TYPE 2 AEF</t>
  </si>
  <si>
    <t>EQ.51</t>
  </si>
  <si>
    <t>VAPIN00053</t>
  </si>
  <si>
    <t>API TYPE 3 AEF</t>
  </si>
  <si>
    <t>EQ.52</t>
  </si>
  <si>
    <t>VAPIN01SPN</t>
  </si>
  <si>
    <t>API SYMPHONIE TYPE 1 COMPLET</t>
  </si>
  <si>
    <t>EQ.53</t>
  </si>
  <si>
    <t>VAPIN02SPN</t>
  </si>
  <si>
    <t>API SYMPHONIE TYPE 2 COMPLET</t>
  </si>
  <si>
    <t>EQ.54</t>
  </si>
  <si>
    <t>VAPIN03SPN</t>
  </si>
  <si>
    <t>API SYMPHONIE TYPE 3 COMPLET NOXAN</t>
  </si>
  <si>
    <t>EQ.55</t>
  </si>
  <si>
    <t>VASPK00012</t>
  </si>
  <si>
    <t>AS PARKEON RETOUR CHANTIER</t>
  </si>
  <si>
    <t>Automate Service</t>
  </si>
  <si>
    <t>ParKeon</t>
  </si>
  <si>
    <t>EQ.56</t>
  </si>
  <si>
    <t>VAUBV00VDC</t>
  </si>
  <si>
    <t>BORNE PROVISOIRE VDC</t>
  </si>
  <si>
    <t>BORNE DE VALIDATION</t>
  </si>
  <si>
    <t>EQ.57</t>
  </si>
  <si>
    <t>VAUIM00020</t>
  </si>
  <si>
    <t>IMPRIMANTE EVOLIS A BADGE</t>
  </si>
  <si>
    <t>IMPRIMANTE</t>
  </si>
  <si>
    <t>EQ.58</t>
  </si>
  <si>
    <t>VCASU00012</t>
  </si>
  <si>
    <t>COFFRET CAMERA VISIO7 COAXIALE</t>
  </si>
  <si>
    <t>EQUIPEMENTS DES SOUS STATIONS</t>
  </si>
  <si>
    <t>ARTICLES DIVERS</t>
  </si>
  <si>
    <t>EQ.59</t>
  </si>
  <si>
    <t>VCASU00013</t>
  </si>
  <si>
    <t>COFFRET VISIO 7 RETOUR CHANTIER</t>
  </si>
  <si>
    <t>CAMERA</t>
  </si>
  <si>
    <t>SURVEILLANCE</t>
  </si>
  <si>
    <t>EQ.60</t>
  </si>
  <si>
    <t>VCASU00015</t>
  </si>
  <si>
    <t xml:space="preserve"> CLE POUR COFFRET VISIO 7</t>
  </si>
  <si>
    <t>EQ.61</t>
  </si>
  <si>
    <t>VCASU00020</t>
  </si>
  <si>
    <t>COFFRET + CAMERA + SUSPENTE</t>
  </si>
  <si>
    <t>EQ.62</t>
  </si>
  <si>
    <t>VCASU00030</t>
  </si>
  <si>
    <t>CAISSON CAMERA TUNNEL NOIR</t>
  </si>
  <si>
    <t>EQ.63</t>
  </si>
  <si>
    <t>VCASU00040</t>
  </si>
  <si>
    <t>CAISSON BEIGE POUR CAMÉRA 230VAC</t>
  </si>
  <si>
    <t>EQ.64</t>
  </si>
  <si>
    <t>VCASU00050</t>
  </si>
  <si>
    <t>CAISSON GRIS POUR CAMERA 24VAC</t>
  </si>
  <si>
    <t>EQ.65</t>
  </si>
  <si>
    <t>VCASU00060</t>
  </si>
  <si>
    <t>KIT INTERFACE IPM POE POUR CAISSON</t>
  </si>
  <si>
    <t>EQ.66</t>
  </si>
  <si>
    <t>VCOEM00002</t>
  </si>
  <si>
    <t>EMBASE MALE 4 FICHES JAEGER</t>
  </si>
  <si>
    <t>CONNECTEUR</t>
  </si>
  <si>
    <t>EMBASE</t>
  </si>
  <si>
    <t>EQ.67</t>
  </si>
  <si>
    <t>VCOEM00003</t>
  </si>
  <si>
    <t>EMBASE FEM JAEGER POUR PEDALE</t>
  </si>
  <si>
    <t>EQ.68</t>
  </si>
  <si>
    <t>VCOFI00500</t>
  </si>
  <si>
    <t>BOITIER BOUCLE EFFRACTION ADUP</t>
  </si>
  <si>
    <t>FICHE</t>
  </si>
  <si>
    <t>EQ.69</t>
  </si>
  <si>
    <t>VCRBO00011</t>
  </si>
  <si>
    <t>BORNIER SRL WAGO</t>
  </si>
  <si>
    <t>CHEMINEMENT-RACCORDEMENT</t>
  </si>
  <si>
    <t>BORNE</t>
  </si>
  <si>
    <t>EQ.70</t>
  </si>
  <si>
    <t>VCRBO00021</t>
  </si>
  <si>
    <t>RÉPARTITEUR D'ENERGIE SCHNEIDER</t>
  </si>
  <si>
    <t>EQ.71</t>
  </si>
  <si>
    <t>VCRBO00030</t>
  </si>
  <si>
    <t>BARETTE DE TERRE LCL</t>
  </si>
  <si>
    <t>EQ.72</t>
  </si>
  <si>
    <t>VCRBO00050</t>
  </si>
  <si>
    <t>BORNIER B4 WAGO</t>
  </si>
  <si>
    <t>EQ.73</t>
  </si>
  <si>
    <t>VCRBO00060</t>
  </si>
  <si>
    <t>BORNE 8 CANAUX E/S WAGO</t>
  </si>
  <si>
    <t>EQ.74</t>
  </si>
  <si>
    <t>VCRBT00004</t>
  </si>
  <si>
    <t>BOITE RACCORDEMENT SONO ERSB</t>
  </si>
  <si>
    <t>COMPOSANTS PASSIFS</t>
  </si>
  <si>
    <t>HAUTS-PARLEURS</t>
  </si>
  <si>
    <t>EQ.75</t>
  </si>
  <si>
    <t>VCRBT00014</t>
  </si>
  <si>
    <t>BOITE DE RACCORDEMENT SONO SSI ERSB</t>
  </si>
  <si>
    <t>BOITE</t>
  </si>
  <si>
    <t>EQ.76</t>
  </si>
  <si>
    <t>VCRBT00015</t>
  </si>
  <si>
    <t>BOITE DERIVATION SONO SSI ERSB</t>
  </si>
  <si>
    <t>EQ.77</t>
  </si>
  <si>
    <t>VCRBT00020</t>
  </si>
  <si>
    <t>BOITE DE RACCORDEMENT VIDEO</t>
  </si>
  <si>
    <t>EQ.78</t>
  </si>
  <si>
    <t>VCRBT3204H</t>
  </si>
  <si>
    <t>BOITIER DE JONCTION CAMERA DÔME</t>
  </si>
  <si>
    <t>EQ.79</t>
  </si>
  <si>
    <t>VDIDI00007</t>
  </si>
  <si>
    <t>ADB3 DEPOSE STATION/GARE</t>
  </si>
  <si>
    <t>DISTRIBUTION BILLET</t>
  </si>
  <si>
    <t>DISTRIBUTEUR</t>
  </si>
  <si>
    <t>EQ.80</t>
  </si>
  <si>
    <t>VDIDI00015</t>
  </si>
  <si>
    <t>SOCLE POUR ADUP ADMD</t>
  </si>
  <si>
    <t>EQ.81</t>
  </si>
  <si>
    <t>VDIDI00020</t>
  </si>
  <si>
    <t>EQUERRE POUR ADUP ADMD</t>
  </si>
  <si>
    <t>EQ.82</t>
  </si>
  <si>
    <t>VDIDI00025</t>
  </si>
  <si>
    <t>BARRE DE SEUIL ADUP ADMD</t>
  </si>
  <si>
    <t>EQ.83</t>
  </si>
  <si>
    <t>VDIDI00030</t>
  </si>
  <si>
    <t>CAISSE A MONNAIE ADUP ADMD</t>
  </si>
  <si>
    <t>EQ.84</t>
  </si>
  <si>
    <t>VDIDI00035</t>
  </si>
  <si>
    <t>CAISSE A MONNAIE ADUP ADMM</t>
  </si>
  <si>
    <t>EQ.85</t>
  </si>
  <si>
    <t>VDIDI00100</t>
  </si>
  <si>
    <t>CLEF HAYON ADMD</t>
  </si>
  <si>
    <t>EQ.86</t>
  </si>
  <si>
    <t>VDIDI01TPV</t>
  </si>
  <si>
    <t>MEUBLE NEUF TPV EQUIPE VENTE</t>
  </si>
  <si>
    <t>EQ.87</t>
  </si>
  <si>
    <t>VDIDI02TPV</t>
  </si>
  <si>
    <t>TPV VENTE RETOUR CHANTIER</t>
  </si>
  <si>
    <t>EQ.88</t>
  </si>
  <si>
    <t>VDIDI03TPV</t>
  </si>
  <si>
    <t>COFFRET TECHNIQUE TPV 300MM</t>
  </si>
  <si>
    <t>VDIDI06TPV</t>
  </si>
  <si>
    <t>COFFRET TECHNIQUE TPV 600MM</t>
  </si>
  <si>
    <t>EQ.90</t>
  </si>
  <si>
    <t>VDIDI07TPV</t>
  </si>
  <si>
    <t>IMPRIMANTE TITRE TPV</t>
  </si>
  <si>
    <t>EQ.91</t>
  </si>
  <si>
    <t>VDIDI08TPV</t>
  </si>
  <si>
    <t>RECONSTITUÉ POUR LA VENTE</t>
  </si>
  <si>
    <t>EQ.92</t>
  </si>
  <si>
    <t>VDIDI09TPV</t>
  </si>
  <si>
    <t>IMPRIMANTE DOC V2 POUR TPV</t>
  </si>
  <si>
    <t>EQ.93</t>
  </si>
  <si>
    <t>VDIDI0ADB3</t>
  </si>
  <si>
    <t>ADUP ADB3 RETOUR STATION/GARE</t>
  </si>
  <si>
    <t>EQ.94</t>
  </si>
  <si>
    <t>VDIDI0ADMD</t>
  </si>
  <si>
    <t>ADUP ADMD RETOUR STATION/GARE</t>
  </si>
  <si>
    <t>EQ.95</t>
  </si>
  <si>
    <t>VDIDI0ADMM</t>
  </si>
  <si>
    <t>ADUP ADMM RETOUR STATION/GARE</t>
  </si>
  <si>
    <t>EQ.96</t>
  </si>
  <si>
    <t>VDIDI3MTPV</t>
  </si>
  <si>
    <t>RALLONGE CÂBLE ALIM 3M IMP DOC TPV</t>
  </si>
  <si>
    <t>EQ.97</t>
  </si>
  <si>
    <t>VDIDI4MTPV</t>
  </si>
  <si>
    <t>CABLE PARALLELE D9 LONGEUR 2M GRIS</t>
  </si>
  <si>
    <t>EQ.98</t>
  </si>
  <si>
    <t>VDIDI84TPV</t>
  </si>
  <si>
    <t>CLAVIER V2 TPV 84 TOUCHES</t>
  </si>
  <si>
    <t>EQ.99</t>
  </si>
  <si>
    <t>VDIDI85TPV</t>
  </si>
  <si>
    <t>RALLONGE CLAVIER V2 TPV 84 TOUCHES</t>
  </si>
  <si>
    <t>EQ.100</t>
  </si>
  <si>
    <t>VDIRE00050</t>
  </si>
  <si>
    <t>SOCLE ADUP MONETEL</t>
  </si>
  <si>
    <t>REFLEXE</t>
  </si>
  <si>
    <t>EQ.101</t>
  </si>
  <si>
    <t>VEIAU00025</t>
  </si>
  <si>
    <t>LECTEUR ENCODEUR SANS CONTACT</t>
  </si>
  <si>
    <t>EQUIPEMENT INFORMATIQUE</t>
  </si>
  <si>
    <t>EQ.102</t>
  </si>
  <si>
    <t>VEIAU00030</t>
  </si>
  <si>
    <t>PABF POUR BAIE SONO ATEIS</t>
  </si>
  <si>
    <t>EQ.103</t>
  </si>
  <si>
    <t>VEIAU00251</t>
  </si>
  <si>
    <t>TPE ICT 250 COULEUR INCOMPLET</t>
  </si>
  <si>
    <t>EQ.104</t>
  </si>
  <si>
    <t>VEIAU00770</t>
  </si>
  <si>
    <t>KVM ATEN CE770</t>
  </si>
  <si>
    <t>EQ.105</t>
  </si>
  <si>
    <t>VEIAU00780</t>
  </si>
  <si>
    <t>KVM ATEN DDC2B</t>
  </si>
  <si>
    <t>EQ.106</t>
  </si>
  <si>
    <t>VEIAU0NS01</t>
  </si>
  <si>
    <t>COMMUTATEUR KVM PORT USB/VGA</t>
  </si>
  <si>
    <t>EQ.107</t>
  </si>
  <si>
    <t>VEIDI00022</t>
  </si>
  <si>
    <t>BRAS ARTICULÉ POUR PLATINE</t>
  </si>
  <si>
    <t>divers</t>
  </si>
  <si>
    <t>EQ.108</t>
  </si>
  <si>
    <t>VEIDI00025</t>
  </si>
  <si>
    <t>BRAS ARTICULÉ POUR ECRAN NEOVO</t>
  </si>
  <si>
    <t>EQ.109</t>
  </si>
  <si>
    <t>VEIDI00026</t>
  </si>
  <si>
    <t>KIT DE FIXATION MURALE</t>
  </si>
  <si>
    <t>EQ.110</t>
  </si>
  <si>
    <t>VEIDI00027</t>
  </si>
  <si>
    <t>BRAS ARTICULÉ MONITEUR BUREAUTIQUE</t>
  </si>
  <si>
    <t>EQ.111</t>
  </si>
  <si>
    <t>VEIDI00030</t>
  </si>
  <si>
    <t>ALIMENTATION POUR ECRAN NEOVO</t>
  </si>
  <si>
    <t>EQ.112</t>
  </si>
  <si>
    <t>VEIDI00051</t>
  </si>
  <si>
    <t>PC FANLESS NDS NON RACKABLE</t>
  </si>
  <si>
    <t>EQ.113</t>
  </si>
  <si>
    <t>VEIDI00052</t>
  </si>
  <si>
    <t>RACK INTEGRATION NDS</t>
  </si>
  <si>
    <t>EQ.114</t>
  </si>
  <si>
    <t>VEIDI00080</t>
  </si>
  <si>
    <t>SERVEUR DE PORTS IP SYSTEMES</t>
  </si>
  <si>
    <t>EQ.115</t>
  </si>
  <si>
    <t>VEIDI00081</t>
  </si>
  <si>
    <t>BANDEAU DE BRASSAGE IP SYSTEMES</t>
  </si>
  <si>
    <t>EQ.116</t>
  </si>
  <si>
    <t>VEIDI00082</t>
  </si>
  <si>
    <t>CORDON DE CONVERSION RS485 IP</t>
  </si>
  <si>
    <t>EQ.117</t>
  </si>
  <si>
    <t>VEIDI00083</t>
  </si>
  <si>
    <t>CORDON DE CONVERSION RS422 IP</t>
  </si>
  <si>
    <t>EQ.118</t>
  </si>
  <si>
    <t>VEIDI00084</t>
  </si>
  <si>
    <t>CORDON DE CONVERSION RS232 IP</t>
  </si>
  <si>
    <t>EQ.119</t>
  </si>
  <si>
    <t>VEIDI00085</t>
  </si>
  <si>
    <t>CORDON DE CONSOLE IP SYSTEMES</t>
  </si>
  <si>
    <t>EQ.120</t>
  </si>
  <si>
    <t>VEIDI01000</t>
  </si>
  <si>
    <t>PC FANLESS NDS3 IP SYSTEMES</t>
  </si>
  <si>
    <t>EQ.121</t>
  </si>
  <si>
    <t>VEIDI01SPN</t>
  </si>
  <si>
    <t>NDS2 EBOX210-882-FL ECRIN 16GO</t>
  </si>
  <si>
    <t>EQ.122</t>
  </si>
  <si>
    <t>VEIEC00016</t>
  </si>
  <si>
    <t>BRAS + SOCLE + ROTULE D'ECRAN</t>
  </si>
  <si>
    <t>ECRAN</t>
  </si>
  <si>
    <t>EQ.123</t>
  </si>
  <si>
    <t>VEIEC00017</t>
  </si>
  <si>
    <t>ECRAN NEOVO 17' IP</t>
  </si>
  <si>
    <t>EQ.124</t>
  </si>
  <si>
    <t>VEIEC00019</t>
  </si>
  <si>
    <t>ECRAN NEOVO 19' IP SYSTEMES</t>
  </si>
  <si>
    <t>EQ.125</t>
  </si>
  <si>
    <t>VEIEC00029</t>
  </si>
  <si>
    <t>MONITEUR 19'' VIDÉO EXT HP190XD</t>
  </si>
  <si>
    <t>EQ.126</t>
  </si>
  <si>
    <t>VEIEC00030</t>
  </si>
  <si>
    <t>MONITEUR 19" VIDÉO EXT HP190XDL</t>
  </si>
  <si>
    <t>EQ.127</t>
  </si>
  <si>
    <t>VEIEC00055</t>
  </si>
  <si>
    <t>MONITEUR NEOVO QM-55</t>
  </si>
  <si>
    <t>EQ.128</t>
  </si>
  <si>
    <t>VEIEC0022E</t>
  </si>
  <si>
    <t>MONITEUR NEOVO SC-22E</t>
  </si>
  <si>
    <t>EQ.129</t>
  </si>
  <si>
    <t>VEIEC01SPN</t>
  </si>
  <si>
    <t>MONITEUR NEOVO 22" ECRIN</t>
  </si>
  <si>
    <t>EQ.130</t>
  </si>
  <si>
    <t>VEIEC03SPN</t>
  </si>
  <si>
    <t>MONITEUR VIDEO 8.4" EUROTECH</t>
  </si>
  <si>
    <t>EQ.131</t>
  </si>
  <si>
    <t>VEIEC042MO</t>
  </si>
  <si>
    <t>RETOUR ECRAN CONRAD 42" + MOBILIER</t>
  </si>
  <si>
    <t>EQ.132</t>
  </si>
  <si>
    <t>VEIEC14248</t>
  </si>
  <si>
    <t>MONITEUR 19" TFT QUAD HP190XD4</t>
  </si>
  <si>
    <t>EQ.133</t>
  </si>
  <si>
    <t>VEIECG3203</t>
  </si>
  <si>
    <t>ECRAN IMAGE 32" PY EXT GDS</t>
  </si>
  <si>
    <t>EQ.134</t>
  </si>
  <si>
    <t>VEIECG3256</t>
  </si>
  <si>
    <t>ECRAN IMAGE 32" PY INT GDS</t>
  </si>
  <si>
    <t>EQ.135</t>
  </si>
  <si>
    <t>VEIECG3258</t>
  </si>
  <si>
    <t>ECRAN IMAGE 32" PT INT GDS</t>
  </si>
  <si>
    <t>EQ.136</t>
  </si>
  <si>
    <t>VEIECG4203</t>
  </si>
  <si>
    <t>ECRAN IMAGE 42" PY EXT GDS</t>
  </si>
  <si>
    <t>EQ.137</t>
  </si>
  <si>
    <t>VEIECG4204</t>
  </si>
  <si>
    <t>ECRAN IMAGE 42" PY INT GDS</t>
  </si>
  <si>
    <t>EQ.138</t>
  </si>
  <si>
    <t>VEIECG4205</t>
  </si>
  <si>
    <t>ECRAN IMAGE 42" PT EXT GDS</t>
  </si>
  <si>
    <t>EQ.139</t>
  </si>
  <si>
    <t>VEIECG4206</t>
  </si>
  <si>
    <t>ECRAN IMAGE 42" PT INT GDS</t>
  </si>
  <si>
    <t>EQ.140</t>
  </si>
  <si>
    <t>VEIECG4207</t>
  </si>
  <si>
    <t>ECRAN IMAGE 42" PAYSAGE INT 2023</t>
  </si>
  <si>
    <t>EQ.141</t>
  </si>
  <si>
    <t>VEIECG4208</t>
  </si>
  <si>
    <t>ECRAN IMAGE 42" PORTRAIT EXT 2023</t>
  </si>
  <si>
    <t>EQ.142</t>
  </si>
  <si>
    <t>VEIECG4653</t>
  </si>
  <si>
    <t>ECRAN IMAGE 46" PY EXT GDS</t>
  </si>
  <si>
    <t>EQ.143</t>
  </si>
  <si>
    <t>VEIECG4655</t>
  </si>
  <si>
    <t xml:space="preserve"> ECRAN IMAGE 46" PT EXT GDS</t>
  </si>
  <si>
    <t>EQ.144</t>
  </si>
  <si>
    <t>VEIECG4656</t>
  </si>
  <si>
    <t>ECRAN IMAGE 46" PT INT GDS</t>
  </si>
  <si>
    <t>EQ.145</t>
  </si>
  <si>
    <t>VEIECI32PT</t>
  </si>
  <si>
    <t>ECRAN IMAGE 32" PT INT CONRAC</t>
  </si>
  <si>
    <t>EQ.146</t>
  </si>
  <si>
    <t>VEIECI42PT</t>
  </si>
  <si>
    <t>ECRAN IMAGE 42" PT INT CONRAC</t>
  </si>
  <si>
    <t>EQ.147</t>
  </si>
  <si>
    <t>VEIECI42PY</t>
  </si>
  <si>
    <t>ECRAN IMAGE 42" PY INT CONRAC</t>
  </si>
  <si>
    <t>EQ.148</t>
  </si>
  <si>
    <t>VEIECI47PY</t>
  </si>
  <si>
    <t>ECRAN IMAGE 47" PY INT CONRAC</t>
  </si>
  <si>
    <t>EQ.149</t>
  </si>
  <si>
    <t>VELAU00049</t>
  </si>
  <si>
    <t>MODULE MDA-12/48VVCC NOXAN</t>
  </si>
  <si>
    <t>EQUIPEMENT ELECTRIQUE</t>
  </si>
  <si>
    <t>AUTRES</t>
  </si>
  <si>
    <t>EQ.150</t>
  </si>
  <si>
    <t>VELAU00060</t>
  </si>
  <si>
    <t>UTAF DE BASE + BORNIER + NAPPE ERSB</t>
  </si>
  <si>
    <t>EQ.151</t>
  </si>
  <si>
    <t>VELAU00061</t>
  </si>
  <si>
    <t>CARTE EXT 2 EM + BORNIER ERSB</t>
  </si>
  <si>
    <t>EQ.152</t>
  </si>
  <si>
    <t>VELAU00062</t>
  </si>
  <si>
    <t>CARTE EXT 4 QUAI UTAF + BORNIER</t>
  </si>
  <si>
    <t>EQ.153</t>
  </si>
  <si>
    <t>VELAU00064</t>
  </si>
  <si>
    <t>BORNIER QUAIS / EM</t>
  </si>
  <si>
    <t>EQ.154</t>
  </si>
  <si>
    <t>VELAU00066</t>
  </si>
  <si>
    <t>PLATINE CAAA UTAF ERSB</t>
  </si>
  <si>
    <t>EQ.155</t>
  </si>
  <si>
    <t>VELAU00067</t>
  </si>
  <si>
    <t>MECANIQUE SUPPORT UTAF ERSB</t>
  </si>
  <si>
    <t>EQ.156</t>
  </si>
  <si>
    <t>VELAU00068</t>
  </si>
  <si>
    <t>BANDEAU ALARME PSP ERSB</t>
  </si>
  <si>
    <t>EQ.157</t>
  </si>
  <si>
    <t>VELAU00069</t>
  </si>
  <si>
    <t>CARTE EXT 10 ALARMES + BORNIER ERSB</t>
  </si>
  <si>
    <t>EQ.158</t>
  </si>
  <si>
    <t>VELAU00070</t>
  </si>
  <si>
    <t>CARTE EXT 10 ALARMES TAME ERSB</t>
  </si>
  <si>
    <t>EQ.159</t>
  </si>
  <si>
    <t>VELAU00071</t>
  </si>
  <si>
    <t>CARTE EXTENSION 4 QUAIS TAME ERSB</t>
  </si>
  <si>
    <t>EQ.160</t>
  </si>
  <si>
    <t>VELAU00072</t>
  </si>
  <si>
    <t>CARTE EXTENSION 2 EM POUR TAME</t>
  </si>
  <si>
    <t>EQ.161</t>
  </si>
  <si>
    <t>VELAU00073</t>
  </si>
  <si>
    <t>RACK UTAF + CARTE + NAPPE TAME</t>
  </si>
  <si>
    <t>EQ.162</t>
  </si>
  <si>
    <t>VELAU00100</t>
  </si>
  <si>
    <t>TESTEUR BOUCLE MALENTENDANT</t>
  </si>
  <si>
    <t>EQ.163</t>
  </si>
  <si>
    <t>VELAU01015</t>
  </si>
  <si>
    <t>BALISE SONORE RAL 1015 EO GUIDAGE</t>
  </si>
  <si>
    <t>EQ.164</t>
  </si>
  <si>
    <t>VELAU09010</t>
  </si>
  <si>
    <t>BALISE SONORE RAL 9010 EO GUIDAGE</t>
  </si>
  <si>
    <t>EQ.165</t>
  </si>
  <si>
    <t>VELAU09011</t>
  </si>
  <si>
    <t>BALISE SONORE RAL 9011 EO GUIDAGE</t>
  </si>
  <si>
    <t>EQ.166</t>
  </si>
  <si>
    <t>VELBO000B4</t>
  </si>
  <si>
    <t>BORNIER B4 POUR AE5G TDA</t>
  </si>
  <si>
    <t>BORNIER</t>
  </si>
  <si>
    <t>EQ.167</t>
  </si>
  <si>
    <t>VELBR00020</t>
  </si>
  <si>
    <t>CÂBLE PIEUVRE CBL-M62M9X8-100</t>
  </si>
  <si>
    <t>BRETELLE</t>
  </si>
  <si>
    <t>EQ.168</t>
  </si>
  <si>
    <t>VELBR00100</t>
  </si>
  <si>
    <t>CORDON USB 2.0 TYPE A M/M L3M</t>
  </si>
  <si>
    <t>EQ.169</t>
  </si>
  <si>
    <t>VELBR00814</t>
  </si>
  <si>
    <t>CABLE BOUCLE EFFRACTION LIGNE A</t>
  </si>
  <si>
    <t>EQ.170</t>
  </si>
  <si>
    <t>VELBR00815</t>
  </si>
  <si>
    <t>CABLE BOUCLE EFFRACTION LIGNE B</t>
  </si>
  <si>
    <t>EQ.171</t>
  </si>
  <si>
    <t>VELBR00820</t>
  </si>
  <si>
    <t>CORDON RJ45/RJ45 1M NON BLINDÉ</t>
  </si>
  <si>
    <t>EQ.172</t>
  </si>
  <si>
    <t>VELBR00830</t>
  </si>
  <si>
    <t>CORDON RJ45/RJ45 0.5M</t>
  </si>
  <si>
    <t>EQ.173</t>
  </si>
  <si>
    <t>VELCA00013</t>
  </si>
  <si>
    <t>CARTE PORTILLON DE SERVICE</t>
  </si>
  <si>
    <t>CARTE</t>
  </si>
  <si>
    <t>EQ.174</t>
  </si>
  <si>
    <t>VELCA00200</t>
  </si>
  <si>
    <t>CARTE COUPLEUR POUR TPV</t>
  </si>
  <si>
    <t>EQ.175</t>
  </si>
  <si>
    <t>VELCA00380</t>
  </si>
  <si>
    <t>PLATINE TAC 4 MODIFIÉ</t>
  </si>
  <si>
    <t>EQ.176</t>
  </si>
  <si>
    <t>VELCA00700</t>
  </si>
  <si>
    <t>CARTE INTERFACE NPV</t>
  </si>
  <si>
    <t>EQ.177</t>
  </si>
  <si>
    <t>VELCA00701</t>
  </si>
  <si>
    <t>CARTE VISU LIAISON SERIE NPV</t>
  </si>
  <si>
    <t>EQ.178</t>
  </si>
  <si>
    <t>VELCA00702</t>
  </si>
  <si>
    <t>COUPLEUR/ANTENNE ANCIENNE VERSION</t>
  </si>
  <si>
    <t>EQ.179</t>
  </si>
  <si>
    <t>VELCA00703</t>
  </si>
  <si>
    <t>ANTENNE/581 + CÂBLE PROJET RVF</t>
  </si>
  <si>
    <t>EQ.180</t>
  </si>
  <si>
    <t>VELCA00704</t>
  </si>
  <si>
    <t>ANTENNE/580 + CÂBLE PROJET RVF</t>
  </si>
  <si>
    <t>EQ.181</t>
  </si>
  <si>
    <t>VELCA00705</t>
  </si>
  <si>
    <t>COUPLEUR CPL528 PROET RVF</t>
  </si>
  <si>
    <t>EQ.182</t>
  </si>
  <si>
    <t>VELCA00706</t>
  </si>
  <si>
    <t>CABLE POUR ANTENNE 581</t>
  </si>
  <si>
    <t>EQ.183</t>
  </si>
  <si>
    <t>VELCA00802</t>
  </si>
  <si>
    <t>CARTE D'AFFICHAGE HEURE PIQ</t>
  </si>
  <si>
    <t>EQ.184</t>
  </si>
  <si>
    <t>VELCA02422</t>
  </si>
  <si>
    <t>CARTE ALARME EFFRACTION ERSB</t>
  </si>
  <si>
    <t>EQ.185</t>
  </si>
  <si>
    <t>VELCA02447</t>
  </si>
  <si>
    <t>CARTE SYNTHÈSE D'ALARME ERSB</t>
  </si>
  <si>
    <t>EQ.186</t>
  </si>
  <si>
    <t>VELCA02459</t>
  </si>
  <si>
    <t>CARTE ALARME SIMPLE</t>
  </si>
  <si>
    <t>EQ.187</t>
  </si>
  <si>
    <t>VELIN00015</t>
  </si>
  <si>
    <t>EBOX660-872 SYSTEME FANLESS</t>
  </si>
  <si>
    <t>INFORMATIQUE</t>
  </si>
  <si>
    <t>EQ.188</t>
  </si>
  <si>
    <t>VELIN00016</t>
  </si>
  <si>
    <t>BLOC ALIM EXT MOULE EBOX660 IP</t>
  </si>
  <si>
    <t>EQ.189</t>
  </si>
  <si>
    <t>VELIN00017</t>
  </si>
  <si>
    <t>BLOC ALIMENTATION 220VAC/24VDC 100W</t>
  </si>
  <si>
    <t>EQ.190</t>
  </si>
  <si>
    <t>VELIN00020</t>
  </si>
  <si>
    <t>PAVE NUMERIQUE USB SLIM</t>
  </si>
  <si>
    <t>EQ.191</t>
  </si>
  <si>
    <t>VELIN00040</t>
  </si>
  <si>
    <t>PC COMDIS RACK - RATP - V3</t>
  </si>
  <si>
    <t>EQ.192</t>
  </si>
  <si>
    <t>VELIN00061</t>
  </si>
  <si>
    <t>COMMUTATEUR ETHERNET OCARINA</t>
  </si>
  <si>
    <t>EQ.193</t>
  </si>
  <si>
    <t>VELIN00062</t>
  </si>
  <si>
    <t>BLOC ALIMENTATION OCARINA</t>
  </si>
  <si>
    <t>EQ.194</t>
  </si>
  <si>
    <t>VELIN00063</t>
  </si>
  <si>
    <t>KIT DE CABLES OCARINA</t>
  </si>
  <si>
    <t>EQ.195</t>
  </si>
  <si>
    <t>VELIN00064</t>
  </si>
  <si>
    <t>BLOC ALIMENTION EBOX630-850</t>
  </si>
  <si>
    <t>EQ.196</t>
  </si>
  <si>
    <t>VELIN00091</t>
  </si>
  <si>
    <t>PC FANLES NON RACKABLE SANS ALIM</t>
  </si>
  <si>
    <t>EQ.197</t>
  </si>
  <si>
    <t>VELIN00100</t>
  </si>
  <si>
    <t>PC FANLESS EBOX638-842-FL NPV90</t>
  </si>
  <si>
    <t>EQ.198</t>
  </si>
  <si>
    <t>VELIN01SPN</t>
  </si>
  <si>
    <t>SOURIS NOIR CHERRY ECRIN</t>
  </si>
  <si>
    <t>EQ.199</t>
  </si>
  <si>
    <t>VELIN02SPN</t>
  </si>
  <si>
    <t>CLAVIER 105 T CHERRY ECRIN</t>
  </si>
  <si>
    <t>EQ.200</t>
  </si>
  <si>
    <t>VELIN04SPN</t>
  </si>
  <si>
    <t>CLAVIER COMPACT 104T TCHERRY ECRIN</t>
  </si>
  <si>
    <t>EQ.201</t>
  </si>
  <si>
    <t>VELINCES91</t>
  </si>
  <si>
    <t>PC FANLESS CES NON RACKABLE</t>
  </si>
  <si>
    <t>EQ.202</t>
  </si>
  <si>
    <t>VELSO00050</t>
  </si>
  <si>
    <t>HAUT PARLEUR TYPE METRO "BOSE"</t>
  </si>
  <si>
    <t>EQ.203</t>
  </si>
  <si>
    <t>VELSO00060</t>
  </si>
  <si>
    <t>COLONNE ATEIS MCS20T/EN RAL9016</t>
  </si>
  <si>
    <t>SONNORISATION</t>
  </si>
  <si>
    <t>EQ.204</t>
  </si>
  <si>
    <t>VELSO00061</t>
  </si>
  <si>
    <t>COLONNE ATEIS MCS80T/EN RAL9016</t>
  </si>
  <si>
    <t>EQ.205</t>
  </si>
  <si>
    <t>VELSO00062</t>
  </si>
  <si>
    <t>HP ATEIS RCS6FT/EN PENTON RAL9016</t>
  </si>
  <si>
    <t>EQ.206</t>
  </si>
  <si>
    <t>VELSO00063</t>
  </si>
  <si>
    <t>COLONNE ATEIS MCS40T/EN RAL9016</t>
  </si>
  <si>
    <t>EQ.207</t>
  </si>
  <si>
    <t>VELSO00064</t>
  </si>
  <si>
    <t>HP BRIDE BOITIER BANDEAU ATEIS</t>
  </si>
  <si>
    <t>EQ.208</t>
  </si>
  <si>
    <t>VELSO00065</t>
  </si>
  <si>
    <t>ROTULE COLONNE MCS &amp; MUS ATEIS</t>
  </si>
  <si>
    <t>EQ.209</t>
  </si>
  <si>
    <t>VELSO00066</t>
  </si>
  <si>
    <t>PLAFONNIER RCS8FT/EN ATEÏS RAL9016</t>
  </si>
  <si>
    <t>EQ.210</t>
  </si>
  <si>
    <t>VELSO00067</t>
  </si>
  <si>
    <t>PLAFONNIER RCS8FT/EN ATEÏS RAL9004</t>
  </si>
  <si>
    <t>EQ.211</t>
  </si>
  <si>
    <t>VELSO00096</t>
  </si>
  <si>
    <t>MERLAUD POUR DIFFUSEUR SIEL</t>
  </si>
  <si>
    <t>EQ.212</t>
  </si>
  <si>
    <t>VELSO00170</t>
  </si>
  <si>
    <t>PROJECTEUR DE SON BOUYER RB-5019</t>
  </si>
  <si>
    <t>EQ.213</t>
  </si>
  <si>
    <t>VELSO00701</t>
  </si>
  <si>
    <t>HP BOUYER TYPE RB 701 BLANC</t>
  </si>
  <si>
    <t>EQ.214</t>
  </si>
  <si>
    <t>VELSO00800</t>
  </si>
  <si>
    <t>RETOUR STATION HP TYPE METEOR</t>
  </si>
  <si>
    <t>EQ.215</t>
  </si>
  <si>
    <t>VELSO00L60</t>
  </si>
  <si>
    <t>COLONNE ATEIS MCS20T/EN SPÉCIFIQUE</t>
  </si>
  <si>
    <t>EQ.216</t>
  </si>
  <si>
    <t>VELSO00N60</t>
  </si>
  <si>
    <t>COLONNE ATEÎS MCST/EN RAL9004</t>
  </si>
  <si>
    <t>EQ.217</t>
  </si>
  <si>
    <t>VELSO00R61</t>
  </si>
  <si>
    <t>RETOUR COLONNE ATEÎS MCS80T</t>
  </si>
  <si>
    <t>EQ.218</t>
  </si>
  <si>
    <t>VELSO02010</t>
  </si>
  <si>
    <t>HP BOUYER TYPE RB 2010</t>
  </si>
  <si>
    <t>EQ.219</t>
  </si>
  <si>
    <t>VELSO0AG61</t>
  </si>
  <si>
    <t>COLONNE ATEÎS MCS80T/EN RAL9007</t>
  </si>
  <si>
    <t>EQ.220</t>
  </si>
  <si>
    <t>VELSO0AT54</t>
  </si>
  <si>
    <t>HP ARCHEAN AT54PL1010T-W</t>
  </si>
  <si>
    <t>EQ.221</t>
  </si>
  <si>
    <t>VELSO0BN66</t>
  </si>
  <si>
    <t>PLAFONNIER RCS8FT/EN ATEÏS RAL5004</t>
  </si>
  <si>
    <t>EQ.222</t>
  </si>
  <si>
    <t>VELSO0G701</t>
  </si>
  <si>
    <t>HP BOUYER TYPE RB 701 GRIS</t>
  </si>
  <si>
    <t>EQ.223</t>
  </si>
  <si>
    <t>VELSOBMM01</t>
  </si>
  <si>
    <t>HP TYPE METRO "BOSCH"</t>
  </si>
  <si>
    <t>EQ.224</t>
  </si>
  <si>
    <t>VELSU00010</t>
  </si>
  <si>
    <t>PEDALE ALARME DISCRETE</t>
  </si>
  <si>
    <t>MATERIEL DE SIGNAL. DE PROTECTION</t>
  </si>
  <si>
    <t>ALARME</t>
  </si>
  <si>
    <t>EQ.225</t>
  </si>
  <si>
    <t>VELSU00020</t>
  </si>
  <si>
    <t>SUPPORT INOX POUR PEDALE ALARME</t>
  </si>
  <si>
    <t>EQ.226</t>
  </si>
  <si>
    <t>VELSU00025</t>
  </si>
  <si>
    <t>SUPPORT CONNECTEUR INOX PEDALE</t>
  </si>
  <si>
    <t>EQ.227</t>
  </si>
  <si>
    <t>VELSU00030</t>
  </si>
  <si>
    <t>DETECTEUR INTRUSION FILAIRE</t>
  </si>
  <si>
    <t>EQ.228</t>
  </si>
  <si>
    <t>VELSU00040</t>
  </si>
  <si>
    <t>DLPS V2 POUR EGEI ERSB</t>
  </si>
  <si>
    <t>EQ.229</t>
  </si>
  <si>
    <t>VELSU00050</t>
  </si>
  <si>
    <t>KIT COMPLET EGEI VERSION RACK</t>
  </si>
  <si>
    <t>EQ.230</t>
  </si>
  <si>
    <t>VELSU00055</t>
  </si>
  <si>
    <t>KIT COMPLET EGEI EN COFFRET ERSB</t>
  </si>
  <si>
    <t>EQ.231</t>
  </si>
  <si>
    <t>VELSU00056</t>
  </si>
  <si>
    <t>RETOUR COFFRET EGEI</t>
  </si>
  <si>
    <t>EQ.232</t>
  </si>
  <si>
    <t>VELSU00100</t>
  </si>
  <si>
    <t>INTERPHONIE GUICHET MAGELLAN</t>
  </si>
  <si>
    <t>EQ.233</t>
  </si>
  <si>
    <t>VELSU01SPN</t>
  </si>
  <si>
    <t>CENTRALE D'ALARME SIEMENS</t>
  </si>
  <si>
    <t>EQ.234</t>
  </si>
  <si>
    <t>VELSU02481</t>
  </si>
  <si>
    <t>RAIL ALARME DE SYNTHESE ERSB</t>
  </si>
  <si>
    <t>EQ.235</t>
  </si>
  <si>
    <t>VELSU02SPN</t>
  </si>
  <si>
    <t>DEPOR CENTRALE D'ALARME SIEMENS</t>
  </si>
  <si>
    <t>EQ.236</t>
  </si>
  <si>
    <t>VELSU03SPN</t>
  </si>
  <si>
    <t>MODULE SUPPLEMENTAIRE SIEMENS</t>
  </si>
  <si>
    <t>EQ.237</t>
  </si>
  <si>
    <t>VELSU04SPN</t>
  </si>
  <si>
    <t>CAPTEUR BIVOLUMETRIQUE SIEMENS</t>
  </si>
  <si>
    <t>EQ.238</t>
  </si>
  <si>
    <t>VELSU06SPN</t>
  </si>
  <si>
    <t>UTAF EOLANE</t>
  </si>
  <si>
    <t>EQ.239</t>
  </si>
  <si>
    <t>VELSU07SPN</t>
  </si>
  <si>
    <t>PLATINE VOYANT PEC EOLANE</t>
  </si>
  <si>
    <t>EQ.240</t>
  </si>
  <si>
    <t>VELSU08SPN</t>
  </si>
  <si>
    <t>PLATINE TAC EOLANE</t>
  </si>
  <si>
    <t>EQ.241</t>
  </si>
  <si>
    <t>VELSU09SPN</t>
  </si>
  <si>
    <t>COFFRET IAI/VENTILATION EOLANE</t>
  </si>
  <si>
    <t>EQ.242</t>
  </si>
  <si>
    <t>VELSU12SPN</t>
  </si>
  <si>
    <t>BOITIER BIMD EOLANE</t>
  </si>
  <si>
    <t>EQ.243</t>
  </si>
  <si>
    <t>VELSU13SPN</t>
  </si>
  <si>
    <t>PLATINE PUPITRE BSP EOLANE</t>
  </si>
  <si>
    <t>EQ.244</t>
  </si>
  <si>
    <t>VELSU14SPN</t>
  </si>
  <si>
    <t>DLPS NOXAN</t>
  </si>
  <si>
    <t>EQ.245</t>
  </si>
  <si>
    <t>VELTE00021</t>
  </si>
  <si>
    <t>PRISE GENEPHONE SIMPLE</t>
  </si>
  <si>
    <t>TELEPHONIE</t>
  </si>
  <si>
    <t>EQ.246</t>
  </si>
  <si>
    <t>VELTE00022</t>
  </si>
  <si>
    <t>PRISE GENEPHONE DOUBLE</t>
  </si>
  <si>
    <t>EQ.247</t>
  </si>
  <si>
    <t>VELTE00024</t>
  </si>
  <si>
    <t>RETOUR PRISE GENPHONE DOUBLE</t>
  </si>
  <si>
    <t>EQ.248</t>
  </si>
  <si>
    <t>VELTE00050</t>
  </si>
  <si>
    <t>POSTE TELEPH HD2  A/CLAVIER</t>
  </si>
  <si>
    <t>TELECOMMUNICATIONS</t>
  </si>
  <si>
    <t>EQ.249</t>
  </si>
  <si>
    <t>VELTE00056</t>
  </si>
  <si>
    <t>TELEPHONE HD2 IP A/CLAVIER DEPAEPE</t>
  </si>
  <si>
    <t>EQ.250</t>
  </si>
  <si>
    <t>VELTE00061</t>
  </si>
  <si>
    <t>TELEPHONE VOIE METRO SANS CLAVIER</t>
  </si>
  <si>
    <t>EQ.251</t>
  </si>
  <si>
    <t>VELTE00062</t>
  </si>
  <si>
    <t>TELEPHONE METRO AVEC CLAVIER AVEC R</t>
  </si>
  <si>
    <t>EQ.252</t>
  </si>
  <si>
    <t>VELTE00063</t>
  </si>
  <si>
    <t>TELEPHONE METRO AVEC CLAVIER SANS R</t>
  </si>
  <si>
    <t>EQ.253</t>
  </si>
  <si>
    <t>VELTE00064</t>
  </si>
  <si>
    <t>RETOUR TELEPHO LELAS AUTO METRO</t>
  </si>
  <si>
    <t>EQ.254</t>
  </si>
  <si>
    <t>VELTE00065</t>
  </si>
  <si>
    <t>TELEPHONE METRO  DOUBLE LIGNE</t>
  </si>
  <si>
    <t>EQ.255</t>
  </si>
  <si>
    <t>VELTE00066</t>
  </si>
  <si>
    <t>POSTE DE VOIE RER TLC342E6A</t>
  </si>
  <si>
    <t>EQ.256</t>
  </si>
  <si>
    <t>VELTE00070</t>
  </si>
  <si>
    <t>TELEPHONE ALCATEL-LUCCENT 4029 GREY</t>
  </si>
  <si>
    <t>EQ.257</t>
  </si>
  <si>
    <t>VELTE00071</t>
  </si>
  <si>
    <t>RECUP TELEPHONE ALCATEL 4029</t>
  </si>
  <si>
    <t>EQ.258</t>
  </si>
  <si>
    <t>VELTE00085</t>
  </si>
  <si>
    <t>TELEPHONE MURAL HD2000 SANS CLAVIER</t>
  </si>
  <si>
    <t>EQ.259</t>
  </si>
  <si>
    <t>VELTE00201</t>
  </si>
  <si>
    <t>RETOUR INTERPHONE BOUTON ROUGE</t>
  </si>
  <si>
    <t>EQ.260</t>
  </si>
  <si>
    <t>VELTE00215</t>
  </si>
  <si>
    <t>RETOUR INTERPHONE CONDUCTEUR</t>
  </si>
  <si>
    <t>EQ.261</t>
  </si>
  <si>
    <t>VELTE00221</t>
  </si>
  <si>
    <t>RETOUR INTERPHONE SAV</t>
  </si>
  <si>
    <t>EQ.262</t>
  </si>
  <si>
    <t>VELTE00226</t>
  </si>
  <si>
    <t>TÉLECOMMANDE BALISE SONORE</t>
  </si>
  <si>
    <t>EQ.263</t>
  </si>
  <si>
    <t>VELTE00230</t>
  </si>
  <si>
    <t>MODEM INTERFACE TELEPHONIQUE</t>
  </si>
  <si>
    <t>EQ.264</t>
  </si>
  <si>
    <t>VELTE00241</t>
  </si>
  <si>
    <t>MODEM PLC (CPL) 2ÈME GÉNÉRATION</t>
  </si>
  <si>
    <t>EQ.265</t>
  </si>
  <si>
    <t>VELTE00250</t>
  </si>
  <si>
    <t>INTERPHONE CONDUCTEUR 1 BOUTON</t>
  </si>
  <si>
    <t>EQ.266</t>
  </si>
  <si>
    <t>VELTE00251</t>
  </si>
  <si>
    <t>INTERPHONE CONDUCTEUR 2 BOUTONS</t>
  </si>
  <si>
    <t>EQ.267</t>
  </si>
  <si>
    <t>VELTE00252</t>
  </si>
  <si>
    <t>CONVERTISSEUR FLOWIRE FCDC3</t>
  </si>
  <si>
    <t>EQ.268</t>
  </si>
  <si>
    <t>VELTE00260</t>
  </si>
  <si>
    <t>FLASH LUMINEUX POUR INTERPHONE</t>
  </si>
  <si>
    <t>EQ.269</t>
  </si>
  <si>
    <t>VELTE00261</t>
  </si>
  <si>
    <t>FEUX A ECLATS LELAS</t>
  </si>
  <si>
    <t>EQ.270</t>
  </si>
  <si>
    <t>VELTE00300</t>
  </si>
  <si>
    <t>NOUVEAU INTERPHONE VOYAGEUR 2022</t>
  </si>
  <si>
    <t>EQ.271</t>
  </si>
  <si>
    <t>VELTE00400</t>
  </si>
  <si>
    <t>POSTE DE RECEPTION VIDEO IP</t>
  </si>
  <si>
    <t>EQ.272</t>
  </si>
  <si>
    <t>VELTE00410</t>
  </si>
  <si>
    <t>VIDEOPORTIER FULL IP</t>
  </si>
  <si>
    <t>EQ.273</t>
  </si>
  <si>
    <t>VELTE00700</t>
  </si>
  <si>
    <t>DEPAEPE PREMIUM 300 ANALOGIQUE</t>
  </si>
  <si>
    <t>EQ.274</t>
  </si>
  <si>
    <t>VELTE01070</t>
  </si>
  <si>
    <t>MODULE EXTENSION 10 TOUCHES</t>
  </si>
  <si>
    <t>EQ.275</t>
  </si>
  <si>
    <t>VELTE04020</t>
  </si>
  <si>
    <t>TELEPHONE ALCATEL 4020</t>
  </si>
  <si>
    <t>EQ.276</t>
  </si>
  <si>
    <t>VELTE04028</t>
  </si>
  <si>
    <t>TELEPHONE ALCATEL 4028 IP</t>
  </si>
  <si>
    <t>EQ.277</t>
  </si>
  <si>
    <t>VELTE0402E</t>
  </si>
  <si>
    <t>INTERPHONE CONFERENCE ETANCHE</t>
  </si>
  <si>
    <t>EQ.278</t>
  </si>
  <si>
    <t>VELTE04070</t>
  </si>
  <si>
    <t>MODULE EXTENSION 40 TOUCHES</t>
  </si>
  <si>
    <t>EQ.279</t>
  </si>
  <si>
    <t>VELTE08029</t>
  </si>
  <si>
    <t>TELEPHONE ALCATEL 8029</t>
  </si>
  <si>
    <t>EQ.280</t>
  </si>
  <si>
    <t>VELTE08039</t>
  </si>
  <si>
    <t>TELEPHONE ALCATEL 8039 ECO-RECYCLE</t>
  </si>
  <si>
    <t>EQ.281</t>
  </si>
  <si>
    <t>VELTE0C620</t>
  </si>
  <si>
    <t>TELEPHONE GIGASET C620</t>
  </si>
  <si>
    <t>EQ.282</t>
  </si>
  <si>
    <t>VELTE0P300</t>
  </si>
  <si>
    <t>TEL DEPAEPE P 300 ANTHRACITE</t>
  </si>
  <si>
    <t>EQ.283</t>
  </si>
  <si>
    <t>VELTE8029S</t>
  </si>
  <si>
    <t>TELEPHONE 8029S RECONDITIONNE</t>
  </si>
  <si>
    <t>EQ.284</t>
  </si>
  <si>
    <t>VELTER4020</t>
  </si>
  <si>
    <t>TELEPHONE D'OCCASION 4020</t>
  </si>
  <si>
    <t>EQ.285</t>
  </si>
  <si>
    <t>VELTER4029</t>
  </si>
  <si>
    <t>TELEPHONE D'OCCASION 4029</t>
  </si>
  <si>
    <t>EQ.286</t>
  </si>
  <si>
    <t>VELVI00002</t>
  </si>
  <si>
    <t>CARTE GRAPHIQUE IDE (MATROX)</t>
  </si>
  <si>
    <t>EQ.287</t>
  </si>
  <si>
    <t>VELVI00006</t>
  </si>
  <si>
    <t>SUPPORT MONITEUR 12"</t>
  </si>
  <si>
    <t>VIDEO</t>
  </si>
  <si>
    <t>EQ.288</t>
  </si>
  <si>
    <t>VELVI00080</t>
  </si>
  <si>
    <t>VIS PAS PHOTO POUR CAMERA</t>
  </si>
  <si>
    <t>EQ.289</t>
  </si>
  <si>
    <t>VELVI00150</t>
  </si>
  <si>
    <t>KIT CHAUFFAGE/COFFRET VISIO7</t>
  </si>
  <si>
    <t>EQ.290</t>
  </si>
  <si>
    <t>VELVI00160</t>
  </si>
  <si>
    <t>CHAUFFAGE CAISSON TUNNEL NOIR</t>
  </si>
  <si>
    <t>EQ.291</t>
  </si>
  <si>
    <t>VELVI00230</t>
  </si>
  <si>
    <t>MONITEUR CONDUCTEUR 23" PLANAVISION</t>
  </si>
  <si>
    <t>EQ.292</t>
  </si>
  <si>
    <t>VELVI00407</t>
  </si>
  <si>
    <t>CAMERA IP MONOBLOC HIKVISION</t>
  </si>
  <si>
    <t>EQ.293</t>
  </si>
  <si>
    <t>VELVI00500</t>
  </si>
  <si>
    <t>CAMERA WATEC COULEUR 1/2" PAL</t>
  </si>
  <si>
    <t>EQ.294</t>
  </si>
  <si>
    <t>VELVI00620</t>
  </si>
  <si>
    <t>MONITEUR 19'' CONDUCTEUR EXT</t>
  </si>
  <si>
    <t>EQ.295</t>
  </si>
  <si>
    <t>VELVI00720</t>
  </si>
  <si>
    <t>TRUQUEUR AVIDEO2-12</t>
  </si>
  <si>
    <t>EQ.296</t>
  </si>
  <si>
    <t>VELVI00836</t>
  </si>
  <si>
    <t>CAMERA IP DÔME FIXE FD836-HTV</t>
  </si>
  <si>
    <t>EQ.297</t>
  </si>
  <si>
    <t>VELVI01092</t>
  </si>
  <si>
    <t>MINI CAMERA ASCENSEUR 12V AASSET</t>
  </si>
  <si>
    <t>EQ.298</t>
  </si>
  <si>
    <t>VELVI01540</t>
  </si>
  <si>
    <t>MONITEUR 19" VIDÉO HP190XD2</t>
  </si>
  <si>
    <t>EQ.299</t>
  </si>
  <si>
    <t>VELVI01740</t>
  </si>
  <si>
    <t>TESTEUR VIDEO HYBRIDE</t>
  </si>
  <si>
    <t>EQ.300</t>
  </si>
  <si>
    <t>VELVI02000</t>
  </si>
  <si>
    <t>CAMERA COULEUR MONOBLOC EX20HP</t>
  </si>
  <si>
    <t>EQ.301</t>
  </si>
  <si>
    <t>VELVI02001</t>
  </si>
  <si>
    <t>CAMERA MONOBLOC HYBRIDE</t>
  </si>
  <si>
    <t>EQ.302</t>
  </si>
  <si>
    <t>VELVI02002</t>
  </si>
  <si>
    <t>CAMERA MONOBLOC HYBRIDE + OBJECTIF</t>
  </si>
  <si>
    <t>EQ.303</t>
  </si>
  <si>
    <t>VELVI02456</t>
  </si>
  <si>
    <t>MONITEUR EIZO 24" LCD NOIR</t>
  </si>
  <si>
    <t>EQ.304</t>
  </si>
  <si>
    <t>VELVI03035</t>
  </si>
  <si>
    <t>CONVERTISSEUR / CAMERA MONOBLOC</t>
  </si>
  <si>
    <t>EQ.305</t>
  </si>
  <si>
    <t>VELVI03204</t>
  </si>
  <si>
    <t>CAMERA DÔME IP BLANCHE HIKVISION</t>
  </si>
  <si>
    <t>EQ.306</t>
  </si>
  <si>
    <t>VELVI06222</t>
  </si>
  <si>
    <t>CAMERA IP HIKVISION ASCENSEUR</t>
  </si>
  <si>
    <t>EQ.307</t>
  </si>
  <si>
    <t>VELVI09367</t>
  </si>
  <si>
    <t>CAMERA IP DÔME FIXE FD9367-HTV</t>
  </si>
  <si>
    <t>EQ.308</t>
  </si>
  <si>
    <t>VELVI3204H</t>
  </si>
  <si>
    <t>CAMERA DÔME HYBRIDE HIKVISION</t>
  </si>
  <si>
    <t>EQ.309</t>
  </si>
  <si>
    <t>VELVIG3204</t>
  </si>
  <si>
    <t>CAMERA DÔME IP GRISE</t>
  </si>
  <si>
    <t>EQ.310</t>
  </si>
  <si>
    <t>VEMFI00001</t>
  </si>
  <si>
    <t>FIXATION SUR POTENCE (CAMERA DÔME)</t>
  </si>
  <si>
    <t>EQ.311</t>
  </si>
  <si>
    <t>VEMFI00003</t>
  </si>
  <si>
    <t>FIXATION PIEDROIT (CAMERA DÔME)</t>
  </si>
  <si>
    <t>EQ.312</t>
  </si>
  <si>
    <t>VEMFI00004</t>
  </si>
  <si>
    <t>FIXATION PLAFOND (CAMERA DÔME)</t>
  </si>
  <si>
    <t>EQ.313</t>
  </si>
  <si>
    <t>VEMFI00005</t>
  </si>
  <si>
    <t>FIXATION EN VOÛTE (CAMERA DÔME)</t>
  </si>
  <si>
    <t>EQ.314</t>
  </si>
  <si>
    <t>VEMFI00010</t>
  </si>
  <si>
    <t>POTENCE CAMERA VIDÉO-SURVEILLANCE</t>
  </si>
  <si>
    <t>EQ.315</t>
  </si>
  <si>
    <t>VEMFI00011</t>
  </si>
  <si>
    <t>POTENCE ARTICULÉE CAMÉRA CONDUCTEUR</t>
  </si>
  <si>
    <t>EQ.316</t>
  </si>
  <si>
    <t>VEMFI0001E</t>
  </si>
  <si>
    <t>SUPPORT POUR 1 SEUL ECRAN IMAGE</t>
  </si>
  <si>
    <t>EQ.317</t>
  </si>
  <si>
    <t>VEMFI0001M</t>
  </si>
  <si>
    <t>SUSPENTE 1 MÈTRE (CAMÉRA DÔME)</t>
  </si>
  <si>
    <t>EQ.318</t>
  </si>
  <si>
    <t>VEMFI0002E</t>
  </si>
  <si>
    <t>SUPPORT 2 ECRANS EN DIEDRE IMAGE</t>
  </si>
  <si>
    <t>EQ.319</t>
  </si>
  <si>
    <t>VEMFI0002M</t>
  </si>
  <si>
    <t>SUSPENTE 2 MÈTRES (CAMÉRA DÔME)</t>
  </si>
  <si>
    <t>EQ.320</t>
  </si>
  <si>
    <t>VEMFI0003M</t>
  </si>
  <si>
    <t>SUSPENTE 3.5 MÈTRE (CAMÉRA DÔME)</t>
  </si>
  <si>
    <t>EQ.321</t>
  </si>
  <si>
    <t>VEMFI000HP</t>
  </si>
  <si>
    <t>FIXATION POUR HP COLONNE (RAL9003)</t>
  </si>
  <si>
    <t>EQ.322</t>
  </si>
  <si>
    <t>VEMFI000S5</t>
  </si>
  <si>
    <t>FIXATION VOÛTE (CAMERA DÔME) SIMPLE</t>
  </si>
  <si>
    <t>EQ.323</t>
  </si>
  <si>
    <t>VEMFI00100</t>
  </si>
  <si>
    <t>SUSPENTE MONITEUR PORTE PALIÈRE</t>
  </si>
  <si>
    <t>EQ.324</t>
  </si>
  <si>
    <t>VEMFI00936</t>
  </si>
  <si>
    <t>SUPPORT MURAL CAMERA DOME MOBILE</t>
  </si>
  <si>
    <t>EQ.325</t>
  </si>
  <si>
    <t>VEMFI01003</t>
  </si>
  <si>
    <t>PIECE D'INTERFACE POUR ECRAN IMAGE</t>
  </si>
  <si>
    <t>EQ.326</t>
  </si>
  <si>
    <t>VEMFI01004</t>
  </si>
  <si>
    <t>PLATINE DE FIXATION CAMERA MAV</t>
  </si>
  <si>
    <t>EQ.327</t>
  </si>
  <si>
    <t>VEMFI01005</t>
  </si>
  <si>
    <t>SUSPENTE POUR CAMERAS MAV</t>
  </si>
  <si>
    <t>EQ.328</t>
  </si>
  <si>
    <t>VEMFI01092</t>
  </si>
  <si>
    <t>KIT SUPPORT MINI CAMERA ASCENSEUR</t>
  </si>
  <si>
    <t>EQ.329</t>
  </si>
  <si>
    <t>VEMFI01280</t>
  </si>
  <si>
    <t>PLATINE FIXATION (CAMÉRA DÔME)</t>
  </si>
  <si>
    <t>EQ.330</t>
  </si>
  <si>
    <t>VEMFI02033</t>
  </si>
  <si>
    <t>CALE D'ORIENTATION POUR ECRAN IMAGE</t>
  </si>
  <si>
    <t>EQ.331</t>
  </si>
  <si>
    <t>VEMFI02083</t>
  </si>
  <si>
    <t>EQ.332</t>
  </si>
  <si>
    <t>VEMFI02103</t>
  </si>
  <si>
    <t>EQ.333</t>
  </si>
  <si>
    <t>VEMFI0BAES</t>
  </si>
  <si>
    <t>SUPPORT BAES (RAL9003)</t>
  </si>
  <si>
    <t>EQ.334</t>
  </si>
  <si>
    <t>VEMFI0LEDI</t>
  </si>
  <si>
    <t>POTENCE PLAFOND 95MM HORLOGE</t>
  </si>
  <si>
    <t>EQ.335</t>
  </si>
  <si>
    <t>VEMFIB00HP</t>
  </si>
  <si>
    <t>ACCROCHE HP COLONNE RAL9003</t>
  </si>
  <si>
    <t>EQ.336</t>
  </si>
  <si>
    <t>VEMFIB1280</t>
  </si>
  <si>
    <t>PLATIN FIXATION CAMÉRA DÔME RAL9016</t>
  </si>
  <si>
    <t>EQ.337</t>
  </si>
  <si>
    <t>VEMTO00017</t>
  </si>
  <si>
    <t>CAPOT POUR TLA346E6</t>
  </si>
  <si>
    <t>TOLERIE</t>
  </si>
  <si>
    <t>EQ.338</t>
  </si>
  <si>
    <t>VEMTO00022</t>
  </si>
  <si>
    <t>COFFRET CAMERA PLAFOND BAS</t>
  </si>
  <si>
    <t>EQ.339</t>
  </si>
  <si>
    <t>VEMTO00251</t>
  </si>
  <si>
    <t>REPOSE PIED PEDALE D'ALARME RETOUR</t>
  </si>
  <si>
    <t>EQ.340</t>
  </si>
  <si>
    <t>VEMTO00302</t>
  </si>
  <si>
    <t>NOUVEAU PLASTRON COURT SAILLIE</t>
  </si>
  <si>
    <t>EQ.341</t>
  </si>
  <si>
    <t>VEMTO00312</t>
  </si>
  <si>
    <t>NOUVEAU PLASTRON COURT ENCASTRE</t>
  </si>
  <si>
    <t>EQ.342</t>
  </si>
  <si>
    <t>VEMTO00322</t>
  </si>
  <si>
    <t>NOUVELLE BORNE LAME</t>
  </si>
  <si>
    <t>EQ.343</t>
  </si>
  <si>
    <t>VEMTO00402</t>
  </si>
  <si>
    <t>NOUVELLE BORNE AVEC AA SAILLIE</t>
  </si>
  <si>
    <t>EQ.344</t>
  </si>
  <si>
    <t>VEMTO00412</t>
  </si>
  <si>
    <t>NOUVELLE BORNE SANS AA SAILLIE</t>
  </si>
  <si>
    <t>EQ.345</t>
  </si>
  <si>
    <t>VEMTO00422</t>
  </si>
  <si>
    <t>NOUVELLE BORNE SANS AA ENCASTRE</t>
  </si>
  <si>
    <t>EQ.346</t>
  </si>
  <si>
    <t>VEMTO00432</t>
  </si>
  <si>
    <t>NOUVELLE BORNE AVEC AA ENCASTRE</t>
  </si>
  <si>
    <t>EQ.347</t>
  </si>
  <si>
    <t>VEMTO00702</t>
  </si>
  <si>
    <t>COLONNE + CASQUETTE POUR AS</t>
  </si>
  <si>
    <t>EQ.348</t>
  </si>
  <si>
    <t>VEMTO00703</t>
  </si>
  <si>
    <t>RETOUR CASQUETTE POUR ADUP</t>
  </si>
  <si>
    <t>EQ.349</t>
  </si>
  <si>
    <t>VEMTO00800</t>
  </si>
  <si>
    <t>PLAQUE POUR MONITEUR CONDUCTEUR</t>
  </si>
  <si>
    <t>EQ.350</t>
  </si>
  <si>
    <t>VETE00254</t>
  </si>
  <si>
    <t>ALIM POUR CONVERTISSEUR FLOWIRE</t>
  </si>
  <si>
    <t>EQ.351</t>
  </si>
  <si>
    <t>VFOCO00025</t>
  </si>
  <si>
    <t>ETIQUETTE ADHESIVE 3M</t>
  </si>
  <si>
    <t>FOURNITURE</t>
  </si>
  <si>
    <t>CONSOMMABLE</t>
  </si>
  <si>
    <t>EQ.352</t>
  </si>
  <si>
    <t>VIVAU00004</t>
  </si>
  <si>
    <t>BOBINE CÂBLE HP MODULE SONORISATION</t>
  </si>
  <si>
    <t>INFORMATION VOYAGEUR</t>
  </si>
  <si>
    <t>EQ.353</t>
  </si>
  <si>
    <t>VIVBO00004</t>
  </si>
  <si>
    <t>MODULE DE SONORISATION POUR BIV</t>
  </si>
  <si>
    <t>EQ.354</t>
  </si>
  <si>
    <t>VIVBO00005</t>
  </si>
  <si>
    <t>BIV COMPLETE MIC + MAF</t>
  </si>
  <si>
    <t>EQ.355</t>
  </si>
  <si>
    <t>VIVBO00010</t>
  </si>
  <si>
    <t>BIV BC-COULEUR SOLARI</t>
  </si>
  <si>
    <t>EQ.356</t>
  </si>
  <si>
    <t>VIVPN00010</t>
  </si>
  <si>
    <t>.IV PIQ STANDARD MONODIRECTIONNEL</t>
  </si>
  <si>
    <t>PANNEAUX</t>
  </si>
  <si>
    <t>EQ.357</t>
  </si>
  <si>
    <t>VIVPN00030</t>
  </si>
  <si>
    <t>PIQ STANDARD MONODIRECTIONNNEL</t>
  </si>
  <si>
    <t>EQ.358</t>
  </si>
  <si>
    <t>VIVPN00040</t>
  </si>
  <si>
    <t>PIQ SIMPLE 2TA RETOUR STATION</t>
  </si>
  <si>
    <t>EQ.359</t>
  </si>
  <si>
    <t>VIVPN00041</t>
  </si>
  <si>
    <t>PIQ DOUBLE 1TA RETOUR STATION</t>
  </si>
  <si>
    <t>EQ.360</t>
  </si>
  <si>
    <t>VIVPN00042</t>
  </si>
  <si>
    <t>PIQ DOUBLE 2TA RETOUR STATION</t>
  </si>
  <si>
    <t>EQ.361</t>
  </si>
  <si>
    <t>VLEAU00030</t>
  </si>
  <si>
    <t>BOITIER PIN PAD POUR LECTEUR</t>
  </si>
  <si>
    <t>LECTEUR</t>
  </si>
  <si>
    <t>EQ.362</t>
  </si>
  <si>
    <t>VMLSO00004</t>
  </si>
  <si>
    <t>CABLE HP POUR MODULE SONORISATION</t>
  </si>
  <si>
    <t>CABLE MULTICONDUCTEUR</t>
  </si>
  <si>
    <t>SOUPLE</t>
  </si>
  <si>
    <t>EQ.363</t>
  </si>
  <si>
    <t>VMOPU00015</t>
  </si>
  <si>
    <t>PLAQUE VENTILATEUR PLATINE TAME</t>
  </si>
  <si>
    <t>MOBILIER</t>
  </si>
  <si>
    <t>PUPITRE</t>
  </si>
  <si>
    <t>EQ.364</t>
  </si>
  <si>
    <t>VMOPU01SPN</t>
  </si>
  <si>
    <t>PUPITRE COMPLET CLAUX</t>
  </si>
  <si>
    <t>EQ.365</t>
  </si>
  <si>
    <t>VMOPU02SPN</t>
  </si>
  <si>
    <t>CAISSON POUR PUPITRE CLAUX</t>
  </si>
  <si>
    <t>EQ.366</t>
  </si>
  <si>
    <t>VMOPU03SPN</t>
  </si>
  <si>
    <t>EQ.367</t>
  </si>
  <si>
    <t>VPALE00001</t>
  </si>
  <si>
    <t>RETOUR BOITIER HP ARCHEAN EN SAILLI</t>
  </si>
  <si>
    <t>PALETTE</t>
  </si>
  <si>
    <t>EQ.368</t>
  </si>
  <si>
    <t>VPALE00002</t>
  </si>
  <si>
    <t>CAISSON 2 MONITEURS</t>
  </si>
  <si>
    <t>EQ.369</t>
  </si>
  <si>
    <t>VPALE00003</t>
  </si>
  <si>
    <t>ECRANS CONRAC PROJET IMAGE</t>
  </si>
  <si>
    <t>EQ.370</t>
  </si>
  <si>
    <t>VPALE00004</t>
  </si>
  <si>
    <t>HP ATEIS MCS20T/EN SPEC RESERVE OP4</t>
  </si>
  <si>
    <t>EQ.371</t>
  </si>
  <si>
    <t>VPALE00005</t>
  </si>
  <si>
    <t>ECRAN IMAGE CONRAC RETOUR CHANTIER</t>
  </si>
  <si>
    <t>EQ.372</t>
  </si>
  <si>
    <t>VPALE00006</t>
  </si>
  <si>
    <t>ECRAN MIV RETOUR CHANTIER</t>
  </si>
  <si>
    <t>EQ.373</t>
  </si>
  <si>
    <t>VPALE00007</t>
  </si>
  <si>
    <t>CAISSON 3 MONITEURS</t>
  </si>
  <si>
    <t>EQ.374</t>
  </si>
  <si>
    <t>VPALE00008</t>
  </si>
  <si>
    <t>VRAC TPV</t>
  </si>
  <si>
    <t>EQ.375</t>
  </si>
  <si>
    <t>VPALE00009</t>
  </si>
  <si>
    <t>BAIE SONO OBERKAMPF</t>
  </si>
  <si>
    <t>EQ.376</t>
  </si>
  <si>
    <t>VPALE00010</t>
  </si>
  <si>
    <t>ECRAN IMAGE RESERVE PROJET T1 VDF</t>
  </si>
  <si>
    <t>EQ.377</t>
  </si>
  <si>
    <t>VPALE00011</t>
  </si>
  <si>
    <t>RETOUR API TYPE 1 SYMPHONIE</t>
  </si>
  <si>
    <t>EQ.378</t>
  </si>
  <si>
    <t>VPALE00012</t>
  </si>
  <si>
    <t>AE6G STOCKAGE TEMP PONT DE SEVRES</t>
  </si>
  <si>
    <t>EQ.379</t>
  </si>
  <si>
    <t>VPALE00013</t>
  </si>
  <si>
    <t>HP ATEIS MCS20T/EN SPEC OP4 PLT 2</t>
  </si>
  <si>
    <t>EQ.380</t>
  </si>
  <si>
    <t>VPALE00SPE</t>
  </si>
  <si>
    <t>L14 MSO - KIT SPE</t>
  </si>
  <si>
    <t>EQ.381</t>
  </si>
  <si>
    <t>VPALE00SVE</t>
  </si>
  <si>
    <t>L14 MSO - SVE KIT BAIE VIDEO</t>
  </si>
  <si>
    <t>EQ.382</t>
  </si>
  <si>
    <t>VPALE0MP05</t>
  </si>
  <si>
    <t>RETOUR CAMERA ASC NON CONFORME</t>
  </si>
  <si>
    <t>EQ.383</t>
  </si>
  <si>
    <t>VPALE0MP89</t>
  </si>
  <si>
    <t>L14 MSO - SVE KIT CAMERAS MP89</t>
  </si>
  <si>
    <t>EQ.384</t>
  </si>
  <si>
    <t>VPALE0TDSE</t>
  </si>
  <si>
    <t>L14 MSO - KIT TDSE</t>
  </si>
  <si>
    <t>EQ.385</t>
  </si>
  <si>
    <t>VPALENPV90</t>
  </si>
  <si>
    <t>NPV90  PROJET STOCK PROV</t>
  </si>
  <si>
    <t>EQ.386</t>
  </si>
  <si>
    <t>VPRAU00010</t>
  </si>
  <si>
    <t>COFFRET DE DECLENCHEMENT CD</t>
  </si>
  <si>
    <t>TRACTION</t>
  </si>
  <si>
    <t>EQ.387</t>
  </si>
  <si>
    <t>VPRAU00050</t>
  </si>
  <si>
    <t>COFFRET POUR MODULE IAI/VENTIL ERSB</t>
  </si>
  <si>
    <t>PROTECTION</t>
  </si>
  <si>
    <t>EQ.388</t>
  </si>
  <si>
    <t>VPRAU00051</t>
  </si>
  <si>
    <t>MODULE COMMUTATEUR COFFRET IAI ERSB</t>
  </si>
  <si>
    <t>EQ.389</t>
  </si>
  <si>
    <t>VPRAU00052</t>
  </si>
  <si>
    <t>MODULE BT POUSSOIR COFFRET IAI ERSB</t>
  </si>
  <si>
    <t>EQ.390</t>
  </si>
  <si>
    <t>VPRAU00053</t>
  </si>
  <si>
    <t>BAM POUR COFFRETS IAI ERSB</t>
  </si>
  <si>
    <t>EQ.391</t>
  </si>
  <si>
    <t>VPRAU00100</t>
  </si>
  <si>
    <t>MICRO ECOUTE DISCRETE RER A</t>
  </si>
  <si>
    <t>EQ.392</t>
  </si>
  <si>
    <t>VPRAU00101</t>
  </si>
  <si>
    <t>CAPSULE MICRO RER B</t>
  </si>
  <si>
    <t>EQ.393</t>
  </si>
  <si>
    <t>VPRAU00140</t>
  </si>
  <si>
    <t>FEU DE COUVERTURE CHANTIER CD 140</t>
  </si>
  <si>
    <t>MATERIEL DE PROTECTION 0</t>
  </si>
  <si>
    <t>EQ.394</t>
  </si>
  <si>
    <t>VPRAU00380</t>
  </si>
  <si>
    <t>BRUITEUR D'ALARME DE QUAI ERSB</t>
  </si>
  <si>
    <t>EQ.395</t>
  </si>
  <si>
    <t>VPRAU02408</t>
  </si>
  <si>
    <t>COFFRET PSP DE BASE ERSB</t>
  </si>
  <si>
    <t>EQ.396</t>
  </si>
  <si>
    <t>VPRCC00010</t>
  </si>
  <si>
    <t>RUPTEUR ALARME TRACTION  SIMP</t>
  </si>
  <si>
    <t>COUPE-CIRCUIT</t>
  </si>
  <si>
    <t>EQ.397</t>
  </si>
  <si>
    <t>VPRCO00001</t>
  </si>
  <si>
    <t>INTER 2P 20A POUR PSER</t>
  </si>
  <si>
    <t>CONTACTEUR</t>
  </si>
  <si>
    <t>EQ.398</t>
  </si>
  <si>
    <t>VPRFU00060</t>
  </si>
  <si>
    <t>FUSIBLE POUR MODULE MDA NOXAN</t>
  </si>
  <si>
    <t>FUSIBLE</t>
  </si>
  <si>
    <t>EQ.399</t>
  </si>
  <si>
    <t>VPRVI00110</t>
  </si>
  <si>
    <t>VIGI C60 300MA PEM</t>
  </si>
  <si>
    <t>VIGI</t>
  </si>
  <si>
    <t>EQ.400</t>
  </si>
  <si>
    <t>VQUAU00100</t>
  </si>
  <si>
    <t>ROLL UP PRISE DE VUE PORTE PALIÈRE</t>
  </si>
  <si>
    <t>QUINCAILLERIE</t>
  </si>
  <si>
    <t>EQ.401</t>
  </si>
  <si>
    <t>VQUAU00200</t>
  </si>
  <si>
    <t>CLE VIS ANTI-VOL INTERPHONE</t>
  </si>
  <si>
    <t>EQ.402</t>
  </si>
  <si>
    <t>VQUAU00301</t>
  </si>
  <si>
    <t>TABLETTE TELEPHONE POUR LT</t>
  </si>
  <si>
    <t>EQ.403</t>
  </si>
  <si>
    <t>VQUAU00600</t>
  </si>
  <si>
    <t>RETOUR MIROIR CONDUCTEUR</t>
  </si>
  <si>
    <t>EQ.404</t>
  </si>
  <si>
    <t>VQUAU2131A</t>
  </si>
  <si>
    <t>CANON 2131A BORNE DE QUAI AVEC AA</t>
  </si>
  <si>
    <t>EQ.405</t>
  </si>
  <si>
    <t>VQUAU3204H</t>
  </si>
  <si>
    <t>COLLERETTE POUR CAMERA DÔME</t>
  </si>
  <si>
    <t>EQ.406</t>
  </si>
  <si>
    <t>VQUSR00050</t>
  </si>
  <si>
    <t>VENTOUSE ELECTROMAGNETIQUE</t>
  </si>
  <si>
    <t>SERRURERIE</t>
  </si>
  <si>
    <t>EQ.407</t>
  </si>
  <si>
    <t>VQUSR00058</t>
  </si>
  <si>
    <t>BOITIER SAILLIE INOX POUR HP</t>
  </si>
  <si>
    <t>EQ.408</t>
  </si>
  <si>
    <t>VQUSR00070</t>
  </si>
  <si>
    <t>BOITIER L2 POUR HP MERLAU</t>
  </si>
  <si>
    <t>EQ.409</t>
  </si>
  <si>
    <t>VQUSR00564</t>
  </si>
  <si>
    <t>SERRURE MOTORISÉE KEL524 ABLOY</t>
  </si>
  <si>
    <t>EQ.410</t>
  </si>
  <si>
    <t>VVAAU0001M</t>
  </si>
  <si>
    <t>MICROPROCESSEUR NXP POUR LA4G</t>
  </si>
  <si>
    <t>VALIDEUR</t>
  </si>
  <si>
    <t>EQ.411</t>
  </si>
  <si>
    <t>VVAAU0004G</t>
  </si>
  <si>
    <t>LECTEUR 4G NPV60</t>
  </si>
  <si>
    <t>EQ.412</t>
  </si>
  <si>
    <t>VVAAU000V1</t>
  </si>
  <si>
    <t>KIT PROTOTYPE PASSAGE V1</t>
  </si>
  <si>
    <t>EQ.413</t>
  </si>
  <si>
    <t>VVAAU000V2</t>
  </si>
  <si>
    <t>KIT PROTOTYPE PASSAGE V2</t>
  </si>
  <si>
    <t>EQ.414</t>
  </si>
  <si>
    <t>VVAAU000V5</t>
  </si>
  <si>
    <t>LECTEUR COURT V8 NPV90 CONDUENT</t>
  </si>
  <si>
    <t>EQ.415</t>
  </si>
  <si>
    <t>VVAAU00AEG</t>
  </si>
  <si>
    <t>KIT PROTOTYPE AEG</t>
  </si>
  <si>
    <t>EQ.416</t>
  </si>
  <si>
    <t>VVAAU00XSL</t>
  </si>
  <si>
    <t>PROTOTYPE MODEM SHDSL</t>
  </si>
  <si>
    <t>EQ.417</t>
  </si>
  <si>
    <t>VVAAU02400</t>
  </si>
  <si>
    <t>MODEM XSLAN+2400 PROJET RVF</t>
  </si>
  <si>
    <t>EQ.418</t>
  </si>
  <si>
    <t>VVAAUKITAE</t>
  </si>
  <si>
    <t>KIT SERIE AEG PROJET RVF</t>
  </si>
  <si>
    <t>EQ.419</t>
  </si>
  <si>
    <t>VVAAUKITP2</t>
  </si>
  <si>
    <t>KIT SERIE PASSAGE PLAT2 PROJET RVF</t>
  </si>
  <si>
    <t>EQ.420</t>
  </si>
  <si>
    <t>VVAAUKITP3</t>
  </si>
  <si>
    <t>CABLE INTERFACE PS_C1 PROJET RVF</t>
  </si>
  <si>
    <t>EQ.421</t>
  </si>
  <si>
    <t>VVAAUKITP4</t>
  </si>
  <si>
    <t>KIT SERIE PASSAGE PLAT1 PJT RVF V2</t>
  </si>
  <si>
    <t>EQ.422</t>
  </si>
  <si>
    <t>VVAAUKITP5</t>
  </si>
  <si>
    <t>PLATINE SUPPORT STLB V2 POUR RVF</t>
  </si>
  <si>
    <t>EQ.423</t>
  </si>
  <si>
    <t>VVAAUKITP6</t>
  </si>
  <si>
    <t>CABLE INTERFACE PS_C2 4M PROJET RVF</t>
  </si>
  <si>
    <t>ATLAS Magasin Câble</t>
  </si>
  <si>
    <t>CA.01</t>
  </si>
  <si>
    <t>04001210R</t>
  </si>
  <si>
    <t>CUIVRE NU 6MM2 T500</t>
  </si>
  <si>
    <t>FILS ET CABLE NUS FILS ISOLES</t>
  </si>
  <si>
    <t>FILS ET CABLES NUS</t>
  </si>
  <si>
    <t>M</t>
  </si>
  <si>
    <t>CA.02</t>
  </si>
  <si>
    <t>04001240Y</t>
  </si>
  <si>
    <t>CABLE NU CUI ECR DIA21MM SEC261MM2</t>
  </si>
  <si>
    <t>CA.03</t>
  </si>
  <si>
    <t>04001250J</t>
  </si>
  <si>
    <t>CUIVRE NU 35MM2 T500</t>
  </si>
  <si>
    <t>CA.04</t>
  </si>
  <si>
    <t>04001265A</t>
  </si>
  <si>
    <t>CABLE NU CUI REC DIA15MM SEC104.5MM</t>
  </si>
  <si>
    <t>CA.05</t>
  </si>
  <si>
    <t>04001275L</t>
  </si>
  <si>
    <t>CABLE NU CUI REC DIA20MM SEC240MM2</t>
  </si>
  <si>
    <t>CA.06</t>
  </si>
  <si>
    <t>04002259F</t>
  </si>
  <si>
    <t>CABLE NU BRONZE DIA14MM SEC116MM2</t>
  </si>
  <si>
    <t>CA.07</t>
  </si>
  <si>
    <t>04002380M</t>
  </si>
  <si>
    <t>CABLE NU BRONZE D10,5MM SEC65MM2</t>
  </si>
  <si>
    <t>CA.08</t>
  </si>
  <si>
    <t>04002557E</t>
  </si>
  <si>
    <t>FIL NU CUI ECR D11,5MM SEC104MM2</t>
  </si>
  <si>
    <t>CA.09</t>
  </si>
  <si>
    <t>04002630J</t>
  </si>
  <si>
    <t>FIL CONT CUI/MA D12,24MM SEC107MM2</t>
  </si>
  <si>
    <t>CA.10</t>
  </si>
  <si>
    <t>04002644Z</t>
  </si>
  <si>
    <t>FIL CONTACT CUI D12,24MM SECT107MM2</t>
  </si>
  <si>
    <t>CA.11</t>
  </si>
  <si>
    <t>04002660A</t>
  </si>
  <si>
    <t>FILS DE CONTACT SECTION 150MM2</t>
  </si>
  <si>
    <t>CA.12</t>
  </si>
  <si>
    <t>04145000J</t>
  </si>
  <si>
    <t>CABLE SOUPLE 1X1MM2 VERT</t>
  </si>
  <si>
    <t>CONDUCTEURS ET CABLES ISOLES FIBRE</t>
  </si>
  <si>
    <t>AUTRES CONDUCT. ET CABLES ISOLES</t>
  </si>
  <si>
    <t>CA.13</t>
  </si>
  <si>
    <t>04145001K</t>
  </si>
  <si>
    <t>CABLE SOUPLE 1X1MM2 ROUGE</t>
  </si>
  <si>
    <t>CA.14</t>
  </si>
  <si>
    <t>04145002L</t>
  </si>
  <si>
    <t>CABLE SOUPLE 1X1MM2 NOIR</t>
  </si>
  <si>
    <t>CA.15</t>
  </si>
  <si>
    <t>04145003M</t>
  </si>
  <si>
    <t>CABLE SOUPLE 1X1MM2 JAUNE</t>
  </si>
  <si>
    <t>CA.16</t>
  </si>
  <si>
    <t>04160744X</t>
  </si>
  <si>
    <t>U-1000 R2V 1X240MM2  NOIR T250 ECA</t>
  </si>
  <si>
    <t>CA.17</t>
  </si>
  <si>
    <t>04160750D</t>
  </si>
  <si>
    <t>CABLE U3000R2V 1X240 T250 NOIR ECA</t>
  </si>
  <si>
    <t>CA.18</t>
  </si>
  <si>
    <t>04160755L</t>
  </si>
  <si>
    <t>CABLE U3000R2V 1X240 SOUPLE CL5 ECA</t>
  </si>
  <si>
    <t>CA.19</t>
  </si>
  <si>
    <t>04160756K</t>
  </si>
  <si>
    <t>CABLE U3000 AR2V 1X400MM2 T250</t>
  </si>
  <si>
    <t>CA.20</t>
  </si>
  <si>
    <t>04166752C</t>
  </si>
  <si>
    <t>6PA 1MM2 ZUGS BRUN SANS HAL</t>
  </si>
  <si>
    <t>CA.21</t>
  </si>
  <si>
    <t>04166826H</t>
  </si>
  <si>
    <t>6CX1,6MM ROUGE K22 T500</t>
  </si>
  <si>
    <t>CABLES SPECIFIQUES TELECOM</t>
  </si>
  <si>
    <t>CA.22</t>
  </si>
  <si>
    <t>04166829L</t>
  </si>
  <si>
    <t>14CX1,6MM ROUGE K22 T500</t>
  </si>
  <si>
    <t>CA.23</t>
  </si>
  <si>
    <t>04166832P</t>
  </si>
  <si>
    <t>24CX1,6MM ROUGE K22 T500</t>
  </si>
  <si>
    <t>CA.24</t>
  </si>
  <si>
    <t>04167164A</t>
  </si>
  <si>
    <t>4PA 10/10 MAUVE ARME K23</t>
  </si>
  <si>
    <t>CA.25</t>
  </si>
  <si>
    <t>04167166C</t>
  </si>
  <si>
    <t>8PA 10/10 MAUVE ARME K23</t>
  </si>
  <si>
    <t>CA.26</t>
  </si>
  <si>
    <t>04167168E</t>
  </si>
  <si>
    <t>14PA 10/10 MAUVE ARME K23</t>
  </si>
  <si>
    <t>CA.27</t>
  </si>
  <si>
    <t>04167170G</t>
  </si>
  <si>
    <t>28PA 10/10 MAUVE ARME K23</t>
  </si>
  <si>
    <t>CA.28</t>
  </si>
  <si>
    <t>04167264J</t>
  </si>
  <si>
    <t>4PA 10/10 BLEU K23</t>
  </si>
  <si>
    <t>CA.29</t>
  </si>
  <si>
    <t>04167266L</t>
  </si>
  <si>
    <t>8PA 10/10 BLEU K23</t>
  </si>
  <si>
    <t>CA.30</t>
  </si>
  <si>
    <t>04167268N</t>
  </si>
  <si>
    <t>14PA 10/10 BLEU K23</t>
  </si>
  <si>
    <t>CA.31</t>
  </si>
  <si>
    <t>04167308G</t>
  </si>
  <si>
    <t>14PA 6/10 NOIR K23</t>
  </si>
  <si>
    <t>CA.32</t>
  </si>
  <si>
    <t>04167310J</t>
  </si>
  <si>
    <t>28PA 6/10 NOIR K23</t>
  </si>
  <si>
    <t>CA.33</t>
  </si>
  <si>
    <t>04167312L</t>
  </si>
  <si>
    <t>56PA 6/10 NOIR K23</t>
  </si>
  <si>
    <t>CA.34</t>
  </si>
  <si>
    <t>04167360N</t>
  </si>
  <si>
    <t>56PA 8/10 NOIR K23</t>
  </si>
  <si>
    <t>CA.35</t>
  </si>
  <si>
    <t>04167366V</t>
  </si>
  <si>
    <t>8PA 10/10 NOIR K23</t>
  </si>
  <si>
    <t>CA.36</t>
  </si>
  <si>
    <t>04167370Z</t>
  </si>
  <si>
    <t>28PA 10/10 NOIR K23</t>
  </si>
  <si>
    <t>CA.37</t>
  </si>
  <si>
    <t>04167372B</t>
  </si>
  <si>
    <t>56PA 10/10 NOIR K23</t>
  </si>
  <si>
    <t>CA.38</t>
  </si>
  <si>
    <t>04167464B</t>
  </si>
  <si>
    <t>4PA 10/10 ROUGE K23</t>
  </si>
  <si>
    <t>CA.39</t>
  </si>
  <si>
    <t>04167466D</t>
  </si>
  <si>
    <t>8PA 10/10 ROUGE K23</t>
  </si>
  <si>
    <t>CA.40</t>
  </si>
  <si>
    <t>04167468F</t>
  </si>
  <si>
    <t>14PA 10/10 ROUGE K23</t>
  </si>
  <si>
    <t>CA.41</t>
  </si>
  <si>
    <t>04167470H</t>
  </si>
  <si>
    <t>28PA 10/10 ROUGE K23</t>
  </si>
  <si>
    <t>CA.42</t>
  </si>
  <si>
    <t>04167582E</t>
  </si>
  <si>
    <t>2PA 12/10 BLANC K23</t>
  </si>
  <si>
    <t>CA.43</t>
  </si>
  <si>
    <t>04167584G</t>
  </si>
  <si>
    <t>4PA 12/10 BLANC K23</t>
  </si>
  <si>
    <t>CA.44</t>
  </si>
  <si>
    <t>04167586J</t>
  </si>
  <si>
    <t>8PA 12/10 BLANC K23</t>
  </si>
  <si>
    <t>CA.45</t>
  </si>
  <si>
    <t>04167588L</t>
  </si>
  <si>
    <t>14PA 12/10 BLANC K23</t>
  </si>
  <si>
    <t>CA.46</t>
  </si>
  <si>
    <t>04167590N</t>
  </si>
  <si>
    <t>28PA 12/10 BLANC K23</t>
  </si>
  <si>
    <t>CA.47</t>
  </si>
  <si>
    <t>04167591P</t>
  </si>
  <si>
    <t>CABLE 1PA 12/10 SRS 13 BLANC</t>
  </si>
  <si>
    <t>CA.48</t>
  </si>
  <si>
    <t>04167592R</t>
  </si>
  <si>
    <t>CABLE 2PA 12/10 SRS 13 BLANC</t>
  </si>
  <si>
    <t>CA.49</t>
  </si>
  <si>
    <t>04167593S</t>
  </si>
  <si>
    <t>CABLE 4PA 12/10 SRS 13 BLANC</t>
  </si>
  <si>
    <t>CA.50</t>
  </si>
  <si>
    <t>04167594T</t>
  </si>
  <si>
    <t>CABLE 8PA 12/10 SRS 13 BLANC</t>
  </si>
  <si>
    <t>CA.51</t>
  </si>
  <si>
    <t>04167595U</t>
  </si>
  <si>
    <t>CABLE 14PA 12/10 SRS 13 BLANC</t>
  </si>
  <si>
    <t>CA.52</t>
  </si>
  <si>
    <t>04167596V</t>
  </si>
  <si>
    <t>CABLE 28PA 12/10 SRS 13 BLANC</t>
  </si>
  <si>
    <t>CA.53</t>
  </si>
  <si>
    <t>04167802U</t>
  </si>
  <si>
    <t>2PA 6/10 GRIS K24</t>
  </si>
  <si>
    <t>CA.54</t>
  </si>
  <si>
    <t>04167806Y</t>
  </si>
  <si>
    <t>5PA 6/10 GRIS K24</t>
  </si>
  <si>
    <t>CA.55</t>
  </si>
  <si>
    <t>04167808A</t>
  </si>
  <si>
    <t>7PA 6/10 GRIS K24</t>
  </si>
  <si>
    <t>CA.56</t>
  </si>
  <si>
    <t>04167810C</t>
  </si>
  <si>
    <t>15PA 6/10 GRIS K24</t>
  </si>
  <si>
    <t>CA.57</t>
  </si>
  <si>
    <t>04167812E</t>
  </si>
  <si>
    <t>21PA 6/10 GRIS K24</t>
  </si>
  <si>
    <t>CA.58</t>
  </si>
  <si>
    <t>04167814G</t>
  </si>
  <si>
    <t>30PA 6/10 GRIS K24</t>
  </si>
  <si>
    <t>CA.59</t>
  </si>
  <si>
    <t>04167818L</t>
  </si>
  <si>
    <t>56PA 6/10 GRIS K24</t>
  </si>
  <si>
    <t>CA.60</t>
  </si>
  <si>
    <t>04167952G</t>
  </si>
  <si>
    <t>CABLE 4 P NOIR CAT6 100 OHMS K20</t>
  </si>
  <si>
    <t>CA.61</t>
  </si>
  <si>
    <t>04167953H</t>
  </si>
  <si>
    <t>CABLE 2X4 P NOIR CAT6 100 OHMS K20</t>
  </si>
  <si>
    <t>CA.62</t>
  </si>
  <si>
    <t>04167966X</t>
  </si>
  <si>
    <t>CABLE COAX NON RAY 7/8" SP" K26</t>
  </si>
  <si>
    <t>CABLES SPECIFIQUES COAXIAUX K26</t>
  </si>
  <si>
    <t>CA.63</t>
  </si>
  <si>
    <t>04167967Y</t>
  </si>
  <si>
    <t>CABLE COAX NON RAY 1/2" SP" K26</t>
  </si>
  <si>
    <t>CA.64</t>
  </si>
  <si>
    <t>04168645K</t>
  </si>
  <si>
    <t>CABLE COAXIAL 1 1/4 50OHMS N RAYK26</t>
  </si>
  <si>
    <t>CA.65</t>
  </si>
  <si>
    <t>04168652T</t>
  </si>
  <si>
    <t>CABLE COAXIAL VS8-K20 75 OHMS NOIR</t>
  </si>
  <si>
    <t>CA.66</t>
  </si>
  <si>
    <t>04168654V</t>
  </si>
  <si>
    <t>CABLE COAXIAL VS6-K20 75 OHMS NOIR</t>
  </si>
  <si>
    <t>CA.67</t>
  </si>
  <si>
    <t>04168833P</t>
  </si>
  <si>
    <t>CABLE K27 ARME 1P  9/10 100/170V OR</t>
  </si>
  <si>
    <t>CABLES SECIFIQUES SECURITE K27</t>
  </si>
  <si>
    <t>CA.68</t>
  </si>
  <si>
    <t>04168835Q</t>
  </si>
  <si>
    <t>CABLE K27 ARME 2P  9/10 100/170V OR</t>
  </si>
  <si>
    <t>CA.69</t>
  </si>
  <si>
    <t>04168848F</t>
  </si>
  <si>
    <t>CABLE K27 ARME 1X16MM2 T500</t>
  </si>
  <si>
    <t>CA.70</t>
  </si>
  <si>
    <t>04168850H</t>
  </si>
  <si>
    <t>CABLE K27 ARME 1X25MM2 T500</t>
  </si>
  <si>
    <t>CA.71</t>
  </si>
  <si>
    <t>04168852K</t>
  </si>
  <si>
    <t>CABLE K27 ARME 1X35MM2 T500</t>
  </si>
  <si>
    <t>CA.72</t>
  </si>
  <si>
    <t>04168854M</t>
  </si>
  <si>
    <t>CABLE K27 ARME 1X50MM2 T500</t>
  </si>
  <si>
    <t>CA.73</t>
  </si>
  <si>
    <t>04168856P</t>
  </si>
  <si>
    <t>CABLE K27 ARME 1X70MM2 T500</t>
  </si>
  <si>
    <t>CA.74</t>
  </si>
  <si>
    <t>04168858S</t>
  </si>
  <si>
    <t>CABLE K27 ARME 1X95MM2 T500</t>
  </si>
  <si>
    <t>CA.75</t>
  </si>
  <si>
    <t>04168860U</t>
  </si>
  <si>
    <t>CABLE K27 ARME 1X120MM2 T500</t>
  </si>
  <si>
    <t>CA.76</t>
  </si>
  <si>
    <t>04168862W</t>
  </si>
  <si>
    <t>CABLE K27 ARME 1X150MM2 T500</t>
  </si>
  <si>
    <t>CA.77</t>
  </si>
  <si>
    <t>04168864Y</t>
  </si>
  <si>
    <t>CABLE K27 ARME 1X185MM2 T500</t>
  </si>
  <si>
    <t>CA.78</t>
  </si>
  <si>
    <t>04168866A</t>
  </si>
  <si>
    <t>CABLE K27 ARME 1X240MM2 T250</t>
  </si>
  <si>
    <t>CA.79</t>
  </si>
  <si>
    <t>04168868C</t>
  </si>
  <si>
    <t>CABLE K27 ARME 2X1,5MM2 T500</t>
  </si>
  <si>
    <t>CA.80</t>
  </si>
  <si>
    <t>04168870E</t>
  </si>
  <si>
    <t>CABLE K27 ARME 2X2,5MM2 T500</t>
  </si>
  <si>
    <t>CA.81</t>
  </si>
  <si>
    <t>04168872G</t>
  </si>
  <si>
    <t>CABLE K27 ARME 2X4MM2 T500</t>
  </si>
  <si>
    <t>CA.82</t>
  </si>
  <si>
    <t>04168874J</t>
  </si>
  <si>
    <t>CABLE K27 ARME 2X6MM2 T500</t>
  </si>
  <si>
    <t>CA.83</t>
  </si>
  <si>
    <t>04168878N</t>
  </si>
  <si>
    <t>CABLE K27 ARME 2X16MM2 T500</t>
  </si>
  <si>
    <t>CA.84</t>
  </si>
  <si>
    <t>04168880R</t>
  </si>
  <si>
    <t>CABLE K27 ARME 3G1,5MM2  T500</t>
  </si>
  <si>
    <t>CA.85</t>
  </si>
  <si>
    <t>04168882T</t>
  </si>
  <si>
    <t>CABLE K27 ARME 3G2,5MM2 T500</t>
  </si>
  <si>
    <t>CA.86</t>
  </si>
  <si>
    <t>04168884V</t>
  </si>
  <si>
    <t>CABLE K27 ARME 3G4MM2  T500</t>
  </si>
  <si>
    <t>CA.87</t>
  </si>
  <si>
    <t>04168886X</t>
  </si>
  <si>
    <t>CABLE K27 ARME 4X16MM2</t>
  </si>
  <si>
    <t>CA.88</t>
  </si>
  <si>
    <t>04168888Z</t>
  </si>
  <si>
    <t>CABLE K27 ARME 4X25MM2</t>
  </si>
  <si>
    <t>CA.89</t>
  </si>
  <si>
    <t>04168890B</t>
  </si>
  <si>
    <t>CABLE K27 ARME 4X35MM2</t>
  </si>
  <si>
    <t>CA.90</t>
  </si>
  <si>
    <t>04168891C</t>
  </si>
  <si>
    <t>CABLE K27 ARME 4X50MM2</t>
  </si>
  <si>
    <t>CA.91</t>
  </si>
  <si>
    <t>04168892D</t>
  </si>
  <si>
    <t>CABLE K27 ARME 12X1,5MM2</t>
  </si>
  <si>
    <t>CA.92</t>
  </si>
  <si>
    <t>04168893Q</t>
  </si>
  <si>
    <t>CABLE K27 ARM 5G4 MM2 1000V ORANGE</t>
  </si>
  <si>
    <t>CA.93</t>
  </si>
  <si>
    <t>04168894A</t>
  </si>
  <si>
    <t>CABLE K27 ARM 5G6 MM2 1000V ORANGE</t>
  </si>
  <si>
    <t>CA.94</t>
  </si>
  <si>
    <t>04168895C</t>
  </si>
  <si>
    <t>CABLE K27 ARME 15PA 9/10 ORANGE</t>
  </si>
  <si>
    <t>CA.95</t>
  </si>
  <si>
    <t>04168898G</t>
  </si>
  <si>
    <t>CABLE K27 ARME 2PA 12/10 ORANGE</t>
  </si>
  <si>
    <t>CA.96</t>
  </si>
  <si>
    <t>04168899L</t>
  </si>
  <si>
    <t>CABLE K27 ARME 5PA 12/10 ORANGE</t>
  </si>
  <si>
    <t>CA.97</t>
  </si>
  <si>
    <t>04172723T</t>
  </si>
  <si>
    <t>CABLE HTA 3X150MM2 ALU POPY</t>
  </si>
  <si>
    <t>CABLES SPECIFIQUES RESEAUX HTA</t>
  </si>
  <si>
    <t>CA.98</t>
  </si>
  <si>
    <t>04172724U</t>
  </si>
  <si>
    <t>CABLE HTA 3X240MM2 ALU POPY</t>
  </si>
  <si>
    <t>CA.99</t>
  </si>
  <si>
    <t>04172728Y</t>
  </si>
  <si>
    <t>CABLE HTA 3X240MM2 CU POPY</t>
  </si>
  <si>
    <t>CA.100</t>
  </si>
  <si>
    <t>04172730A</t>
  </si>
  <si>
    <t>CABLE HTA 1X95MM2 ALU POPY</t>
  </si>
  <si>
    <t>CA.101</t>
  </si>
  <si>
    <t>04172731B</t>
  </si>
  <si>
    <t>CABLE HTA 1X50MM2 ALU POPY</t>
  </si>
  <si>
    <t>CA.102</t>
  </si>
  <si>
    <t>04172765N</t>
  </si>
  <si>
    <t>CABLE HTA 3X150MM2 ALU SH K20</t>
  </si>
  <si>
    <t>CA.103</t>
  </si>
  <si>
    <t>04172768S</t>
  </si>
  <si>
    <t>CABLE HTA 3X240MM2 ALU SH K20</t>
  </si>
  <si>
    <t>CA.104</t>
  </si>
  <si>
    <t>44145010V</t>
  </si>
  <si>
    <t>CABLE 2X1MM2 100 OHM NOIR</t>
  </si>
  <si>
    <t>CA.105</t>
  </si>
  <si>
    <t>44166754E</t>
  </si>
  <si>
    <t>CABLE CVZS 1X1MM2 SH NOIR</t>
  </si>
  <si>
    <t>CA.106</t>
  </si>
  <si>
    <t>44166755F</t>
  </si>
  <si>
    <t>CABLE CVZS 1PA TORSADEE SANS HALO</t>
  </si>
  <si>
    <t>CA.107</t>
  </si>
  <si>
    <t>44166757H</t>
  </si>
  <si>
    <t>CABLE CVZS 1X1MM2 SH GRIS</t>
  </si>
  <si>
    <t>CA.108</t>
  </si>
  <si>
    <t>44166758J</t>
  </si>
  <si>
    <t>CABLE CVZS 1X1MM2 SH MARRON</t>
  </si>
  <si>
    <t>CA.109</t>
  </si>
  <si>
    <t>44166759K</t>
  </si>
  <si>
    <t>CABLE CVZS 1X1MM2 SH VERT</t>
  </si>
  <si>
    <t>CA.110</t>
  </si>
  <si>
    <t>44166760L</t>
  </si>
  <si>
    <t>CABLE CVZS 1X1MM2 SH BLANC</t>
  </si>
  <si>
    <t>CA.111</t>
  </si>
  <si>
    <t>44168003M</t>
  </si>
  <si>
    <t>CABLE K25 1X1,5MM2 NOIR C100</t>
  </si>
  <si>
    <t>CABLES SPECIFIQUES ENERGIE K25</t>
  </si>
  <si>
    <t>CA.112</t>
  </si>
  <si>
    <t>44168004N</t>
  </si>
  <si>
    <t>CABLE K25 1X1,5MM2 V/J C100</t>
  </si>
  <si>
    <t>CA.113</t>
  </si>
  <si>
    <t>44168007S</t>
  </si>
  <si>
    <t>CABLE K25 1X1,5MM2 BLEU C100</t>
  </si>
  <si>
    <t>CA.114</t>
  </si>
  <si>
    <t>44168023J</t>
  </si>
  <si>
    <t>CABLE K25 1X2,5MM2 NOIR C100</t>
  </si>
  <si>
    <t>CA.115</t>
  </si>
  <si>
    <t>44168025L</t>
  </si>
  <si>
    <t>CABLE K25 1X2,5MM2 V/J C100</t>
  </si>
  <si>
    <t>CA.116</t>
  </si>
  <si>
    <t>44168026M</t>
  </si>
  <si>
    <t>CABLE K25 1X2,5MM2 BLEU C100</t>
  </si>
  <si>
    <t>CA.117</t>
  </si>
  <si>
    <t>44168043F</t>
  </si>
  <si>
    <t>CABLE K25 1X4MM2 NOIR C100</t>
  </si>
  <si>
    <t>CA.118</t>
  </si>
  <si>
    <t>44168045H</t>
  </si>
  <si>
    <t>CABLE K25 1X4MM2 V/J C100</t>
  </si>
  <si>
    <t>CA.119</t>
  </si>
  <si>
    <t>44168047K</t>
  </si>
  <si>
    <t>CABLE K25 1X4MM2 BLEU C100</t>
  </si>
  <si>
    <t>CA.120</t>
  </si>
  <si>
    <t>44168054D</t>
  </si>
  <si>
    <t>CABLE K25 2X1,5MM CL5 NOIR T500</t>
  </si>
  <si>
    <t>CA.121</t>
  </si>
  <si>
    <t>44168104X</t>
  </si>
  <si>
    <t>CABLE K25 3G4MM2 NOIR T500</t>
  </si>
  <si>
    <t>CA.122</t>
  </si>
  <si>
    <t>44168106Z</t>
  </si>
  <si>
    <t>CABLE K25 3G6MM2 NOIR T500</t>
  </si>
  <si>
    <t>CA.123</t>
  </si>
  <si>
    <t>44168111E</t>
  </si>
  <si>
    <t>CABLE K25 3G1,5MM2 NOIR T500</t>
  </si>
  <si>
    <t>CA.124</t>
  </si>
  <si>
    <t>44168113G</t>
  </si>
  <si>
    <t>CABLE K25 3G2,5MM2 NOIR T500</t>
  </si>
  <si>
    <t>CA.125</t>
  </si>
  <si>
    <t>44168116K</t>
  </si>
  <si>
    <t>CABLE K25 5G50MM2 NOIR T250</t>
  </si>
  <si>
    <t>CA.126</t>
  </si>
  <si>
    <t>44168122S</t>
  </si>
  <si>
    <t>CABLE K25 4X10MM2 NOIR T500</t>
  </si>
  <si>
    <t>CA.127</t>
  </si>
  <si>
    <t>44168128Y</t>
  </si>
  <si>
    <t>CABLE K25 4X35MM2 NOIR T500</t>
  </si>
  <si>
    <t>CA.128</t>
  </si>
  <si>
    <t>44168129Z</t>
  </si>
  <si>
    <t>CABLE K25 4X50MM2 NOIR T500</t>
  </si>
  <si>
    <t>CA.129</t>
  </si>
  <si>
    <t>44168130A</t>
  </si>
  <si>
    <t>CABLE K25 4X70MM2 NOIR T250</t>
  </si>
  <si>
    <t>CA.130</t>
  </si>
  <si>
    <t>44168131B</t>
  </si>
  <si>
    <t>CABLE K25 4X95MM2 NOIR T250</t>
  </si>
  <si>
    <t>CA.131</t>
  </si>
  <si>
    <t>44168134E</t>
  </si>
  <si>
    <t>CABLE K25 4X150MM2 NOIR T100</t>
  </si>
  <si>
    <t>CA.132</t>
  </si>
  <si>
    <t>44168141M</t>
  </si>
  <si>
    <t>CABLE K25 5G1,5MM2 NOIR T500</t>
  </si>
  <si>
    <t>CA.133</t>
  </si>
  <si>
    <t>44168143P</t>
  </si>
  <si>
    <t>CABLE K25 5G2,5MM2 NOIR T500</t>
  </si>
  <si>
    <t>CA.134</t>
  </si>
  <si>
    <t>44168145S</t>
  </si>
  <si>
    <t>CABLE K25 5G4MM2 NOIR T500</t>
  </si>
  <si>
    <t>CA.135</t>
  </si>
  <si>
    <t>44168147U</t>
  </si>
  <si>
    <t>CABLE K25 5G6MM2 NOIR T500</t>
  </si>
  <si>
    <t>CA.136</t>
  </si>
  <si>
    <t>44168148V</t>
  </si>
  <si>
    <t>CABLE K25 5G10MM2 NOIR T500</t>
  </si>
  <si>
    <t>CA.137</t>
  </si>
  <si>
    <t>44168150X</t>
  </si>
  <si>
    <t>CABLE K25 5G16MM2 NOIR T500</t>
  </si>
  <si>
    <t>CA.138</t>
  </si>
  <si>
    <t>44168152Z</t>
  </si>
  <si>
    <t>CABLE K25 5G25MM2 NOIR T500</t>
  </si>
  <si>
    <t>CA.139</t>
  </si>
  <si>
    <t>44168154B</t>
  </si>
  <si>
    <t>CABLE K25 5G35MM2 NOIR T500</t>
  </si>
  <si>
    <t>CA.140</t>
  </si>
  <si>
    <t>44168163L</t>
  </si>
  <si>
    <t>CABLE K25 7G2,5MM2 NOIR T500</t>
  </si>
  <si>
    <t>CA.141</t>
  </si>
  <si>
    <t>44168202D</t>
  </si>
  <si>
    <t>CABLE K25 1X6MM2 NOIR T500</t>
  </si>
  <si>
    <t>CA.142</t>
  </si>
  <si>
    <t>44168204F</t>
  </si>
  <si>
    <t>CABLE K25 1X6MM2 V/J CLASSE 2 T500</t>
  </si>
  <si>
    <t>CA.143</t>
  </si>
  <si>
    <t>44168222A</t>
  </si>
  <si>
    <t>CABLE K25 1X10MM2 NOIR T500</t>
  </si>
  <si>
    <t>CA.144</t>
  </si>
  <si>
    <t>44168224C</t>
  </si>
  <si>
    <t>CABLE K25 1X35MM2 V/J T500</t>
  </si>
  <si>
    <t>CA.145</t>
  </si>
  <si>
    <t>44168225D</t>
  </si>
  <si>
    <t>CABLE K25 1X35MM2 NOIR T500</t>
  </si>
  <si>
    <t>CA.146</t>
  </si>
  <si>
    <t>44168226E</t>
  </si>
  <si>
    <t>CABLE K25 1X50MM2 NOIR T500</t>
  </si>
  <si>
    <t>CA.147</t>
  </si>
  <si>
    <t>44168228G</t>
  </si>
  <si>
    <t>CABLE K25 1X70MM2 NOIR T500</t>
  </si>
  <si>
    <t>CA.148</t>
  </si>
  <si>
    <t>44168230J</t>
  </si>
  <si>
    <t>CABLE K25 1X70MM2 V/J T500</t>
  </si>
  <si>
    <t>CA.149</t>
  </si>
  <si>
    <t>44168232L</t>
  </si>
  <si>
    <t>CABLE K25 1X95MM2 NOIR T500</t>
  </si>
  <si>
    <t>CA.150</t>
  </si>
  <si>
    <t>44168234N</t>
  </si>
  <si>
    <t>CABLE K25 1X120MM2 NOIR T500</t>
  </si>
  <si>
    <t>CA.151</t>
  </si>
  <si>
    <t>44168235P</t>
  </si>
  <si>
    <t>CABLE K25 1X150MM2 NOIR T500</t>
  </si>
  <si>
    <t>CA.152</t>
  </si>
  <si>
    <t>44168236R</t>
  </si>
  <si>
    <t>CABLE K25 1X185MM2 NOIR T500</t>
  </si>
  <si>
    <t>CA.153</t>
  </si>
  <si>
    <t>44168238T</t>
  </si>
  <si>
    <t>CABLE K25 1X240MM2 NOIR CL2 1000V</t>
  </si>
  <si>
    <t>CA.154</t>
  </si>
  <si>
    <t>44168312Y</t>
  </si>
  <si>
    <t>CABLE K25 3G10MM2 NOIR T500</t>
  </si>
  <si>
    <t>CA.155</t>
  </si>
  <si>
    <t>44168314A</t>
  </si>
  <si>
    <t>CABLE K25 3G16MM2 NOIR T500</t>
  </si>
  <si>
    <t>CA.156</t>
  </si>
  <si>
    <t>44168316C</t>
  </si>
  <si>
    <t>CABLE K25 3G25MM2 NOIR T500</t>
  </si>
  <si>
    <t>CA.157</t>
  </si>
  <si>
    <t>44168374R</t>
  </si>
  <si>
    <t>CABLE K25 3X50+1X35 BLANC T500</t>
  </si>
  <si>
    <t>CA.158</t>
  </si>
  <si>
    <t>44168402W</t>
  </si>
  <si>
    <t>CABLE K25 1X16MM2 NOIR T500</t>
  </si>
  <si>
    <t>CA.159</t>
  </si>
  <si>
    <t>44168410E</t>
  </si>
  <si>
    <t>CABLE K25 1X240MM2 NOIR CL5 1800V</t>
  </si>
  <si>
    <t>CA.160</t>
  </si>
  <si>
    <t>44190014M</t>
  </si>
  <si>
    <t>36 FO MONOMODE MICROGAINE K20</t>
  </si>
  <si>
    <t>CABLES DE TRANSMISSION, FIBRE OPTIQ</t>
  </si>
  <si>
    <t>CA.161</t>
  </si>
  <si>
    <t>44190041C</t>
  </si>
  <si>
    <t>12 FO MULTIMODE MICROGAINE K20</t>
  </si>
  <si>
    <t>CA.162</t>
  </si>
  <si>
    <t>44190044F</t>
  </si>
  <si>
    <t>12 FO MONOMODE MICROGAINE K20</t>
  </si>
  <si>
    <t>CA.163</t>
  </si>
  <si>
    <t>44190045G</t>
  </si>
  <si>
    <t>24 FO MONOMODE MICROGAINE K20</t>
  </si>
  <si>
    <t>CA.164</t>
  </si>
  <si>
    <t>44190046H</t>
  </si>
  <si>
    <t>48 FO MONOMODE MICROGAINE K20</t>
  </si>
  <si>
    <t>CA.165</t>
  </si>
  <si>
    <t>44190047J</t>
  </si>
  <si>
    <t>72 FO MONOMODE MICROGAINE K20</t>
  </si>
  <si>
    <t>CA.166</t>
  </si>
  <si>
    <t>44190048K</t>
  </si>
  <si>
    <t>CA.167</t>
  </si>
  <si>
    <t>44190049L</t>
  </si>
  <si>
    <t>24 FO MULTIMODE MICROGAINE K20</t>
  </si>
  <si>
    <t>CA.168</t>
  </si>
  <si>
    <t>44190050M</t>
  </si>
  <si>
    <t>CABLE 48 FO MONOMODE CR1-C1 K209C</t>
  </si>
  <si>
    <t>CA.169</t>
  </si>
  <si>
    <t>44190051N</t>
  </si>
  <si>
    <t>CABLE 24 FO MULTIMODE CR1-C1 OM4</t>
  </si>
  <si>
    <t>CA.170</t>
  </si>
  <si>
    <t>HS0002</t>
  </si>
  <si>
    <t>U-1000 R2V   3G1,5 MASSIF NOIRE</t>
  </si>
  <si>
    <t>CONDUCT. ET CABLES INDUSTRIELS</t>
  </si>
  <si>
    <t>CA.171</t>
  </si>
  <si>
    <t>HS0007</t>
  </si>
  <si>
    <t>U-1000 R2V 4G2,5 MASSIF NOIRE</t>
  </si>
  <si>
    <t>CA.172</t>
  </si>
  <si>
    <t>HS0008</t>
  </si>
  <si>
    <t>U-1000 R2V 5G2,5 MASSIF NOIRE</t>
  </si>
  <si>
    <t>CA.173</t>
  </si>
  <si>
    <t>HS0009</t>
  </si>
  <si>
    <t>U-1000R2V CLASSE5 1X120MM2 NOIR</t>
  </si>
  <si>
    <t>CA.174</t>
  </si>
  <si>
    <t>HS0010</t>
  </si>
  <si>
    <t>U-1000R2V CLASS5 1X185 SOUPLE NOIR</t>
  </si>
  <si>
    <t>CA.175</t>
  </si>
  <si>
    <t>HS0011</t>
  </si>
  <si>
    <t>U-1000R2V CLASSE5 1X240MM2 NOIR</t>
  </si>
  <si>
    <t>CA.176</t>
  </si>
  <si>
    <t>HS0012</t>
  </si>
  <si>
    <t>H07 RN-F 4G1 NOIRE</t>
  </si>
  <si>
    <t>CA.177</t>
  </si>
  <si>
    <t>HS0014</t>
  </si>
  <si>
    <t>H07 RN-F   7G2,5 NOIRE</t>
  </si>
  <si>
    <t>CA.178</t>
  </si>
  <si>
    <t>HS0015</t>
  </si>
  <si>
    <t>H07 RN-F 12G2,5 NOIRE</t>
  </si>
  <si>
    <t>CA.179</t>
  </si>
  <si>
    <t>HS0017</t>
  </si>
  <si>
    <t>H07 RN-F  2 X 4 NOIRE</t>
  </si>
  <si>
    <t>CA.180</t>
  </si>
  <si>
    <t>HS0018</t>
  </si>
  <si>
    <t>H07 RN-F 5G4 NOIRE</t>
  </si>
  <si>
    <t>CA.181</t>
  </si>
  <si>
    <t>HS0019</t>
  </si>
  <si>
    <t>H07 RN-F  2 X 6 NOIRE</t>
  </si>
  <si>
    <t>CA.182</t>
  </si>
  <si>
    <t>HS0020</t>
  </si>
  <si>
    <t>H07 RN-F 3G6 NOIRE</t>
  </si>
  <si>
    <t>CA.183</t>
  </si>
  <si>
    <t>HS0021</t>
  </si>
  <si>
    <t>H07 RN-F 1X10 NOIRE</t>
  </si>
  <si>
    <t>CA.184</t>
  </si>
  <si>
    <t>HS0022</t>
  </si>
  <si>
    <t>H07 RN-F 2X10 NOIRE</t>
  </si>
  <si>
    <t>CA.185</t>
  </si>
  <si>
    <t>HS0023</t>
  </si>
  <si>
    <t>H07 RN-F 3G10 NOIRE</t>
  </si>
  <si>
    <t>CA.186</t>
  </si>
  <si>
    <t>HS0024</t>
  </si>
  <si>
    <t>H07 RN-F 4G10 NOIRE</t>
  </si>
  <si>
    <t>CA.187</t>
  </si>
  <si>
    <t>HS0025</t>
  </si>
  <si>
    <t>H07 RN-F 1X16 NOIRE</t>
  </si>
  <si>
    <t>CA.188</t>
  </si>
  <si>
    <t>HS0026</t>
  </si>
  <si>
    <t>H07 RN-F 2X16 NOIRE</t>
  </si>
  <si>
    <t>CA.189</t>
  </si>
  <si>
    <t>HS0027</t>
  </si>
  <si>
    <t>H07 RN-F 3G16 NOIRE</t>
  </si>
  <si>
    <t>CA.190</t>
  </si>
  <si>
    <t>HS0028</t>
  </si>
  <si>
    <t>H07 RN-F 36G1,5 NOIRE</t>
  </si>
  <si>
    <t>CA.191</t>
  </si>
  <si>
    <t>HS0029</t>
  </si>
  <si>
    <t>H07 RN-F 1X25 NOIRE</t>
  </si>
  <si>
    <t>CA.192</t>
  </si>
  <si>
    <t>HS0030</t>
  </si>
  <si>
    <t>H07 RN-F  2X25 NOIRE</t>
  </si>
  <si>
    <t>CA.193</t>
  </si>
  <si>
    <t>HS0031</t>
  </si>
  <si>
    <t>H07 RN-F 3G25 NOIRE</t>
  </si>
  <si>
    <t>CA.194</t>
  </si>
  <si>
    <t>HS0032</t>
  </si>
  <si>
    <t>H07 RN-F  4G25 NOIRE</t>
  </si>
  <si>
    <t>CA.195</t>
  </si>
  <si>
    <t>HS0033</t>
  </si>
  <si>
    <t>H07 RN-F  5G25 NOIRE</t>
  </si>
  <si>
    <t>CA.196</t>
  </si>
  <si>
    <t>HS0034</t>
  </si>
  <si>
    <t>H07 RN-F 1X35 NOIRE</t>
  </si>
  <si>
    <t>CA.197</t>
  </si>
  <si>
    <t>HS0035</t>
  </si>
  <si>
    <t>H07 RN-F  3G35 NOIRE</t>
  </si>
  <si>
    <t>CA.198</t>
  </si>
  <si>
    <t>HS0036</t>
  </si>
  <si>
    <t>H07 RN-F 4G35 NOIRE</t>
  </si>
  <si>
    <t>CA.199</t>
  </si>
  <si>
    <t>HS0037</t>
  </si>
  <si>
    <t>H07 RN-F 5G35 NOIRE</t>
  </si>
  <si>
    <t>CA.200</t>
  </si>
  <si>
    <t>HS0038</t>
  </si>
  <si>
    <t>H07 RN-F 1X50 NOIRE</t>
  </si>
  <si>
    <t>CA.201</t>
  </si>
  <si>
    <t>HS0039</t>
  </si>
  <si>
    <t>H07 RN-F 3G50 NOIRE</t>
  </si>
  <si>
    <t>CA.202</t>
  </si>
  <si>
    <t>HS0040</t>
  </si>
  <si>
    <t>H07 RN-F 4G50 NOIRE</t>
  </si>
  <si>
    <t>CA.203</t>
  </si>
  <si>
    <t>HS0041</t>
  </si>
  <si>
    <t>H07 RN-F 1X70 NOIRE</t>
  </si>
  <si>
    <t>CA.204</t>
  </si>
  <si>
    <t>HS0042</t>
  </si>
  <si>
    <t>H07 RN-F 4G70 NOIRE</t>
  </si>
  <si>
    <t>CA.205</t>
  </si>
  <si>
    <t>HS0043</t>
  </si>
  <si>
    <t>H07 RN-F 1X95 NOIRE</t>
  </si>
  <si>
    <t>CA.206</t>
  </si>
  <si>
    <t>HS0045</t>
  </si>
  <si>
    <t>H07 RN-F 1X120 NOIRE</t>
  </si>
  <si>
    <t>CA.207</t>
  </si>
  <si>
    <t>HS0047</t>
  </si>
  <si>
    <t>H07 RN-F 1X150 NOIRE</t>
  </si>
  <si>
    <t>CA.208</t>
  </si>
  <si>
    <t>HS0049</t>
  </si>
  <si>
    <t>H07 RN-F 1X185 NOIRE</t>
  </si>
  <si>
    <t>CA.209</t>
  </si>
  <si>
    <t>HS0051</t>
  </si>
  <si>
    <t>H07 RN-F 1X240 NOIRE</t>
  </si>
  <si>
    <t>CA.210</t>
  </si>
  <si>
    <t>HS0053</t>
  </si>
  <si>
    <t>H07 RN-F 1X300 NOIRE</t>
  </si>
  <si>
    <t>CA.211</t>
  </si>
  <si>
    <t>HS0054</t>
  </si>
  <si>
    <t>U-1000 R2V 7G1,5 MASSIF NOIRE</t>
  </si>
  <si>
    <t>CA.212</t>
  </si>
  <si>
    <t>HS0055</t>
  </si>
  <si>
    <t>U-1000 R2V 12G1,5 MASSIF NOIRE</t>
  </si>
  <si>
    <t>CA.213</t>
  </si>
  <si>
    <t>HS0058</t>
  </si>
  <si>
    <t>U-1000 R2V   7G2,5 MASSIF NOIRE</t>
  </si>
  <si>
    <t>CA.214</t>
  </si>
  <si>
    <t>HS0059</t>
  </si>
  <si>
    <t>U-1000 R2V 12G2,5 MASSIF NOIRE</t>
  </si>
  <si>
    <t>CA.215</t>
  </si>
  <si>
    <t>HS0067</t>
  </si>
  <si>
    <t>U-1000 R2V 4G1,5 CÂBLÉ NOIRE</t>
  </si>
  <si>
    <t>CA.216</t>
  </si>
  <si>
    <t>HS0068</t>
  </si>
  <si>
    <t>U-1000 R2V 7G1,5 CÂBLÉ NOIRE</t>
  </si>
  <si>
    <t>CA.217</t>
  </si>
  <si>
    <t>HS0069</t>
  </si>
  <si>
    <t>U-1000 R2V 12G1,5 CÂBLÉ NOIRE</t>
  </si>
  <si>
    <t>CA.218</t>
  </si>
  <si>
    <t>HS0071</t>
  </si>
  <si>
    <t>U-1000 R2V 3G2,5 CÂBLÉ NOIRE</t>
  </si>
  <si>
    <t>CA.219</t>
  </si>
  <si>
    <t>HS0072</t>
  </si>
  <si>
    <t>U-1000 R2V 4G2,5 CÂBLÉ NOIRE</t>
  </si>
  <si>
    <t>CA.220</t>
  </si>
  <si>
    <t>HS0073</t>
  </si>
  <si>
    <t>U-1000 R2V  5G2,5 CÂBLÉ NOIRE</t>
  </si>
  <si>
    <t>CA.221</t>
  </si>
  <si>
    <t>HS0074</t>
  </si>
  <si>
    <t>U-1000 R2V 7G2,5 CÂBLÉ NOIRE</t>
  </si>
  <si>
    <t>CA.222</t>
  </si>
  <si>
    <t>HS0077</t>
  </si>
  <si>
    <t>U-1000 R2V 3G4 CABLÉ NOIRE</t>
  </si>
  <si>
    <t>CA.223</t>
  </si>
  <si>
    <t>HS0078</t>
  </si>
  <si>
    <t>U-1000 R2V 4G4 CABLÉ NOIRE</t>
  </si>
  <si>
    <t>CA.224</t>
  </si>
  <si>
    <t>HS0079</t>
  </si>
  <si>
    <t>U-1000 R2V 5G4 CABLÉ NOIRE</t>
  </si>
  <si>
    <t>CA.225</t>
  </si>
  <si>
    <t>HS0083</t>
  </si>
  <si>
    <t>U-1000 R2V 3G6 CÂBLÉ NOIRE</t>
  </si>
  <si>
    <t>CA.226</t>
  </si>
  <si>
    <t>HS0084</t>
  </si>
  <si>
    <t>U-1000 R2V 4X6 CÂBLÉ NOIRE</t>
  </si>
  <si>
    <t>CA.227</t>
  </si>
  <si>
    <t>HS0085</t>
  </si>
  <si>
    <t>U-1000 R2V 4G6 CÂBLÉ NOIRE</t>
  </si>
  <si>
    <t>CA.228</t>
  </si>
  <si>
    <t>HS0086</t>
  </si>
  <si>
    <t>U-1000 R2V  5G6 CÂBLÉ NOIRE</t>
  </si>
  <si>
    <t>CA.229</t>
  </si>
  <si>
    <t>HS0088</t>
  </si>
  <si>
    <t>U-1000 R2V 2X10 CÂBLÉ NOIRE</t>
  </si>
  <si>
    <t>CA.230</t>
  </si>
  <si>
    <t>HS0089</t>
  </si>
  <si>
    <t>U-1000 R2V 3X10 CÂBLÉ NOIRE</t>
  </si>
  <si>
    <t>CA.231</t>
  </si>
  <si>
    <t>HS0090</t>
  </si>
  <si>
    <t>U-1000 R2V 3G10 CÂBLÉ NOIRE</t>
  </si>
  <si>
    <t>CA.232</t>
  </si>
  <si>
    <t>HS0091</t>
  </si>
  <si>
    <t>U-1000 R2V 4X10 CÂBLÉ NOIRE</t>
  </si>
  <si>
    <t>CA.233</t>
  </si>
  <si>
    <t>HS0092</t>
  </si>
  <si>
    <t>U-1000 R2V 4G10 CÂBLÉ NOIRE</t>
  </si>
  <si>
    <t>CA.234</t>
  </si>
  <si>
    <t>HS0093</t>
  </si>
  <si>
    <t>U-1000 R2V  5G10 CÂBLÉ NOIRE</t>
  </si>
  <si>
    <t>CA.235</t>
  </si>
  <si>
    <t>HS0095</t>
  </si>
  <si>
    <t>U-1000 R2V  2X16 CÂBLÉ NOIRE</t>
  </si>
  <si>
    <t>CA.236</t>
  </si>
  <si>
    <t>HS0097</t>
  </si>
  <si>
    <t>U-1000 R2V  3G16 CÂBLÉ NOIRE</t>
  </si>
  <si>
    <t>CA.237</t>
  </si>
  <si>
    <t>HS0098</t>
  </si>
  <si>
    <t>U-1000 R2V 4X16 CÂBLÉ NOIRE</t>
  </si>
  <si>
    <t>CA.238</t>
  </si>
  <si>
    <t>HS0099</t>
  </si>
  <si>
    <t>U-1000 R2V   4G16 CÂBLÉ  NOIRE</t>
  </si>
  <si>
    <t>CA.239</t>
  </si>
  <si>
    <t>HS0100</t>
  </si>
  <si>
    <t>U-1000 R2V 5G16 CÂBLÉ NOIRE</t>
  </si>
  <si>
    <t>CA.240</t>
  </si>
  <si>
    <t>HS0101</t>
  </si>
  <si>
    <t>U-1000 R2V 1X25 CÂBLÉ NOIRE</t>
  </si>
  <si>
    <t>CA.241</t>
  </si>
  <si>
    <t>HS0102</t>
  </si>
  <si>
    <t>U-1000 R2V 2 X 25 CÂBLÉ NOIRE</t>
  </si>
  <si>
    <t>CA.242</t>
  </si>
  <si>
    <t>HS0103</t>
  </si>
  <si>
    <t>U-1000 R2V 3X25 CÂBLÉ NOIRE</t>
  </si>
  <si>
    <t>CA.243</t>
  </si>
  <si>
    <t>HS0104</t>
  </si>
  <si>
    <t>U-1000 R2V 3G25 CÂBLÉ NOIRE</t>
  </si>
  <si>
    <t>CA.244</t>
  </si>
  <si>
    <t>HS0105</t>
  </si>
  <si>
    <t>U-1000 R2V 4X25 CÂBLÉ NOIRE</t>
  </si>
  <si>
    <t>CA.245</t>
  </si>
  <si>
    <t>HS0106</t>
  </si>
  <si>
    <t>U-1000 R2V 4G25 CÂBLÉ NOIRE</t>
  </si>
  <si>
    <t>CA.246</t>
  </si>
  <si>
    <t>HS0107</t>
  </si>
  <si>
    <t>U-1000 R2V 5G25 CÂBLÉ NOIRE</t>
  </si>
  <si>
    <t>CA.247</t>
  </si>
  <si>
    <t>HS0108</t>
  </si>
  <si>
    <t>U-1000 R2V 1X35 CÂBLÉ NOIRE</t>
  </si>
  <si>
    <t>CA.248</t>
  </si>
  <si>
    <t>HS0109</t>
  </si>
  <si>
    <t>U-1000 R2V  2X35 CÂBLÉ NOIRE</t>
  </si>
  <si>
    <t>CA.249</t>
  </si>
  <si>
    <t>HS0110</t>
  </si>
  <si>
    <t>U-1000 R2V 3X35 CÂBLÉ NOIRE</t>
  </si>
  <si>
    <t>CA.250</t>
  </si>
  <si>
    <t>HS0111</t>
  </si>
  <si>
    <t>U-1000 R2V 4X35 CÂBLÉ NOIRE</t>
  </si>
  <si>
    <t>CA.251</t>
  </si>
  <si>
    <t>HS0112</t>
  </si>
  <si>
    <t>U-1000 R2V 4G35 CÂBLÉ NOIRE</t>
  </si>
  <si>
    <t>CA.252</t>
  </si>
  <si>
    <t>HS0113</t>
  </si>
  <si>
    <t>U-1000 R2V 5G35 CÂBLÉ NOIRE</t>
  </si>
  <si>
    <t>CA.253</t>
  </si>
  <si>
    <t>HS0114</t>
  </si>
  <si>
    <t>U-1000 R2V 1X50 CÂBLÉ NOIRE</t>
  </si>
  <si>
    <t>CA.254</t>
  </si>
  <si>
    <t>HS0115</t>
  </si>
  <si>
    <t>U-1000 R2V 2X50 CÂBLÉ NOIRE</t>
  </si>
  <si>
    <t>CA.255</t>
  </si>
  <si>
    <t>HS0116</t>
  </si>
  <si>
    <t>U-1000 R2V 3X50 CÂBLÉ NOIRE</t>
  </si>
  <si>
    <t>CA.256</t>
  </si>
  <si>
    <t>HS0117</t>
  </si>
  <si>
    <t>U-1000 R2V 4X50 CÂBLÉ NOIRE</t>
  </si>
  <si>
    <t>CA.257</t>
  </si>
  <si>
    <t>HS0118</t>
  </si>
  <si>
    <t>U-1000 R2V 4G50 CÂBLÉ NOIRE</t>
  </si>
  <si>
    <t>CA.258</t>
  </si>
  <si>
    <t>HS0119</t>
  </si>
  <si>
    <t>U-1000 R2V 5G50 CÂBLÉ NOIRE</t>
  </si>
  <si>
    <t>CA.259</t>
  </si>
  <si>
    <t>HS0120</t>
  </si>
  <si>
    <t>U-1000 R2V 1X70 CÂBLÉ NOIRE</t>
  </si>
  <si>
    <t>CA.260</t>
  </si>
  <si>
    <t>HS0121</t>
  </si>
  <si>
    <t>U-1000 R2V 3 X70 CÂBLÉ NOIRE</t>
  </si>
  <si>
    <t>CA.261</t>
  </si>
  <si>
    <t>HS0122</t>
  </si>
  <si>
    <t>U-1000 R2V 4X70 CÂBLÉ NOIRE</t>
  </si>
  <si>
    <t>CA.262</t>
  </si>
  <si>
    <t>HS0123</t>
  </si>
  <si>
    <t>U-1000 R2V 1X95 CÂBLÉ NOIRE</t>
  </si>
  <si>
    <t>CA.263</t>
  </si>
  <si>
    <t>HS0124</t>
  </si>
  <si>
    <t>U-1000 R2V 3X95 CÂBLÉ NOIRE</t>
  </si>
  <si>
    <t>CA.264</t>
  </si>
  <si>
    <t>HS0125</t>
  </si>
  <si>
    <t>U-1000 R2V 4X95 CÂBLÉ NOIRE</t>
  </si>
  <si>
    <t>CA.265</t>
  </si>
  <si>
    <t>HS0126</t>
  </si>
  <si>
    <t>U-1000 R2V 1X120 CABLE NOIR</t>
  </si>
  <si>
    <t>CA.266</t>
  </si>
  <si>
    <t>HS0127</t>
  </si>
  <si>
    <t>U-1000 R2V 3X120 CÂBLÉ NOIRE</t>
  </si>
  <si>
    <t>CA.267</t>
  </si>
  <si>
    <t>HS0128</t>
  </si>
  <si>
    <t>U-1000 R2V 4X120 CÂBLÉ NOIRE</t>
  </si>
  <si>
    <t>CA.268</t>
  </si>
  <si>
    <t>HS0129</t>
  </si>
  <si>
    <t>U-1000 R2V 1X150 CÂBLÉ NOIRE</t>
  </si>
  <si>
    <t>CA.269</t>
  </si>
  <si>
    <t>HS0130</t>
  </si>
  <si>
    <t>U-1000 R2V 3X150 CÂBLÉ NOIRE</t>
  </si>
  <si>
    <t>CA.270</t>
  </si>
  <si>
    <t>HS0131</t>
  </si>
  <si>
    <t>U-1000 R2V 4X150 CÂBLÉ NOIRE</t>
  </si>
  <si>
    <t>CA.271</t>
  </si>
  <si>
    <t>HS0132</t>
  </si>
  <si>
    <t>U-1000 R2V 1X185 CÂBLÉ NOIRE</t>
  </si>
  <si>
    <t>CA.272</t>
  </si>
  <si>
    <t>HS0133</t>
  </si>
  <si>
    <t>U-1000 R2V 3X185 CÂBLÉ NOIRE</t>
  </si>
  <si>
    <t>CA.273</t>
  </si>
  <si>
    <t>HS0135</t>
  </si>
  <si>
    <t>U-1000 R2V 1X300 CÂBLÉ NOIRE</t>
  </si>
  <si>
    <t>CA.274</t>
  </si>
  <si>
    <t>HS0136</t>
  </si>
  <si>
    <t>U-1000 R2V 1X400 CÂBLÉ NOIRE</t>
  </si>
  <si>
    <t>CA.275</t>
  </si>
  <si>
    <t>HS0138</t>
  </si>
  <si>
    <t>U-1000 R2V 3X50+35 CÂBLÉ  NOIRE</t>
  </si>
  <si>
    <t>CA.276</t>
  </si>
  <si>
    <t>HS0139</t>
  </si>
  <si>
    <t>U-1000 R2V 3X70+35 CÂBLÉ NOIRE</t>
  </si>
  <si>
    <t>CA.277</t>
  </si>
  <si>
    <t>HS0140</t>
  </si>
  <si>
    <t>U-1000 R2V 3X70+50 CÂBLÉ NOIRE</t>
  </si>
  <si>
    <t>CA.278</t>
  </si>
  <si>
    <t>HS0141</t>
  </si>
  <si>
    <t>U-1000 R2V 3X95+50 CÂBLÉ NOIRE</t>
  </si>
  <si>
    <t>CA.279</t>
  </si>
  <si>
    <t>HS0142</t>
  </si>
  <si>
    <t>U-1000 R2V  3X120+70 CÂBLÉ NOIRE</t>
  </si>
  <si>
    <t>CA.280</t>
  </si>
  <si>
    <t>HS0143</t>
  </si>
  <si>
    <t>U-1000 R2V 3X150+70 CÂBLÉ NOIRE</t>
  </si>
  <si>
    <t>CA.281</t>
  </si>
  <si>
    <t>HS0144</t>
  </si>
  <si>
    <t>U-1000 R2V 3X185+70 CÂBLÉ NOIRE</t>
  </si>
  <si>
    <t>CA.282</t>
  </si>
  <si>
    <t>HS0147</t>
  </si>
  <si>
    <t>U-1000 R2V 3X240+95 CÂBLÉ NOIRE</t>
  </si>
  <si>
    <t>CA.283</t>
  </si>
  <si>
    <t>HS0148</t>
  </si>
  <si>
    <t>U-1000 R2V 1X70 MM2 V/J</t>
  </si>
  <si>
    <t>CA.284</t>
  </si>
  <si>
    <t>HS0149</t>
  </si>
  <si>
    <t>U-1000 R2V 1X120 MM2 V/J</t>
  </si>
  <si>
    <t>CA.285</t>
  </si>
  <si>
    <t>HS0150</t>
  </si>
  <si>
    <t>U-1000 R2V  1X185 MM2 V/J</t>
  </si>
  <si>
    <t>CA.286</t>
  </si>
  <si>
    <t>HS0151</t>
  </si>
  <si>
    <t>U 3000R2V 1X120MM2 NOIR</t>
  </si>
  <si>
    <t>CA.287</t>
  </si>
  <si>
    <t>HS0152</t>
  </si>
  <si>
    <t>CABLE NU 25 MM2 CUIVRE</t>
  </si>
  <si>
    <t>CA.288</t>
  </si>
  <si>
    <t>HS0153</t>
  </si>
  <si>
    <t>CABLE K26 RAY 1"1/4</t>
  </si>
  <si>
    <t>CA.289</t>
  </si>
  <si>
    <t>HS0156</t>
  </si>
  <si>
    <t>96 FO MONOMODE MICROGAINE K20</t>
  </si>
  <si>
    <t>CA.290</t>
  </si>
  <si>
    <t>HS0157</t>
  </si>
  <si>
    <t>CABLE COAXIAL KX4 ARME CPR</t>
  </si>
  <si>
    <t>CA.291</t>
  </si>
  <si>
    <t>HS0160</t>
  </si>
  <si>
    <t>U-1000 R2V 1X240MM2  NOIR T250</t>
  </si>
  <si>
    <t>CA.292</t>
  </si>
  <si>
    <t>HS0164</t>
  </si>
  <si>
    <t>CA.293</t>
  </si>
  <si>
    <t>HS0165</t>
  </si>
  <si>
    <t>144 FO MONOMODE MICROGAINE K20</t>
  </si>
  <si>
    <t>CA.294</t>
  </si>
  <si>
    <t>HS0166</t>
  </si>
  <si>
    <t>48 FO MIXTE MICROGAINE K20</t>
  </si>
  <si>
    <t>CA.295</t>
  </si>
  <si>
    <t>HS0169</t>
  </si>
  <si>
    <t>CABLE HTA 1X240MM2 CUIVRE</t>
  </si>
  <si>
    <t>CA.296</t>
  </si>
  <si>
    <t>HS0174</t>
  </si>
  <si>
    <t>60CX1,6MM ROUGE K22 T500</t>
  </si>
  <si>
    <t>CA.297</t>
  </si>
  <si>
    <t>HS0176</t>
  </si>
  <si>
    <t>2 P 10/10 MAUVE ARME K23</t>
  </si>
  <si>
    <t>CA.298</t>
  </si>
  <si>
    <t>HS0178</t>
  </si>
  <si>
    <t>112PA 6/10 NOIR K23</t>
  </si>
  <si>
    <t>CA.299</t>
  </si>
  <si>
    <t>HS0179</t>
  </si>
  <si>
    <t>14PA 10/10 NOIR K23</t>
  </si>
  <si>
    <t>CA.300</t>
  </si>
  <si>
    <t>HS0180</t>
  </si>
  <si>
    <t>CABLE K25 1X6MM2 BLEU T500</t>
  </si>
  <si>
    <t>CA.301</t>
  </si>
  <si>
    <t>HS0181</t>
  </si>
  <si>
    <t>56PA 10/10 ROUGE K23</t>
  </si>
  <si>
    <t>CA.302</t>
  </si>
  <si>
    <t>HS0183</t>
  </si>
  <si>
    <t>4PA 10/10 NOIR K23</t>
  </si>
  <si>
    <t>CA.303</t>
  </si>
  <si>
    <t>HS0185</t>
  </si>
  <si>
    <t>CABLE K25 4X16MM2 NOIR T500</t>
  </si>
  <si>
    <t>CA.304</t>
  </si>
  <si>
    <t>HS0186</t>
  </si>
  <si>
    <t>CABLE K25 4X185MM2 NOIR T100</t>
  </si>
  <si>
    <t>CA.305</t>
  </si>
  <si>
    <t>HS175</t>
  </si>
  <si>
    <t>CABLE K26R COAXIAL R-50 1 1/4</t>
  </si>
  <si>
    <t>CA.306</t>
  </si>
  <si>
    <t>HS176</t>
  </si>
  <si>
    <t>CONNECTEUR K26R 7/8</t>
  </si>
  <si>
    <t>CA.307</t>
  </si>
  <si>
    <t>HS177</t>
  </si>
  <si>
    <t>CONNECTEUR K26R 1/2"</t>
  </si>
  <si>
    <t>CA.308</t>
  </si>
  <si>
    <t>HS178</t>
  </si>
  <si>
    <t>CONNECTEUR K26R 1"1/4</t>
  </si>
  <si>
    <t>Fourniture RATP hors ATLAS</t>
  </si>
  <si>
    <t>Ligne de contrôle : Marché NVF - Automatic System - GDI 19-0038</t>
  </si>
  <si>
    <t>guide configuration présent ici : 
https://servcc.sharepoint.com/:x:/r/sites/-DeploiementTSI/Produits/PEAGES/Passages/NVF/configurateur%20coffres/Configurateur%20NVF%20v5_revision%20de%20prix%20112021.xlsx?d=w2d04211c427e490b938d91e729573c4f&amp;csf=1&amp;web=1&amp;e=unYaGW</t>
  </si>
  <si>
    <t>Les coffres</t>
  </si>
  <si>
    <t xml:space="preserve">Attention les produit complémentaire ci-dessous sont aussi à prévoir </t>
  </si>
  <si>
    <t>Coffres de type A</t>
  </si>
  <si>
    <t xml:space="preserve">Ligne de contrôle </t>
  </si>
  <si>
    <t>u</t>
  </si>
  <si>
    <t>Coffres de type B</t>
  </si>
  <si>
    <t xml:space="preserve">ici prix du bordereau de prix + </t>
  </si>
  <si>
    <t>Coffres de type C</t>
  </si>
  <si>
    <t>Livraison</t>
  </si>
  <si>
    <t xml:space="preserve">Livraison (Jour) </t>
  </si>
  <si>
    <t xml:space="preserve">Livraison (Nuit longue) </t>
  </si>
  <si>
    <t xml:space="preserve">Livraison (Nuit courte) </t>
  </si>
  <si>
    <t>Installation et mise en service</t>
  </si>
  <si>
    <r>
      <t xml:space="preserve">Installation &amp; mise en service  (Jour) </t>
    </r>
    <r>
      <rPr>
        <sz val="10"/>
        <rFont val="Parisine Office"/>
        <family val="2"/>
      </rPr>
      <t xml:space="preserve"> (1)</t>
    </r>
  </si>
  <si>
    <r>
      <t xml:space="preserve">Installation &amp; mise en service  (Nuit longue) </t>
    </r>
    <r>
      <rPr>
        <sz val="10"/>
        <rFont val="Parisine Office"/>
        <family val="2"/>
      </rPr>
      <t xml:space="preserve"> (1)</t>
    </r>
  </si>
  <si>
    <r>
      <t xml:space="preserve">Installation &amp; mise en service  (Nuit courte) </t>
    </r>
    <r>
      <rPr>
        <sz val="10"/>
        <rFont val="Parisine Office"/>
        <family val="2"/>
      </rPr>
      <t xml:space="preserve"> (1)</t>
    </r>
  </si>
  <si>
    <t xml:space="preserve">Equipement à ajouter </t>
  </si>
  <si>
    <t>VELIN 00091</t>
  </si>
  <si>
    <t>Marché M2E180092 PC : eBox-638-842-RATP</t>
  </si>
  <si>
    <t>Marché SIT2000-53</t>
  </si>
  <si>
    <t>Ref Paragon : AH15003901	
ANTENNE ANT581 + câble + CPL528</t>
  </si>
  <si>
    <t>VVAAU 0004G</t>
  </si>
  <si>
    <t>Lecteur magnétique : CAS 411</t>
  </si>
  <si>
    <t>ADUP : Marché ADUP 2018 FLOWBIRD (Parkéon) - GDI 170058</t>
  </si>
  <si>
    <t xml:space="preserve">bordereau complet ici : https://servcc.sharepoint.com/sites/-DeploiementTSI/Bibliothque/Forms/DEP_par_defaut.aspx?id=%2Fsites%2F%2DDeploiementTSI%2FBibliothque%2FMarch%C3%A9s%20Produits%20et%20Travaux%2FProduits%2FMarch%C3%A9%20ADUP%202018%20FLOWBIRD%20%28Park%C3%A9on%29&amp;viewid=150d70a7%2D1c36%2D4428%2D99dc%2Dabf3fee6bb01
</t>
  </si>
  <si>
    <t>Sous-Total série Automate avec fourniture d'une imprimante magnétique, sans module d'acceptation de billet de banque et sans cartes de communication</t>
  </si>
  <si>
    <t>Sous-Total série Automate avec fourniture d'une imprimante magnétique, avec module d'acceptation de billet de banque et sans cartes de communication</t>
  </si>
  <si>
    <t>Sous-Total série Automate avec fourniture des 2 types d'imprimantes (magnétique et télébillettique), avec module d'acceptation de billet de banque et sans cartes de communication</t>
  </si>
  <si>
    <t>Sous-Total série Automate avec fourniture d'une imprimante Télébillettique, sans module d'acceptation de billet de banque et sans cartes de communication</t>
  </si>
  <si>
    <t>Sous-Total série Automate avec fourniture d'une imprimante télébillettique, avec module d'acceptation de billet de banque et sans cartes de communication</t>
  </si>
  <si>
    <t>VI.1.1</t>
  </si>
  <si>
    <t>Conditionnement et livraison</t>
  </si>
  <si>
    <t>P.U</t>
  </si>
  <si>
    <t>VI.1.2</t>
  </si>
  <si>
    <t>Stockage</t>
  </si>
  <si>
    <t>Forfait mensuel et par appareil</t>
  </si>
  <si>
    <t>FR.20</t>
  </si>
  <si>
    <t>VI.1.3</t>
  </si>
  <si>
    <t>Installation de jour</t>
  </si>
  <si>
    <t>FR.21</t>
  </si>
  <si>
    <t>VI.1.4</t>
  </si>
  <si>
    <t>Installation de nuit</t>
  </si>
  <si>
    <t>FR.22</t>
  </si>
  <si>
    <t>VI.1.5</t>
  </si>
  <si>
    <t>Mise en service</t>
  </si>
  <si>
    <t>PO TETRA</t>
  </si>
  <si>
    <t>DVI</t>
  </si>
  <si>
    <t xml:space="preserve">Annexe 3.1 BPU: Etudes, fourniture, déploiement et mise en service de systèmes de Protection de Sites RATP 
  </t>
  </si>
  <si>
    <t>N° de</t>
  </si>
  <si>
    <t>Prix Unitaire H.T.</t>
  </si>
  <si>
    <t>Prix</t>
  </si>
  <si>
    <t>Qté</t>
  </si>
  <si>
    <t>coût</t>
  </si>
  <si>
    <t xml:space="preserve">coefficient </t>
  </si>
  <si>
    <t>Total H.T.</t>
  </si>
  <si>
    <t>hors prestation</t>
  </si>
  <si>
    <t>Prestation Jour</t>
  </si>
  <si>
    <t>Majoration Prestation  Nuit</t>
  </si>
  <si>
    <t>Prestation Nuit
(coût jour*Coeff nuit)</t>
  </si>
  <si>
    <t>Les câbles (Cuivre, Fibre Optique et Coaxiaux) sont fournis par la RATP.</t>
  </si>
  <si>
    <t>A</t>
  </si>
  <si>
    <t>DETECTION ANTI-INTRUSION</t>
  </si>
  <si>
    <r>
      <t xml:space="preserve">Fourniture ,pose et raccordement (déroulage de 50mL câble </t>
    </r>
    <r>
      <rPr>
        <b/>
        <sz val="12"/>
        <color rgb="FFFF0000"/>
        <rFont val="Parisine Office"/>
        <family val="2"/>
      </rPr>
      <t>(alimentation et réseau)</t>
    </r>
    <r>
      <rPr>
        <b/>
        <sz val="12"/>
        <rFont val="Parisine Office"/>
        <family val="2"/>
      </rPr>
      <t xml:space="preserve"> inclus pour le matériel le necessitant et 5mL de CDC secondaire), sans fourniture de licence, de :</t>
    </r>
  </si>
  <si>
    <t>P-A-1</t>
  </si>
  <si>
    <t>coffret 8 entrées déportées</t>
  </si>
  <si>
    <t>P-A-2</t>
  </si>
  <si>
    <t>Dépose d'une barrière 2 colonnes IR</t>
  </si>
  <si>
    <t>P-A-3</t>
  </si>
  <si>
    <t>Radar longue portée</t>
  </si>
  <si>
    <t>P-A-4</t>
  </si>
  <si>
    <t>Radar  courte et large portée</t>
  </si>
  <si>
    <t>P-A-5</t>
  </si>
  <si>
    <t>Radar bureau (mL de déroulage associé négligeable)</t>
  </si>
  <si>
    <t>P-A-6</t>
  </si>
  <si>
    <t>Dépose d'un radar</t>
  </si>
  <si>
    <t>P-A-7</t>
  </si>
  <si>
    <t>Contact porte ou grille</t>
  </si>
  <si>
    <t>P-A-8</t>
  </si>
  <si>
    <t>Dépose d'un contact de porte ou grille</t>
  </si>
  <si>
    <t>P-A-9</t>
  </si>
  <si>
    <t>Centrale d'alarme 48 entrées ,licence Milestone et paramétrage</t>
  </si>
  <si>
    <t>P-A-10</t>
  </si>
  <si>
    <t>Genie Civil en terrain meuble (50mL de tranchée)</t>
  </si>
  <si>
    <t>P-A-11</t>
  </si>
  <si>
    <t>Nacelle/élévateur (Location Jour)</t>
  </si>
  <si>
    <t>P-A-12</t>
  </si>
  <si>
    <t>Forfait livraison Nacelle/élévateur (Aller/Retour)</t>
  </si>
  <si>
    <t>P-A-13</t>
  </si>
  <si>
    <t>Déroulage câble d'alimentation supplémentaire (au-delà des 50mL prévu au forfait)</t>
  </si>
  <si>
    <t>P-A-14</t>
  </si>
  <si>
    <t>Déroulage câble réseau supplémentaire (au-delà des 50mL prévu au forfait)</t>
  </si>
  <si>
    <t>P-A-15</t>
  </si>
  <si>
    <t>Boite de raccordement pour divers capteurs intrusion auto-protégée sur platine</t>
  </si>
  <si>
    <t>P-A-16</t>
  </si>
  <si>
    <t>Borniers interface de raccordement dans baie pour cables intrusion</t>
  </si>
  <si>
    <t>P-A-17</t>
  </si>
  <si>
    <t>Radar laser SICK LMS 131 - 0,5 à 20m</t>
  </si>
  <si>
    <t>P-A-18</t>
  </si>
  <si>
    <t>Radar laser SICK LMS 131 - 0,5 à 30m</t>
  </si>
  <si>
    <t>P-A-19</t>
  </si>
  <si>
    <t>Detecteur OPTEX RLS 3060-SH 30m</t>
  </si>
  <si>
    <t>P-A-20</t>
  </si>
  <si>
    <t>Autres (matériel hors liste)</t>
  </si>
  <si>
    <t>P-A-21</t>
  </si>
  <si>
    <t>P-A-22</t>
  </si>
  <si>
    <t>Accessoires Sick tel que cables de raccordement, visière de protection antivandal et interface de mémoire de forme</t>
  </si>
  <si>
    <t>P-A-23</t>
  </si>
  <si>
    <t>Supports mural inox pour radar SICK et pour tout type d'équipement</t>
  </si>
  <si>
    <t>P-A-24</t>
  </si>
  <si>
    <t>Boitier AXIS A9161 Fourniture + paramétrage + mise en service</t>
  </si>
  <si>
    <t>P-A-25</t>
  </si>
  <si>
    <t>Forfait raccordement au contrôle d'accès existant</t>
  </si>
  <si>
    <t>forfait</t>
  </si>
  <si>
    <t>P-A-26</t>
  </si>
  <si>
    <t>Acastillage mât basculant ( finition pied inox)</t>
  </si>
  <si>
    <t>unité</t>
  </si>
  <si>
    <t>B</t>
  </si>
  <si>
    <r>
      <t>VIDEOSURVEILLANCE</t>
    </r>
    <r>
      <rPr>
        <b/>
        <sz val="11"/>
        <color rgb="FFFF0000"/>
        <rFont val="Arial"/>
        <family val="2"/>
      </rPr>
      <t xml:space="preserve"> (pour les caméras IP(Hors Monobloc) : fonctionnement  simultané en UNICAST et MULTICAST, et capacité à embarquer l'analyse d'images)</t>
    </r>
  </si>
  <si>
    <r>
      <t xml:space="preserve">Fourniture, pose et raccordement (déroulage de 200mL câble </t>
    </r>
    <r>
      <rPr>
        <b/>
        <sz val="11"/>
        <color rgb="FFFF0000"/>
        <rFont val="Arial"/>
        <family val="2"/>
      </rPr>
      <t>(alimentation et réseau)</t>
    </r>
    <r>
      <rPr>
        <b/>
        <sz val="11"/>
        <rFont val="Arial"/>
        <family val="2"/>
      </rPr>
      <t xml:space="preserve"> inclus pour le matériel le necessitant et 5mL de CDC secondaire) de:</t>
    </r>
  </si>
  <si>
    <t>P-B-1</t>
  </si>
  <si>
    <t>caméra monobloc  jour - nuit</t>
  </si>
  <si>
    <t>P-B-2</t>
  </si>
  <si>
    <t>caméra IP thermique</t>
  </si>
  <si>
    <t>P-B-3</t>
  </si>
  <si>
    <t>caméra IP (Jour/Nuit )</t>
  </si>
  <si>
    <t>P-B-4</t>
  </si>
  <si>
    <t xml:space="preserve">projecteur IR </t>
  </si>
  <si>
    <t>P-B-5</t>
  </si>
  <si>
    <t>projecteur IR POE</t>
  </si>
  <si>
    <t>P-B-6</t>
  </si>
  <si>
    <t>suspente caméra murale</t>
  </si>
  <si>
    <t>P-B-7</t>
  </si>
  <si>
    <t>coffret caméra</t>
  </si>
  <si>
    <t>P-B-8</t>
  </si>
  <si>
    <t>coffret caméra discret tunnel</t>
  </si>
  <si>
    <t>P-B-9</t>
  </si>
  <si>
    <t>coffret caméra atelier</t>
  </si>
  <si>
    <t>P-B-10</t>
  </si>
  <si>
    <t>ampli-distributeur VIDEO actif</t>
  </si>
  <si>
    <t>P-B-11</t>
  </si>
  <si>
    <t>Dépose d'une caméra /coffret ou dôme</t>
  </si>
  <si>
    <t>P-B-12</t>
  </si>
  <si>
    <t>Déplacement d'une caméra</t>
  </si>
  <si>
    <t>P-B-13</t>
  </si>
  <si>
    <t>Caméra sur tourelle motorisée  murale</t>
  </si>
  <si>
    <t>P-B-14</t>
  </si>
  <si>
    <t>Caméra sur tourelle motorisée  sur toit</t>
  </si>
  <si>
    <t>P-B-15</t>
  </si>
  <si>
    <t xml:space="preserve">mât fixe caméra </t>
  </si>
  <si>
    <t>P-B-16</t>
  </si>
  <si>
    <t>mât basculant caméra (4 à 6m)</t>
  </si>
  <si>
    <t>P-B-17</t>
  </si>
  <si>
    <t>mât fixe à crémaillère (4 à 6m)</t>
  </si>
  <si>
    <t>P-B-18</t>
  </si>
  <si>
    <t>massif pour poteau caméra en souterrain</t>
  </si>
  <si>
    <t>P-B-19</t>
  </si>
  <si>
    <t>massif pour poteau caméra en extérieur</t>
  </si>
  <si>
    <t>P-B-20</t>
  </si>
  <si>
    <t>Génie civil en terrain meuble avec fouille pour massif et tranchée de 200mL</t>
  </si>
  <si>
    <t>P-B-21</t>
  </si>
  <si>
    <t>Boitier IP over Coax (Maître) sans déroulage de câble</t>
  </si>
  <si>
    <t>P-B-22</t>
  </si>
  <si>
    <t>Boitier IP over Coax (Esclave) sans déroulage de câble</t>
  </si>
  <si>
    <t>P-B-23</t>
  </si>
  <si>
    <t>Caméra avec  Projecteur IR ingtégré</t>
  </si>
  <si>
    <t>P-B-24</t>
  </si>
  <si>
    <t>Déroulage câble d'alimentation supplémentaire (au-delà des 200mL prévu au forfait)</t>
  </si>
  <si>
    <t>P-B-25</t>
  </si>
  <si>
    <t>Déroulage câble réseau supplémentaire (au-delà des 200mL prévu au forfait)</t>
  </si>
  <si>
    <t>P-B-26</t>
  </si>
  <si>
    <t>Boite de raccordement caméra pour platine (vidéo+alim)</t>
  </si>
  <si>
    <t>P-B-27</t>
  </si>
  <si>
    <t xml:space="preserve">Bandeau de protection et distribution alim. caméras dans baie </t>
  </si>
  <si>
    <t>P-B-28</t>
  </si>
  <si>
    <t>Bandeau de raccordement cables vidéo dans baie</t>
  </si>
  <si>
    <t>P-B-29</t>
  </si>
  <si>
    <t>Coffret de protection IP66 IK07 ZH pour "boitier IP over coax esclave" équipé PE+bornier</t>
  </si>
  <si>
    <t>P-B-30</t>
  </si>
  <si>
    <t>Alimentation pour boitier IP over Coax</t>
  </si>
  <si>
    <t>P-B-31</t>
  </si>
  <si>
    <t>Caméra IP DPoC C1402A</t>
  </si>
  <si>
    <t>P-B-32</t>
  </si>
  <si>
    <t>caméra IP haute sensibilité Varifocale pilotée Axis Q1615MKIII</t>
  </si>
  <si>
    <t>P-B-33</t>
  </si>
  <si>
    <t>Caméra dôme IR AXIS P3245-LVE</t>
  </si>
  <si>
    <t>P-B-34</t>
  </si>
  <si>
    <t>Caméra PTZ AXIS P5655-E</t>
  </si>
  <si>
    <t>P-B-35</t>
  </si>
  <si>
    <t>Caméra thermique AXIS Q1951-E 13mm 30 fps</t>
  </si>
  <si>
    <t>P-B-36</t>
  </si>
  <si>
    <t>Caméra dôme IR AXIS P3265-LVE</t>
  </si>
  <si>
    <t>C</t>
  </si>
  <si>
    <t>BAIE TECHNIQUE</t>
  </si>
  <si>
    <t>Fourniture, pose et raccordement  de:</t>
  </si>
  <si>
    <t>P-C-1</t>
  </si>
  <si>
    <t>baie technique 42U chassis fixe</t>
  </si>
  <si>
    <t>P-C-2</t>
  </si>
  <si>
    <t>baie technique 38U chassis fixe</t>
  </si>
  <si>
    <t>P-C-3</t>
  </si>
  <si>
    <t>baie technique 38U chassis pivotant</t>
  </si>
  <si>
    <t>P-C-4</t>
  </si>
  <si>
    <t>baie technique 42U chassis pivotant</t>
  </si>
  <si>
    <t>P-C-5</t>
  </si>
  <si>
    <t>Dépose d'une baie technique</t>
  </si>
  <si>
    <t>P-C-6</t>
  </si>
  <si>
    <t>coffret mural chassis fixe rackable 19''- 10 U</t>
  </si>
  <si>
    <t>P-C-7</t>
  </si>
  <si>
    <t>coffret mural chassis pivotant rackable 19''- 9 U</t>
  </si>
  <si>
    <t>P-C-8</t>
  </si>
  <si>
    <t>Dépose d'un coffret</t>
  </si>
  <si>
    <t>P-C-9</t>
  </si>
  <si>
    <t>Onduleur</t>
  </si>
  <si>
    <t>P-C-10</t>
  </si>
  <si>
    <t>Déport KVM  DVI-D USB 2.0  50m - Fourniture + pose (non manageable)</t>
  </si>
  <si>
    <t>P-C-11</t>
  </si>
  <si>
    <t>Déport KVM  DVI-D USB 2.0  130m - Fourniture + pose (non manageable)</t>
  </si>
  <si>
    <t>P-C-12</t>
  </si>
  <si>
    <t>Switch rackable KVM HD 12p/DVI TP FR- Fourniture + pose (non manageable)</t>
  </si>
  <si>
    <t>P-C-13</t>
  </si>
  <si>
    <t xml:space="preserve">Baie 42U 800x800 ou spécifique </t>
  </si>
  <si>
    <t>P-C-14</t>
  </si>
  <si>
    <t xml:space="preserve">Forfait modification baie type PDS  </t>
  </si>
  <si>
    <t>P-C-15</t>
  </si>
  <si>
    <t xml:space="preserve">Socle 800x800 ou chaise </t>
  </si>
  <si>
    <t>P-C-16</t>
  </si>
  <si>
    <t>Boitier IP over Coax (Maître)  ECP-2816RM : - Fourniture + installation + paramétrage + câble</t>
  </si>
  <si>
    <t>P-C-17</t>
  </si>
  <si>
    <t>Boitier IP over Coax (Esclave) ECP-2701  - Fourniture</t>
  </si>
  <si>
    <t>P-C-18</t>
  </si>
  <si>
    <t>Upgrade firware lan extender V3 à V4k (avant mise en service du site)</t>
  </si>
  <si>
    <t>P-C-19</t>
  </si>
  <si>
    <t>Jarttièrage sur baie local technique</t>
  </si>
  <si>
    <t>D</t>
  </si>
  <si>
    <t>LOGE GARDIEN</t>
  </si>
  <si>
    <t>Fourniture, pose et raccordement (déroulage de câble local inclus pour la matériel le necessitant) de:</t>
  </si>
  <si>
    <t>P-D-1</t>
  </si>
  <si>
    <t>moniteur vidéo 17"</t>
  </si>
  <si>
    <t>P-D-2</t>
  </si>
  <si>
    <t>moniteur vidéo 19"</t>
  </si>
  <si>
    <t>P-D-3</t>
  </si>
  <si>
    <t>moniteur vidéo 20"</t>
  </si>
  <si>
    <t>P-D-4</t>
  </si>
  <si>
    <t>moniteur vidéo 21"</t>
  </si>
  <si>
    <t>P-D-5</t>
  </si>
  <si>
    <t>Dépose d'un moniteur</t>
  </si>
  <si>
    <t>P-D-6</t>
  </si>
  <si>
    <t>Clavier Joystick de contrôle</t>
  </si>
  <si>
    <t>P-D-7</t>
  </si>
  <si>
    <t>fourniture de Matrice 16 entrées  et 100mL de déroulage</t>
  </si>
  <si>
    <t>P-D-8</t>
  </si>
  <si>
    <t>Configuration de Matrice</t>
  </si>
  <si>
    <t>P-D-9</t>
  </si>
  <si>
    <t xml:space="preserve">puce pour pointeau rondier </t>
  </si>
  <si>
    <t>P-D-10</t>
  </si>
  <si>
    <t>IHM de commutation locale</t>
  </si>
  <si>
    <t>P-D-11</t>
  </si>
  <si>
    <t>IHM type PCSP en local</t>
  </si>
  <si>
    <t>E</t>
  </si>
  <si>
    <t>PLATEFORME DE TESTS (documentation incluse)</t>
  </si>
  <si>
    <t>P-E-1</t>
  </si>
  <si>
    <t>évolution de la plateforme de tests</t>
  </si>
  <si>
    <t>OUTIL STATISTIQUE (documentation incluse)</t>
  </si>
  <si>
    <t>P-F-1</t>
  </si>
  <si>
    <t>Fourniture de l'outil</t>
  </si>
  <si>
    <t>G</t>
  </si>
  <si>
    <t>RESEAU FIBRE OPTIQUE</t>
  </si>
  <si>
    <t>Fourniture et pose de:</t>
  </si>
  <si>
    <t>P-G-1</t>
  </si>
  <si>
    <t>Tiroir optique 12 Fo Multimode (hors jarretière) avec pigtails</t>
  </si>
  <si>
    <t>P-G-2</t>
  </si>
  <si>
    <t>Tiroir optique 24Fo Monomode (hors jarretière) avec pigtails</t>
  </si>
  <si>
    <t>P-G-3</t>
  </si>
  <si>
    <t>Raccordement et mesures  câble 24FO Monomode (des 2 côtés du câble)</t>
  </si>
  <si>
    <t>P-G-4</t>
  </si>
  <si>
    <t>Déroulage FO</t>
  </si>
  <si>
    <t>P-G-5</t>
  </si>
  <si>
    <t>Création Réseau jusqu'à 2 circuits</t>
  </si>
  <si>
    <t>H</t>
  </si>
  <si>
    <t>ETUDES,SUIVI (documentation incluse)</t>
  </si>
  <si>
    <t xml:space="preserve">P-H-1 </t>
  </si>
  <si>
    <t>Suivi de projet SI et IHM</t>
  </si>
  <si>
    <t>P-H-2</t>
  </si>
  <si>
    <t>Suivi de projet Sites</t>
  </si>
  <si>
    <t>P-H-3</t>
  </si>
  <si>
    <t>Etudes  Si et IHM</t>
  </si>
  <si>
    <t>P-H-4</t>
  </si>
  <si>
    <t>Etudes  Sites</t>
  </si>
  <si>
    <t>P-H-5</t>
  </si>
  <si>
    <t xml:space="preserve"> Réalisation, OPR et VAT Sites (Prestations Installation Serveurs et mises en Baie comprises)</t>
  </si>
  <si>
    <t>P-H-6</t>
  </si>
  <si>
    <t xml:space="preserve"> VAF Plateforme Sites</t>
  </si>
  <si>
    <t>P-H-7</t>
  </si>
  <si>
    <t xml:space="preserve"> VAF Prod Sites</t>
  </si>
  <si>
    <t>P-H-8</t>
  </si>
  <si>
    <t>OPR et VAT Plateforme IHM</t>
  </si>
  <si>
    <t>P-H-9</t>
  </si>
  <si>
    <t>Réalisation , OPR et VAT  IHM au PCSP</t>
  </si>
  <si>
    <t>P-H-10</t>
  </si>
  <si>
    <t>VAF Plateforme IHM</t>
  </si>
  <si>
    <t>P-H-11</t>
  </si>
  <si>
    <t>VAF Prod IHM</t>
  </si>
  <si>
    <t>P-H-12</t>
  </si>
  <si>
    <t>VSR IHM</t>
  </si>
  <si>
    <t>P-H-13</t>
  </si>
  <si>
    <t>VSR Sites</t>
  </si>
  <si>
    <t>P-H-14</t>
  </si>
  <si>
    <t>Dossier d'Ouvrage Exécuté (DOE) Site</t>
  </si>
  <si>
    <t>P-H-15</t>
  </si>
  <si>
    <t>Dossier d'Ouvrage Exécuté (DOE) IHM</t>
  </si>
  <si>
    <t>P-H-16</t>
  </si>
  <si>
    <t>Plus value OPR de nuit d'un site</t>
  </si>
  <si>
    <t>P-H-17</t>
  </si>
  <si>
    <t>VAT serveur (et livrable associé)</t>
  </si>
  <si>
    <t>P-H-18</t>
  </si>
  <si>
    <t>VAT Lan Extender maître (et livrable associé)</t>
  </si>
  <si>
    <t>I</t>
  </si>
  <si>
    <t>Paramètrage et Configuration</t>
  </si>
  <si>
    <t xml:space="preserve">P-I-1 </t>
  </si>
  <si>
    <t>Fourniture PACK 32 Licences enregistrement Caméras</t>
  </si>
  <si>
    <t>P-I-2</t>
  </si>
  <si>
    <t>Fourniture Licence enregistrement MILESTONE CORPORATE ou compatible MILESTONE</t>
  </si>
  <si>
    <t>P-I-3</t>
  </si>
  <si>
    <t xml:space="preserve"> Pack Licence  enregistrement MILESTONE CORPORATE ou compatible MILESTONE 5 unités</t>
  </si>
  <si>
    <t>P-I-4</t>
  </si>
  <si>
    <t xml:space="preserve"> Pack Licence enregistrement MILESTONE CORPORATE ou compatible MILESTONE 10 unités</t>
  </si>
  <si>
    <t>P-I-5</t>
  </si>
  <si>
    <t xml:space="preserve"> Pack Licence enregistrement MILESTONE CORPORATE ou compatible MILESTONE 15 unités</t>
  </si>
  <si>
    <t>P-I-6</t>
  </si>
  <si>
    <t>Installation et configuration Licence d'enregistrement Caméra par site</t>
  </si>
  <si>
    <t>P-I-7</t>
  </si>
  <si>
    <t>Installation et configuration Licence d'enregistrement en MILESTONE par site</t>
  </si>
  <si>
    <t>P-I-8</t>
  </si>
  <si>
    <t>Fourniture licence d'analyse d'image  pour 1 algorithme</t>
  </si>
  <si>
    <t>P-I-9</t>
  </si>
  <si>
    <t>Fourniture licence d'analyse d'image pour 2 algorithmes</t>
  </si>
  <si>
    <t>P-I-10</t>
  </si>
  <si>
    <t>Fourniture  licence d'analyse d'image pour algorithmes illimités</t>
  </si>
  <si>
    <t>P-I-11</t>
  </si>
  <si>
    <t>Configuration licence d'analyse d'image pour 5 voies</t>
  </si>
  <si>
    <t>P-I-12</t>
  </si>
  <si>
    <t>Configuration licence d'analyse d'image pour 15 voies</t>
  </si>
  <si>
    <t>P-I-13</t>
  </si>
  <si>
    <t>Configuration licence d'analyse d'image pour 30 voies</t>
  </si>
  <si>
    <t>P-I-14</t>
  </si>
  <si>
    <t>Ajout d'un site dans l'IHM centrale</t>
  </si>
  <si>
    <t>P-I-15</t>
  </si>
  <si>
    <t>Fourniture autres licences</t>
  </si>
  <si>
    <t>P-I-16</t>
  </si>
  <si>
    <t>P-I-17</t>
  </si>
  <si>
    <t>J</t>
  </si>
  <si>
    <t>MAINTENANCE de Type 1 pour 12 mois (documentation incluse)</t>
  </si>
  <si>
    <t xml:space="preserve">P-J-1 </t>
  </si>
  <si>
    <t>Maintenance Matériel d'un Site pour la 1ere année (pendant la garantie)</t>
  </si>
  <si>
    <t>P-J-2</t>
  </si>
  <si>
    <t>Maintenance Matériel d'un Site hors garantie</t>
  </si>
  <si>
    <t>P-J-3</t>
  </si>
  <si>
    <t>Maintenance Logiciel d'un site pour la 1ere année (pendant la garantie)</t>
  </si>
  <si>
    <t>P-J-4</t>
  </si>
  <si>
    <t>Maintenance Logiciel d'un site hors garantie</t>
  </si>
  <si>
    <t>P-J-5</t>
  </si>
  <si>
    <t>Maintenance Logiciel solution centralisée</t>
  </si>
  <si>
    <t>P-J-6</t>
  </si>
  <si>
    <t>Maintenance Logiciel  SI/IHM (réassurance IHM comprise)</t>
  </si>
  <si>
    <t>P-J-7</t>
  </si>
  <si>
    <t>Maintenance Logiciel PCC et Bagneux</t>
  </si>
  <si>
    <t>P-J-8</t>
  </si>
  <si>
    <t>Stock de maintenance (3% du matériel commandé pour les 7 sites prioritaires)</t>
  </si>
  <si>
    <t>P-J-9</t>
  </si>
  <si>
    <t>Fourniture réassurance 1 an par caméra</t>
  </si>
  <si>
    <t>P-J-10</t>
  </si>
  <si>
    <t xml:space="preserve">Fourniture  réassurance 1 an MILESTONE XPROTECT CORPORATE CARE PLUS </t>
  </si>
  <si>
    <t>P-J-11</t>
  </si>
  <si>
    <t>Fourniture  réassurance  enregistrement 1 an MILESTONE XPROTECT CORPORATE CARE PLUS ou compatible MILESTONE XPROTECT CORPORATE CARE PLUS par voie</t>
  </si>
  <si>
    <t>P-J-12</t>
  </si>
  <si>
    <t>Fourniture reassurance enregistrement 1 an Milestone Xprotect Corporate  Premium ou compatible  Milestone Xprotect Corporate  Premium par voie</t>
  </si>
  <si>
    <t>P-J-13</t>
  </si>
  <si>
    <t>Fourniture  réassurance 1 an d'analyse d'image illimitée par voie</t>
  </si>
  <si>
    <t>P-J-14</t>
  </si>
  <si>
    <t>Fourniture  réassurance 1 an CENTRALE D' ALARME</t>
  </si>
  <si>
    <t>P-J-15</t>
  </si>
  <si>
    <t>Fourniture  réassurance 1 an IHM locale type PCSP</t>
  </si>
  <si>
    <t>P-J-4.1</t>
  </si>
  <si>
    <t>Maintenance Logiciel d'un site hors garantie
1 serveur physique avec Analyse d'image : Application Milestone (Milestone) + Proxy Agent VI (Agent VI)</t>
  </si>
  <si>
    <t>Correspond à un site qui contient une loge gardien avec un Smart Client Milestone dessus et/ou de l'analyse d'image
Remplace P-J-4</t>
  </si>
  <si>
    <t>P-J-4.2</t>
  </si>
  <si>
    <t>Maintenance Logiciel d'un site hors garantie
1 serveur physique avec enregistreur : Application Milestone (Milestone)</t>
  </si>
  <si>
    <t>Correspond à un site qui remonte sur AppVision centralisé et qui contient une loge gardien avec un Smart Client Milestone dessus et/ou de l'analyse d'image
Remplace P-J-4</t>
  </si>
  <si>
    <t>P-J-6.1</t>
  </si>
  <si>
    <r>
      <rPr>
        <b/>
        <sz val="12"/>
        <rFont val="Parisine Office"/>
        <family val="2"/>
      </rPr>
      <t xml:space="preserve">Maintenance Logiciel  SI/IHM (réassurance IHM comprise)
</t>
    </r>
    <r>
      <rPr>
        <sz val="12"/>
        <rFont val="Parisine Office"/>
        <family val="2"/>
      </rPr>
      <t>Logicielle AppVision Serveur centraux à Chanzy (4 serveurs)
2 serveurs en Cluster : Appvision (PRYSM) + SAV VI (Agent VI) + Base de donnée MS-SQL 2014 (Microsoft)
1 serveur de statistique : Base de donnée MS-SQL 2014 (Microsoft) + Application Web IIS Statistique
1 serveur de cartographie : OS Linux Cent-OS; Open Street MAP (open source)</t>
    </r>
  </si>
  <si>
    <t>Remplace P-J-6</t>
  </si>
  <si>
    <t>P-J-6.2</t>
  </si>
  <si>
    <r>
      <rPr>
        <b/>
        <sz val="12"/>
        <rFont val="Parisine Office"/>
        <family val="2"/>
      </rPr>
      <t xml:space="preserve">Maintenance Logiciel  Analyse d'image Centralisé (DIV) pendant la garantie (13 x P-J-3) (Mise en service Mai 2022)
</t>
    </r>
    <r>
      <rPr>
        <sz val="12"/>
        <rFont val="Parisine Office"/>
        <family val="2"/>
      </rPr>
      <t>Logicielle AppVision Serveur centraux à BELLIARD (5 serveurs)
2 serveurs en Cluster : SAV VI lbs agent (Agent VI) + Base de donnée MS-SQL 20xx (Microsoft)
3 serveurs d'application: SAV VI (Agent VI)</t>
    </r>
  </si>
  <si>
    <t>Il y a moins de serveurs à analyser donc un peu moins de problèmes concernant le système d'exploitation, les disques, etc… 
mais le nombre de capteurs reste le même et on rajoute de la redondance sur le système donc de la complexité logicielle
Remplace P-J-6</t>
  </si>
  <si>
    <t>P-J-6.3</t>
  </si>
  <si>
    <r>
      <rPr>
        <b/>
        <sz val="12"/>
        <rFont val="Parisine Office"/>
        <family val="2"/>
      </rPr>
      <t xml:space="preserve">Maintenance Logiciel  Analyse d'image Centralisé (DIV) hors garantie (13 x P-J-3)
</t>
    </r>
    <r>
      <rPr>
        <sz val="12"/>
        <rFont val="Parisine Office"/>
        <family val="2"/>
      </rPr>
      <t>Logicielle AppVision Serveur centraux à BELLIARD (5 serveurs)
2 serveurs en Cluster : SAV VI lbs agent (Agent VI) + Base de donnée MS-SQL 20xx (Microsoft)
3 serveurs d'application: SAV VI (Agent VI)</t>
    </r>
  </si>
  <si>
    <t>Il y a moins de serveurs à analyser donc un peu moins de problèmes concernant le système d'exploitation, les disques, etc… 
mais le nombre de capteurs reste le même donc le risque de fausses alarmes est le même et on rajoute de la redondance sur le système donc de la complexité logicielle
Remplace P-J-6</t>
  </si>
  <si>
    <t>P-J-7.1</t>
  </si>
  <si>
    <t>Maintenance Logiciel PCC
1 serveur physique avec Analyse d'image : Application Milestone (Milestone) + Proxy Agent VI (Agent VI) ?</t>
  </si>
  <si>
    <t>Correspond à un site qui fonctionne uniquement en local avec de l'analyse d'image et un Smart Client sans lien avec AppVision centralisé de Chanzy. 
A partir du moment où il est migré le prix passe au P-J-2.1
Remplace P-J-7</t>
  </si>
  <si>
    <t>P-J-7.2</t>
  </si>
  <si>
    <t>Maintenance Logiciel Bagneux
1 serveur physique avec Analyse d'image : Application Milestone (Milestone) + Proxy Agent VI (Agent VI) ?</t>
  </si>
  <si>
    <t>Une fois que le site sera migré, il correpondra au P-J-2.1.On ne le reprendra pas en maintenance tant qu'il ne sera pas migré.
Remplace P-J-7</t>
  </si>
  <si>
    <t>L</t>
  </si>
  <si>
    <t>FORMATION</t>
  </si>
  <si>
    <t xml:space="preserve">P-L-1 </t>
  </si>
  <si>
    <t>Préparation initiale des formations
(pour la 1ere session de l'ensemble
 des formations)</t>
  </si>
  <si>
    <t>P-L-2</t>
  </si>
  <si>
    <t>Formation Administrateur (1 session pour 10 pers maxi)</t>
  </si>
  <si>
    <t>P-L-3</t>
  </si>
  <si>
    <t>Formation Utilisateur  (1 session pour 10 pers maxi)</t>
  </si>
  <si>
    <t>P-L-4</t>
  </si>
  <si>
    <t>Formation Mainteneur  (1 session pour 5 pers maxi)</t>
  </si>
  <si>
    <t>PCSP</t>
  </si>
  <si>
    <t>P-M-1</t>
  </si>
  <si>
    <t>Poste opérateur</t>
  </si>
  <si>
    <t>P-M-2</t>
  </si>
  <si>
    <t>Iicence IHM</t>
  </si>
  <si>
    <t>P-M-3</t>
  </si>
  <si>
    <t>Ecran mural</t>
  </si>
  <si>
    <t>N</t>
  </si>
  <si>
    <t>MAIN D'ŒUVRE</t>
  </si>
  <si>
    <t>P-N-1</t>
  </si>
  <si>
    <t>Taux horaire Technicien (jour = de 06h00 à22h00)</t>
  </si>
  <si>
    <t>P-N-2</t>
  </si>
  <si>
    <t>Taux horaire Ingénieur (jour = de 06h00 à22h00)</t>
  </si>
  <si>
    <t>P-N-3</t>
  </si>
  <si>
    <t>Taux horaire CdP</t>
  </si>
  <si>
    <t>P-N-4</t>
  </si>
  <si>
    <t>Taux horaire autre profil (jour = de 06h00 à22h00)</t>
  </si>
  <si>
    <t>P-N-5</t>
  </si>
  <si>
    <t>Indemnité Nuit Annulée le jour dit avant 18H00</t>
  </si>
  <si>
    <t>P-N-6</t>
  </si>
  <si>
    <t>Indemnité Nuit annulée le jour dit 
entre 18H00 et 06H00</t>
  </si>
  <si>
    <t>P-N-7</t>
  </si>
  <si>
    <t>Indemnité pour dérangement</t>
  </si>
  <si>
    <t>P-N-8</t>
  </si>
  <si>
    <t>Forfait intervention en sous-section 4 (4 percements pour pose équipement dans une même zone) hors traitement</t>
  </si>
  <si>
    <t>P-N-9</t>
  </si>
  <si>
    <t>Forfait intervention en sous-section 4 de nuit  (4 percements pour pose équipemen et CDC) hors traitement</t>
  </si>
  <si>
    <t>P-N-10</t>
  </si>
  <si>
    <t>Mode opératoire pour travail en Sous-section 4</t>
  </si>
  <si>
    <t>P-N-11</t>
  </si>
  <si>
    <t>Traitement des déchets amiantés pour 4 percements</t>
  </si>
  <si>
    <t>P-N-12</t>
  </si>
  <si>
    <t>Forfait PIE (pour une entreprise)</t>
  </si>
  <si>
    <t>P-N-13</t>
  </si>
  <si>
    <t xml:space="preserve"> Départ electrique 20A 30ma dégivrage</t>
  </si>
  <si>
    <t>O</t>
  </si>
  <si>
    <t>Extension de la plage d'intervention ou de maintenance</t>
  </si>
  <si>
    <t>P-O-1</t>
  </si>
  <si>
    <t>Coef de majoration pour extension à 5J/7J  et 24h/24h</t>
  </si>
  <si>
    <t>coeff</t>
  </si>
  <si>
    <t>P-O-2</t>
  </si>
  <si>
    <t>Coef de majoration pour extension à 7J/7J  et 08h-18h00</t>
  </si>
  <si>
    <t>P-O-3</t>
  </si>
  <si>
    <t>Coef de majoration pour extension à 7J/7J  et 24h/24h</t>
  </si>
  <si>
    <t>Pourcentage réassurance annuelle de l'IHM</t>
  </si>
  <si>
    <t>P-P-1</t>
  </si>
  <si>
    <t>taux de réassurance annuelle de l'IHM par rapport au coût d'acquisition des licences</t>
  </si>
  <si>
    <t>Prix inital</t>
  </si>
  <si>
    <t>TAUX HORAIRES</t>
  </si>
  <si>
    <t>Prix de Jour
( 6hoo à 22hoo)</t>
  </si>
  <si>
    <t>Prix de Nuit
(22hoo à 6hoo)</t>
  </si>
  <si>
    <t>Catégories</t>
  </si>
  <si>
    <t>Prix de Nuit 
(22hoo à 6h00)</t>
  </si>
  <si>
    <t>Prix de Nuit
(22hoo à 6h00)</t>
  </si>
  <si>
    <t>Prix de Jour
 6hoo à 22hoo)</t>
  </si>
  <si>
    <t>Prix de Jour
( 6hoo à 22hoo) initial</t>
  </si>
  <si>
    <t>Prix de Nuit 
(22hoo à 6h00) initial</t>
  </si>
  <si>
    <t>Prix de Nuit
(22hoo à 6h00) initial</t>
  </si>
  <si>
    <t>Monteur/Cableur</t>
  </si>
  <si>
    <t>Technicien</t>
  </si>
  <si>
    <t>Chef de Chantier</t>
  </si>
  <si>
    <t>Ingenieur</t>
  </si>
  <si>
    <t>Dessinateur</t>
  </si>
  <si>
    <t>Projeteur</t>
  </si>
  <si>
    <t>Tableau des coefficients</t>
  </si>
  <si>
    <t xml:space="preserve">Majoration
%  </t>
  </si>
  <si>
    <t>Coefficient dépendant des conditions de travail</t>
  </si>
  <si>
    <t>M1</t>
  </si>
  <si>
    <t>Pour des travaux effectués les dimanche et jour férié à la demande de la RATP</t>
  </si>
  <si>
    <t>Application des coefficients</t>
  </si>
  <si>
    <t>GENERALITES</t>
  </si>
  <si>
    <t xml:space="preserve">Les prix des différents travaux figurant dans les tableaux du présent bordereau sont susceptibles de recevoir l'application d'une modification de prix de base en plus ou en moins qui tient compte des conditions particulières d'exécution.  </t>
  </si>
  <si>
    <t>APPLICATION DE FORMULES</t>
  </si>
  <si>
    <t xml:space="preserve">pb : =  prix de base </t>
  </si>
  <si>
    <t>pm : =  prix modifié</t>
  </si>
  <si>
    <t>Mi : = somme des coeficients de majoration</t>
  </si>
  <si>
    <t>La formule est :</t>
  </si>
  <si>
    <t>pm = pb x (1 + Mi)</t>
  </si>
  <si>
    <t>Exemple : Un coefficient de 25% équivaux à multiplier par 1,25 le prix de la prestation ou du taux horaire</t>
  </si>
  <si>
    <t>Le prix modifié est arrondi à l'euro inférieur pour la part comprise entre 0 et 0,5 euros</t>
  </si>
  <si>
    <t>Coefficient pour achat fourniture hors BPU</t>
  </si>
  <si>
    <t xml:space="preserve">Date de révision </t>
  </si>
  <si>
    <t>Phase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</si>
</sst>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5" formatCode="#,##0\ &quot;€&quot;;\-#,##0\ &quot;€&quot;"/>
    <numFmt numFmtId="8" formatCode="#,##0.00\ &quot;€&quot;;[Red]\-#,##0.00\ &quot;€&quot;"/>
    <numFmt numFmtId="44" formatCode="_-* #,##0.00\ &quot;€&quot;_-;\-* #,##0.00\ &quot;€&quot;_-;_-* &quot;-&quot;??\ &quot;€&quot;_-;_-@_-"/>
    <numFmt numFmtId="43" formatCode="_-* #,##0.00_-;\-* #,##0.00_-;_-* &quot;-&quot;??_-;_-@_-"/>
    <numFmt numFmtId="164" formatCode="#,##0.00\ &quot;€&quot;"/>
    <numFmt numFmtId="165" formatCode="0.0%"/>
    <numFmt numFmtId="166" formatCode="_-* #,##0\ &quot;€&quot;_-;\-* #,##0\ &quot;€&quot;_-;_-* &quot;-&quot;??\ &quot;€&quot;_-;_-@_-"/>
    <numFmt numFmtId="167" formatCode="#,##0\ &quot;€&quot;"/>
    <numFmt numFmtId="168" formatCode="_-* #,##0\ [$€-40C]_-;\-* #,##0\ [$€-40C]_-;_-* &quot;-&quot;??\ [$€-40C]_-;_-@_-"/>
    <numFmt numFmtId="169" formatCode="_-[$$-409]* #,##0.00_ ;_-[$$-409]* \-#,##0.00\ ;_-[$$-409]* &quot;-&quot;??_ ;_-@_ "/>
    <numFmt numFmtId="170" formatCode="0.00000"/>
    <numFmt numFmtId="171" formatCode="_-* #,##0.00\ _F_-;\-* #,##0.00\ _F_-;_-* &quot;-&quot;??\ _F_-;_-@_-"/>
    <numFmt numFmtId="172" formatCode="_-* #,##0.00\ [$€-40C]_-;\-* #,##0.00\ [$€-40C]_-;_-* &quot;-&quot;??\ [$€-40C]_-;_-@_-"/>
    <numFmt numFmtId="173" formatCode="#,##0.00_ ;\-#,##0.00\ "/>
    <numFmt numFmtId="174" formatCode="#,##0.00\ &quot;F&quot;;\-#,##0.00\ &quot;F&quot;"/>
    <numFmt numFmtId="175" formatCode="#,##0.00\ [$€-40C];\-#,##0.00\ [$€-40C]"/>
    <numFmt numFmtId="176" formatCode="#,##0.00\ &quot;F&quot;;[Red]\-#,##0.00\ &quot;F&quot;"/>
    <numFmt numFmtId="177" formatCode="#,##0.00\ \€"/>
    <numFmt numFmtId="178" formatCode="#,##0.00\ _€"/>
  </numFmts>
  <fonts count="78">
    <font>
      <sz val="11"/>
      <color theme="1"/>
      <name val="Calibri"/>
      <family val="2"/>
      <scheme val="minor"/>
    </font>
    <font>
      <sz val="11"/>
      <color theme="1"/>
      <name val="Calibri"/>
      <family val="2"/>
      <scheme val="minor"/>
    </font>
    <font>
      <sz val="10"/>
      <name val="Arial"/>
      <family val="2"/>
    </font>
    <font>
      <b/>
      <sz val="12"/>
      <color theme="0"/>
      <name val="Parisine Office"/>
      <family val="2"/>
    </font>
    <font>
      <b/>
      <sz val="12"/>
      <name val="Parisine Office"/>
      <family val="2"/>
    </font>
    <font>
      <b/>
      <sz val="10"/>
      <name val="Parisine Office"/>
      <family val="2"/>
    </font>
    <font>
      <b/>
      <sz val="11"/>
      <name val="Parisine Office"/>
      <family val="2"/>
    </font>
    <font>
      <sz val="10"/>
      <name val="Parisine Office"/>
      <family val="2"/>
    </font>
    <font>
      <b/>
      <sz val="12"/>
      <color theme="1"/>
      <name val="Parisine Office"/>
      <family val="2"/>
    </font>
    <font>
      <sz val="12"/>
      <name val="Parisine Office"/>
      <family val="2"/>
    </font>
    <font>
      <sz val="12"/>
      <color theme="1"/>
      <name val="Parisine Office"/>
      <family val="2"/>
    </font>
    <font>
      <sz val="12"/>
      <color indexed="8"/>
      <name val="Parisine Office"/>
      <family val="2"/>
    </font>
    <font>
      <sz val="11"/>
      <name val="Parisine Office"/>
      <family val="2"/>
    </font>
    <font>
      <sz val="10"/>
      <color indexed="10"/>
      <name val="Parisine Office"/>
      <family val="2"/>
    </font>
    <font>
      <b/>
      <sz val="11"/>
      <color rgb="FFFF0000"/>
      <name val="Calibri"/>
      <family val="2"/>
      <scheme val="minor"/>
    </font>
    <font>
      <b/>
      <sz val="11"/>
      <color rgb="FF376091"/>
      <name val="Calibri"/>
      <family val="2"/>
    </font>
    <font>
      <b/>
      <i/>
      <sz val="11"/>
      <color rgb="FF808080"/>
      <name val="Calibri"/>
      <family val="2"/>
    </font>
    <font>
      <sz val="11"/>
      <color theme="1"/>
      <name val="Calibri"/>
      <family val="2"/>
    </font>
    <font>
      <sz val="11"/>
      <color theme="1"/>
      <name val="Parisine Office"/>
      <family val="2"/>
    </font>
    <font>
      <sz val="12"/>
      <color rgb="FF009999"/>
      <name val="Parisine Office"/>
      <family val="2"/>
    </font>
    <font>
      <b/>
      <sz val="20"/>
      <color indexed="8"/>
      <name val="Parisine Office"/>
      <family val="2"/>
    </font>
    <font>
      <b/>
      <sz val="11"/>
      <color indexed="9"/>
      <name val="Parisine Office"/>
      <family val="2"/>
    </font>
    <font>
      <sz val="9"/>
      <color rgb="FFFF0000"/>
      <name val="Tahoma"/>
      <family val="2"/>
    </font>
    <font>
      <sz val="10"/>
      <color rgb="FFFF0000"/>
      <name val="Arial"/>
      <family val="2"/>
    </font>
    <font>
      <sz val="9"/>
      <color indexed="8"/>
      <name val="Tahoma"/>
      <family val="2"/>
    </font>
    <font>
      <sz val="10"/>
      <color indexed="8"/>
      <name val="Arial"/>
      <family val="2"/>
    </font>
    <font>
      <sz val="11"/>
      <name val="Calibri"/>
      <family val="2"/>
      <scheme val="minor"/>
    </font>
    <font>
      <b/>
      <i/>
      <sz val="16"/>
      <color rgb="FF808080"/>
      <name val="Calibri"/>
      <family val="2"/>
    </font>
    <font>
      <b/>
      <sz val="16"/>
      <color theme="1"/>
      <name val="Parisine Office"/>
      <family val="2"/>
    </font>
    <font>
      <sz val="16"/>
      <color theme="1"/>
      <name val="Parisine Office"/>
      <family val="2"/>
    </font>
    <font>
      <b/>
      <sz val="18"/>
      <color theme="1"/>
      <name val="Parisine Office"/>
      <family val="2"/>
    </font>
    <font>
      <b/>
      <i/>
      <sz val="11"/>
      <color rgb="FF000000"/>
      <name val="Parisine Office"/>
      <family val="2"/>
    </font>
    <font>
      <sz val="11"/>
      <color indexed="8"/>
      <name val="Parisine Office"/>
      <family val="2"/>
    </font>
    <font>
      <sz val="11"/>
      <color indexed="8"/>
      <name val="Calibri"/>
      <family val="2"/>
    </font>
    <font>
      <b/>
      <sz val="11"/>
      <color rgb="FF000000"/>
      <name val="Parisine Office"/>
      <family val="2"/>
    </font>
    <font>
      <b/>
      <sz val="11"/>
      <color indexed="8"/>
      <name val="Parisine Office"/>
      <family val="2"/>
    </font>
    <font>
      <sz val="11"/>
      <color rgb="FFFF0000"/>
      <name val="Parisine Office"/>
      <family val="2"/>
    </font>
    <font>
      <i/>
      <sz val="11"/>
      <name val="Parisine Office"/>
      <family val="2"/>
    </font>
    <font>
      <b/>
      <i/>
      <sz val="11"/>
      <color indexed="9"/>
      <name val="Parisine Office"/>
      <family val="2"/>
    </font>
    <font>
      <i/>
      <sz val="11"/>
      <color rgb="FFFF0000"/>
      <name val="Parisine Office"/>
      <family val="2"/>
    </font>
    <font>
      <sz val="11"/>
      <color indexed="9"/>
      <name val="Parisine Office"/>
      <family val="2"/>
    </font>
    <font>
      <b/>
      <sz val="14"/>
      <name val="Parisine Office"/>
      <family val="2"/>
    </font>
    <font>
      <b/>
      <sz val="11"/>
      <name val="Calibri"/>
      <family val="2"/>
      <scheme val="minor"/>
    </font>
    <font>
      <b/>
      <sz val="14"/>
      <color theme="1"/>
      <name val="Calibri"/>
      <family val="2"/>
      <scheme val="minor"/>
    </font>
    <font>
      <b/>
      <sz val="12"/>
      <name val="Calibri"/>
      <family val="2"/>
      <scheme val="minor"/>
    </font>
    <font>
      <b/>
      <sz val="12"/>
      <color theme="1"/>
      <name val="Calibri"/>
      <family val="2"/>
      <scheme val="minor"/>
    </font>
    <font>
      <sz val="12"/>
      <name val="Calibri"/>
      <family val="2"/>
      <scheme val="minor"/>
    </font>
    <font>
      <sz val="14"/>
      <color indexed="8"/>
      <name val="Parisine Office"/>
      <family val="2"/>
    </font>
    <font>
      <b/>
      <sz val="22"/>
      <color rgb="FFFFFFFF"/>
      <name val="Parisine Office"/>
      <family val="2"/>
    </font>
    <font>
      <b/>
      <sz val="10"/>
      <color theme="0"/>
      <name val="Parisine Office"/>
      <family val="2"/>
    </font>
    <font>
      <b/>
      <i/>
      <sz val="10"/>
      <color theme="0"/>
      <name val="Parisine Office"/>
      <family val="2"/>
    </font>
    <font>
      <b/>
      <sz val="18"/>
      <color indexed="8"/>
      <name val="Parisine Office"/>
      <family val="2"/>
    </font>
    <font>
      <b/>
      <sz val="20"/>
      <color indexed="9"/>
      <name val="Parisine Office"/>
      <family val="2"/>
    </font>
    <font>
      <sz val="11"/>
      <color theme="1"/>
      <name val="Calibri"/>
      <family val="2"/>
      <charset val="1"/>
    </font>
    <font>
      <i/>
      <sz val="11"/>
      <color indexed="8"/>
      <name val="Parisine Office"/>
      <family val="2"/>
    </font>
    <font>
      <sz val="10"/>
      <color rgb="FF000000"/>
      <name val="Calibri"/>
      <family val="2"/>
      <scheme val="minor"/>
    </font>
    <font>
      <sz val="11"/>
      <color rgb="FF00B050"/>
      <name val="Parisine Office"/>
      <family val="2"/>
    </font>
    <font>
      <b/>
      <sz val="10"/>
      <color theme="1"/>
      <name val="Calibri"/>
      <family val="2"/>
      <scheme val="minor"/>
    </font>
    <font>
      <b/>
      <sz val="9"/>
      <color indexed="81"/>
      <name val="Tahoma"/>
      <family val="2"/>
    </font>
    <font>
      <b/>
      <sz val="18"/>
      <color theme="0"/>
      <name val="Parisine Office"/>
      <family val="2"/>
    </font>
    <font>
      <b/>
      <sz val="9"/>
      <color indexed="8"/>
      <name val="Tahoma"/>
      <family val="2"/>
    </font>
    <font>
      <sz val="10"/>
      <name val="Times New Roman"/>
      <family val="1"/>
    </font>
    <font>
      <sz val="11"/>
      <name val="Arial"/>
      <family val="2"/>
    </font>
    <font>
      <b/>
      <sz val="11"/>
      <name val="Arial"/>
      <family val="2"/>
    </font>
    <font>
      <sz val="12"/>
      <name val="Times New Roman"/>
      <family val="1"/>
    </font>
    <font>
      <sz val="12"/>
      <name val="Arial"/>
      <family val="2"/>
    </font>
    <font>
      <b/>
      <sz val="10"/>
      <name val="Arial"/>
      <family val="2"/>
    </font>
    <font>
      <sz val="12"/>
      <color rgb="FFFF0000"/>
      <name val="Parisine Office"/>
      <family val="2"/>
    </font>
    <font>
      <b/>
      <sz val="11"/>
      <color rgb="FFFF0000"/>
      <name val="Arial"/>
      <family val="2"/>
    </font>
    <font>
      <b/>
      <sz val="12"/>
      <color rgb="FFFF0000"/>
      <name val="Parisine Office"/>
      <family val="2"/>
    </font>
    <font>
      <b/>
      <sz val="18"/>
      <name val="Parisine Office"/>
      <family val="2"/>
    </font>
    <font>
      <i/>
      <sz val="10"/>
      <name val="Parisine Office"/>
      <family val="2"/>
    </font>
    <font>
      <sz val="12"/>
      <color theme="0"/>
      <name val="Parisine Office"/>
      <family val="2"/>
    </font>
    <font>
      <sz val="11"/>
      <color theme="0"/>
      <name val="Calibri"/>
      <family val="2"/>
      <scheme val="minor"/>
    </font>
    <font>
      <b/>
      <u/>
      <sz val="18"/>
      <color theme="0"/>
      <name val="Parisine Office"/>
      <family val="2"/>
    </font>
    <font>
      <b/>
      <u/>
      <sz val="20"/>
      <color theme="0"/>
      <name val="Parisine Office"/>
      <family val="2"/>
    </font>
    <font>
      <b/>
      <sz val="18"/>
      <color theme="1"/>
      <name val="Calibri"/>
      <family val="2"/>
      <scheme val="minor"/>
    </font>
    <font>
      <b/>
      <u/>
      <sz val="20"/>
      <name val="Parisine Office"/>
      <family val="2"/>
    </font>
  </fonts>
  <fills count="44">
    <fill>
      <patternFill patternType="none"/>
    </fill>
    <fill>
      <patternFill patternType="gray125"/>
    </fill>
    <fill>
      <patternFill patternType="solid">
        <fgColor rgb="FF359898"/>
        <bgColor indexed="64"/>
      </patternFill>
    </fill>
    <fill>
      <patternFill patternType="solid">
        <fgColor theme="5" tint="0.59999389629810485"/>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indexed="42"/>
        <bgColor indexed="64"/>
      </patternFill>
    </fill>
    <fill>
      <patternFill patternType="solid">
        <fgColor theme="9" tint="0.79998168889431442"/>
        <bgColor indexed="64"/>
      </patternFill>
    </fill>
    <fill>
      <patternFill patternType="solid">
        <fgColor theme="3" tint="0.59999389629810485"/>
        <bgColor indexed="64"/>
      </patternFill>
    </fill>
    <fill>
      <patternFill patternType="solid">
        <fgColor theme="2"/>
        <bgColor indexed="64"/>
      </patternFill>
    </fill>
    <fill>
      <patternFill patternType="solid">
        <fgColor rgb="FFFFFF00"/>
        <bgColor indexed="64"/>
      </patternFill>
    </fill>
    <fill>
      <patternFill patternType="solid">
        <fgColor rgb="FFFFC000"/>
        <bgColor indexed="64"/>
      </patternFill>
    </fill>
    <fill>
      <patternFill patternType="solid">
        <fgColor rgb="FF349999"/>
        <bgColor indexed="64"/>
      </patternFill>
    </fill>
    <fill>
      <patternFill patternType="solid">
        <fgColor indexed="9"/>
        <bgColor indexed="8"/>
      </patternFill>
    </fill>
    <fill>
      <patternFill patternType="solid">
        <fgColor theme="0"/>
        <bgColor indexed="64"/>
      </patternFill>
    </fill>
    <fill>
      <patternFill patternType="solid">
        <fgColor theme="7"/>
        <bgColor indexed="64"/>
      </patternFill>
    </fill>
    <fill>
      <patternFill patternType="solid">
        <fgColor theme="0" tint="-0.249977111117893"/>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2" tint="-9.9948118533890809E-2"/>
        <bgColor indexed="64"/>
      </patternFill>
    </fill>
    <fill>
      <patternFill patternType="solid">
        <fgColor indexed="22"/>
        <bgColor indexed="64"/>
      </patternFill>
    </fill>
    <fill>
      <patternFill patternType="solid">
        <fgColor indexed="8"/>
        <bgColor indexed="64"/>
      </patternFill>
    </fill>
    <fill>
      <patternFill patternType="solid">
        <fgColor theme="4" tint="0.59996337778862885"/>
        <bgColor indexed="64"/>
      </patternFill>
    </fill>
    <fill>
      <patternFill patternType="solid">
        <fgColor theme="8" tint="0.39997558519241921"/>
        <bgColor indexed="64"/>
      </patternFill>
    </fill>
    <fill>
      <patternFill patternType="solid">
        <fgColor theme="2" tint="-9.9978637043366805E-2"/>
        <bgColor indexed="64"/>
      </patternFill>
    </fill>
    <fill>
      <patternFill patternType="solid">
        <fgColor theme="3" tint="0.39997558519241921"/>
        <bgColor indexed="64"/>
      </patternFill>
    </fill>
    <fill>
      <patternFill patternType="solid">
        <fgColor rgb="FFFFFFCC"/>
        <bgColor indexed="64"/>
      </patternFill>
    </fill>
    <fill>
      <patternFill patternType="solid">
        <fgColor rgb="FFCCFFCC"/>
        <bgColor indexed="64"/>
      </patternFill>
    </fill>
    <fill>
      <patternFill patternType="solid">
        <fgColor rgb="FF8DB4E2"/>
        <bgColor indexed="64"/>
      </patternFill>
    </fill>
    <fill>
      <patternFill patternType="solid">
        <fgColor rgb="FF70D0CE"/>
        <bgColor indexed="64"/>
      </patternFill>
    </fill>
    <fill>
      <patternFill patternType="solid">
        <fgColor rgb="FFFFFFCD"/>
        <bgColor indexed="64"/>
      </patternFill>
    </fill>
    <fill>
      <patternFill patternType="solid">
        <fgColor theme="4" tint="0.59999389629810485"/>
        <bgColor indexed="64"/>
      </patternFill>
    </fill>
    <fill>
      <patternFill patternType="solid">
        <fgColor theme="0" tint="-0.34998626667073579"/>
        <bgColor indexed="64"/>
      </patternFill>
    </fill>
    <fill>
      <patternFill patternType="solid">
        <fgColor indexed="51"/>
        <bgColor indexed="64"/>
      </patternFill>
    </fill>
    <fill>
      <patternFill patternType="solid">
        <fgColor rgb="FFFF0000"/>
        <bgColor indexed="64"/>
      </patternFill>
    </fill>
    <fill>
      <patternFill patternType="solid">
        <fgColor theme="6" tint="0.59999389629810485"/>
        <bgColor indexed="64"/>
      </patternFill>
    </fill>
    <fill>
      <patternFill patternType="solid">
        <fgColor indexed="9"/>
        <bgColor indexed="64"/>
      </patternFill>
    </fill>
    <fill>
      <patternFill patternType="solid">
        <fgColor theme="7" tint="0.59999389629810485"/>
        <bgColor indexed="64"/>
      </patternFill>
    </fill>
    <fill>
      <patternFill patternType="solid">
        <fgColor theme="4" tint="0.39997558519241921"/>
        <bgColor indexed="64"/>
      </patternFill>
    </fill>
    <fill>
      <patternFill patternType="solid">
        <fgColor theme="0" tint="-4.9989318521683403E-2"/>
        <bgColor indexed="64"/>
      </patternFill>
    </fill>
    <fill>
      <patternFill patternType="solid">
        <fgColor rgb="FFFFCCFF"/>
        <bgColor indexed="64"/>
      </patternFill>
    </fill>
  </fills>
  <borders count="89">
    <border>
      <left/>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style="thin">
        <color rgb="FF002060"/>
      </right>
      <top/>
      <bottom style="thin">
        <color indexed="64"/>
      </bottom>
      <diagonal/>
    </border>
    <border>
      <left style="thin">
        <color rgb="FF002060"/>
      </left>
      <right style="thin">
        <color rgb="FF002060"/>
      </right>
      <top/>
      <bottom style="thin">
        <color indexed="64"/>
      </bottom>
      <diagonal/>
    </border>
    <border>
      <left style="thin">
        <color rgb="FF002060"/>
      </left>
      <right style="thin">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right style="medium">
        <color indexed="64"/>
      </right>
      <top style="thin">
        <color indexed="64"/>
      </top>
      <bottom/>
      <diagonal/>
    </border>
    <border>
      <left style="medium">
        <color indexed="64"/>
      </left>
      <right style="medium">
        <color indexed="64"/>
      </right>
      <top style="thin">
        <color indexed="64"/>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right style="medium">
        <color indexed="64"/>
      </right>
      <top/>
      <bottom/>
      <diagonal/>
    </border>
    <border>
      <left style="medium">
        <color indexed="64"/>
      </left>
      <right style="medium">
        <color indexed="64"/>
      </right>
      <top style="dashed">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bottom style="thin">
        <color indexed="64"/>
      </bottom>
      <diagonal/>
    </border>
    <border>
      <left/>
      <right style="medium">
        <color indexed="64"/>
      </right>
      <top style="dashed">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diagonal/>
    </border>
    <border>
      <left style="thin">
        <color rgb="FF002060"/>
      </left>
      <right style="thin">
        <color rgb="FF002060"/>
      </right>
      <top style="thin">
        <color rgb="FF002060"/>
      </top>
      <bottom style="thin">
        <color rgb="FF002060"/>
      </bottom>
      <diagonal/>
    </border>
    <border>
      <left style="thin">
        <color rgb="FF002060"/>
      </left>
      <right/>
      <top style="thin">
        <color rgb="FF002060"/>
      </top>
      <bottom style="thin">
        <color rgb="FF002060"/>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medium">
        <color indexed="64"/>
      </left>
      <right style="medium">
        <color indexed="64"/>
      </right>
      <top style="thin">
        <color indexed="64"/>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rgb="FFA5A5A5"/>
      </left>
      <right/>
      <top style="medium">
        <color rgb="FFA5A5A5"/>
      </top>
      <bottom style="medium">
        <color rgb="FFA5A5A5"/>
      </bottom>
      <diagonal/>
    </border>
    <border>
      <left/>
      <right style="medium">
        <color indexed="64"/>
      </right>
      <top style="thin">
        <color indexed="64"/>
      </top>
      <bottom style="medium">
        <color indexed="64"/>
      </bottom>
      <diagonal/>
    </border>
    <border>
      <left style="thin">
        <color indexed="8"/>
      </left>
      <right style="thin">
        <color indexed="8"/>
      </right>
      <top style="thin">
        <color indexed="8"/>
      </top>
      <bottom/>
      <diagonal/>
    </border>
    <border>
      <left style="thin">
        <color indexed="8"/>
      </left>
      <right style="thin">
        <color indexed="8"/>
      </right>
      <top/>
      <bottom/>
      <diagonal/>
    </border>
    <border>
      <left style="medium">
        <color rgb="FFA5A5A5"/>
      </left>
      <right/>
      <top/>
      <bottom style="medium">
        <color rgb="FFA5A5A5"/>
      </bottom>
      <diagonal/>
    </border>
    <border>
      <left style="thin">
        <color indexed="64"/>
      </left>
      <right/>
      <top/>
      <bottom/>
      <diagonal/>
    </border>
    <border>
      <left/>
      <right style="thin">
        <color indexed="64"/>
      </right>
      <top/>
      <bottom/>
      <diagonal/>
    </border>
    <border>
      <left/>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medium">
        <color rgb="FFA5A5A5"/>
      </right>
      <top/>
      <bottom/>
      <diagonal/>
    </border>
    <border>
      <left style="medium">
        <color indexed="64"/>
      </left>
      <right style="medium">
        <color rgb="FFA5A5A5"/>
      </right>
      <top/>
      <bottom style="medium">
        <color indexed="64"/>
      </bottom>
      <diagonal/>
    </border>
    <border>
      <left style="medium">
        <color rgb="FFA5A5A5"/>
      </left>
      <right/>
      <top style="medium">
        <color rgb="FFA5A5A5"/>
      </top>
      <bottom style="medium">
        <color indexed="64"/>
      </bottom>
      <diagonal/>
    </border>
    <border>
      <left style="thin">
        <color indexed="64"/>
      </left>
      <right style="medium">
        <color indexed="64"/>
      </right>
      <top/>
      <bottom/>
      <diagonal/>
    </border>
    <border>
      <left style="medium">
        <color indexed="64"/>
      </left>
      <right/>
      <top/>
      <bottom style="thin">
        <color indexed="64"/>
      </bottom>
      <diagonal/>
    </border>
    <border>
      <left style="thin">
        <color indexed="64"/>
      </left>
      <right style="medium">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diagonal/>
    </border>
    <border>
      <left style="thin">
        <color indexed="64"/>
      </left>
      <right style="thin">
        <color indexed="64"/>
      </right>
      <top/>
      <bottom/>
      <diagonal/>
    </border>
    <border>
      <left style="medium">
        <color indexed="64"/>
      </left>
      <right style="thin">
        <color indexed="64"/>
      </right>
      <top/>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ck">
        <color indexed="64"/>
      </left>
      <right style="thick">
        <color indexed="64"/>
      </right>
      <top style="thick">
        <color indexed="64"/>
      </top>
      <bottom/>
      <diagonal/>
    </border>
    <border>
      <left style="thick">
        <color indexed="64"/>
      </left>
      <right style="thick">
        <color indexed="64"/>
      </right>
      <top/>
      <bottom/>
      <diagonal/>
    </border>
    <border>
      <left style="thick">
        <color indexed="64"/>
      </left>
      <right style="thick">
        <color indexed="64"/>
      </right>
      <top/>
      <bottom style="thick">
        <color indexed="64"/>
      </bottom>
      <diagonal/>
    </border>
    <border>
      <left style="medium">
        <color indexed="64"/>
      </left>
      <right/>
      <top style="thin">
        <color indexed="64"/>
      </top>
      <bottom style="thin">
        <color indexed="64"/>
      </bottom>
      <diagonal/>
    </border>
  </borders>
  <cellStyleXfs count="10">
    <xf numFmtId="0" fontId="0" fillId="0" borderId="0"/>
    <xf numFmtId="44" fontId="1" fillId="0" borderId="0" applyFont="0" applyFill="0" applyBorder="0" applyAlignment="0" applyProtection="0"/>
    <xf numFmtId="9" fontId="1" fillId="0" borderId="0" applyFont="0" applyFill="0" applyBorder="0" applyAlignment="0" applyProtection="0"/>
    <xf numFmtId="0" fontId="2" fillId="0" borderId="0"/>
    <xf numFmtId="0" fontId="2" fillId="0" borderId="0"/>
    <xf numFmtId="43" fontId="1" fillId="0" borderId="0" applyFont="0" applyFill="0" applyBorder="0" applyAlignment="0" applyProtection="0"/>
    <xf numFmtId="44" fontId="33" fillId="0" borderId="0" applyFont="0" applyFill="0" applyBorder="0" applyAlignment="0" applyProtection="0"/>
    <xf numFmtId="171" fontId="61" fillId="0" borderId="0" applyFont="0" applyFill="0" applyBorder="0" applyAlignment="0" applyProtection="0"/>
    <xf numFmtId="0" fontId="2" fillId="0" borderId="0"/>
    <xf numFmtId="0" fontId="61" fillId="0" borderId="0"/>
  </cellStyleXfs>
  <cellXfs count="777">
    <xf numFmtId="0" fontId="0" fillId="0" borderId="0" xfId="0"/>
    <xf numFmtId="0" fontId="2" fillId="0" borderId="0" xfId="0" applyFont="1"/>
    <xf numFmtId="0" fontId="4" fillId="0" borderId="7" xfId="0" applyFont="1" applyBorder="1" applyAlignment="1">
      <alignment vertical="center"/>
    </xf>
    <xf numFmtId="0" fontId="5" fillId="0" borderId="8" xfId="0" applyFont="1" applyBorder="1" applyAlignment="1">
      <alignment vertical="center"/>
    </xf>
    <xf numFmtId="0" fontId="5" fillId="0" borderId="9" xfId="0" applyFont="1" applyBorder="1" applyAlignment="1">
      <alignment vertical="center"/>
    </xf>
    <xf numFmtId="0" fontId="4" fillId="3" borderId="10" xfId="0" applyFont="1" applyFill="1" applyBorder="1" applyAlignment="1">
      <alignment horizontal="left" vertical="center" wrapText="1"/>
    </xf>
    <xf numFmtId="0" fontId="0" fillId="0" borderId="0" xfId="0" applyAlignment="1">
      <alignment horizontal="left"/>
    </xf>
    <xf numFmtId="0" fontId="4" fillId="4" borderId="8" xfId="0" applyFont="1" applyFill="1" applyBorder="1" applyAlignment="1">
      <alignment horizontal="left" wrapText="1"/>
    </xf>
    <xf numFmtId="0" fontId="4" fillId="5" borderId="7" xfId="0" applyFont="1" applyFill="1" applyBorder="1" applyAlignment="1">
      <alignment horizontal="left" vertical="center" wrapText="1"/>
    </xf>
    <xf numFmtId="0" fontId="4" fillId="6" borderId="7" xfId="0" applyFont="1" applyFill="1" applyBorder="1" applyAlignment="1">
      <alignment horizontal="left" wrapText="1"/>
    </xf>
    <xf numFmtId="0" fontId="6" fillId="7" borderId="7" xfId="0" applyFont="1" applyFill="1" applyBorder="1" applyAlignment="1">
      <alignment wrapText="1"/>
    </xf>
    <xf numFmtId="0" fontId="7" fillId="0" borderId="0" xfId="0" applyFont="1"/>
    <xf numFmtId="0" fontId="3" fillId="2" borderId="3" xfId="0" applyFont="1" applyFill="1" applyBorder="1" applyAlignment="1">
      <alignment horizontal="center" vertical="center" wrapText="1"/>
    </xf>
    <xf numFmtId="49" fontId="3" fillId="2" borderId="3" xfId="0" applyNumberFormat="1" applyFont="1" applyFill="1" applyBorder="1" applyAlignment="1">
      <alignment horizontal="center" vertical="center" wrapText="1"/>
    </xf>
    <xf numFmtId="164" fontId="8" fillId="0" borderId="11" xfId="3" applyNumberFormat="1" applyFont="1" applyBorder="1" applyAlignment="1">
      <alignment horizontal="center" vertical="center" wrapText="1"/>
    </xf>
    <xf numFmtId="164" fontId="8" fillId="0" borderId="12" xfId="3" applyNumberFormat="1" applyFont="1" applyBorder="1" applyAlignment="1">
      <alignment horizontal="center" vertical="center" wrapText="1"/>
    </xf>
    <xf numFmtId="164" fontId="8" fillId="0" borderId="13" xfId="3" applyNumberFormat="1" applyFont="1" applyBorder="1" applyAlignment="1">
      <alignment horizontal="center" vertical="center" wrapText="1"/>
    </xf>
    <xf numFmtId="0" fontId="4" fillId="3" borderId="4" xfId="0" applyFont="1" applyFill="1" applyBorder="1" applyAlignment="1">
      <alignment horizontal="center" vertical="center" wrapText="1"/>
    </xf>
    <xf numFmtId="0" fontId="4" fillId="4" borderId="4" xfId="0" applyFont="1" applyFill="1" applyBorder="1" applyAlignment="1">
      <alignment horizontal="center" vertical="center" wrapText="1"/>
    </xf>
    <xf numFmtId="0" fontId="4" fillId="5" borderId="4" xfId="0" applyFont="1" applyFill="1" applyBorder="1" applyAlignment="1">
      <alignment horizontal="center" vertical="center" wrapText="1"/>
    </xf>
    <xf numFmtId="0" fontId="4" fillId="6" borderId="4" xfId="0" applyFont="1" applyFill="1" applyBorder="1" applyAlignment="1">
      <alignment horizontal="center" vertical="center" wrapText="1"/>
    </xf>
    <xf numFmtId="0" fontId="4" fillId="7" borderId="4" xfId="0" applyFont="1" applyFill="1" applyBorder="1" applyAlignment="1">
      <alignment horizontal="center" vertical="center" wrapText="1"/>
    </xf>
    <xf numFmtId="49" fontId="4" fillId="8" borderId="14" xfId="0" applyNumberFormat="1" applyFont="1" applyFill="1" applyBorder="1" applyAlignment="1">
      <alignment horizontal="center" vertical="center" wrapText="1"/>
    </xf>
    <xf numFmtId="49" fontId="4" fillId="8" borderId="15" xfId="0" applyNumberFormat="1" applyFont="1" applyFill="1" applyBorder="1" applyAlignment="1">
      <alignment horizontal="left" vertical="center" wrapText="1"/>
    </xf>
    <xf numFmtId="49" fontId="4" fillId="8" borderId="15" xfId="0" applyNumberFormat="1" applyFont="1" applyFill="1" applyBorder="1" applyAlignment="1">
      <alignment horizontal="center" vertical="center" wrapText="1"/>
    </xf>
    <xf numFmtId="49" fontId="4" fillId="9" borderId="16" xfId="0" applyNumberFormat="1" applyFont="1" applyFill="1" applyBorder="1" applyAlignment="1">
      <alignment horizontal="center" vertical="center"/>
    </xf>
    <xf numFmtId="49" fontId="4" fillId="9" borderId="17" xfId="0" applyNumberFormat="1" applyFont="1" applyFill="1" applyBorder="1" applyAlignment="1">
      <alignment horizontal="left" vertical="center"/>
    </xf>
    <xf numFmtId="49" fontId="4" fillId="9" borderId="17" xfId="0" applyNumberFormat="1" applyFont="1" applyFill="1" applyBorder="1" applyAlignment="1">
      <alignment horizontal="center" vertical="center"/>
    </xf>
    <xf numFmtId="49" fontId="9" fillId="0" borderId="18" xfId="0" applyNumberFormat="1" applyFont="1" applyBorder="1" applyAlignment="1">
      <alignment horizontal="center" vertical="center"/>
    </xf>
    <xf numFmtId="49" fontId="9" fillId="0" borderId="19" xfId="0" applyNumberFormat="1" applyFont="1" applyBorder="1" applyAlignment="1">
      <alignment horizontal="left" vertical="center" wrapText="1"/>
    </xf>
    <xf numFmtId="49" fontId="9" fillId="0" borderId="20" xfId="0" applyNumberFormat="1" applyFont="1" applyBorder="1" applyAlignment="1">
      <alignment horizontal="center" vertical="center" wrapText="1"/>
    </xf>
    <xf numFmtId="49" fontId="4" fillId="9" borderId="20" xfId="0" applyNumberFormat="1" applyFont="1" applyFill="1" applyBorder="1" applyAlignment="1">
      <alignment horizontal="center" vertical="center"/>
    </xf>
    <xf numFmtId="49" fontId="4" fillId="9" borderId="20" xfId="0" applyNumberFormat="1" applyFont="1" applyFill="1" applyBorder="1" applyAlignment="1">
      <alignment horizontal="left" vertical="center"/>
    </xf>
    <xf numFmtId="49" fontId="4" fillId="9" borderId="21" xfId="0" applyNumberFormat="1" applyFont="1" applyFill="1" applyBorder="1" applyAlignment="1">
      <alignment horizontal="center" vertical="center"/>
    </xf>
    <xf numFmtId="49" fontId="9" fillId="0" borderId="22" xfId="0" applyNumberFormat="1" applyFont="1" applyBorder="1" applyAlignment="1">
      <alignment horizontal="center" vertical="center"/>
    </xf>
    <xf numFmtId="49" fontId="9" fillId="0" borderId="20" xfId="0" applyNumberFormat="1" applyFont="1" applyBorder="1" applyAlignment="1">
      <alignment horizontal="left" vertical="center" wrapText="1"/>
    </xf>
    <xf numFmtId="49" fontId="9" fillId="0" borderId="22" xfId="0" applyNumberFormat="1" applyFont="1" applyBorder="1" applyAlignment="1">
      <alignment horizontal="center" vertical="center" wrapText="1"/>
    </xf>
    <xf numFmtId="44" fontId="0" fillId="0" borderId="4" xfId="0" applyNumberFormat="1" applyBorder="1" applyAlignment="1">
      <alignment horizontal="center" vertical="center"/>
    </xf>
    <xf numFmtId="44" fontId="9" fillId="10" borderId="4" xfId="0" applyNumberFormat="1" applyFont="1" applyFill="1" applyBorder="1" applyAlignment="1">
      <alignment horizontal="center" vertical="center"/>
    </xf>
    <xf numFmtId="49" fontId="9" fillId="0" borderId="20" xfId="0" applyNumberFormat="1" applyFont="1" applyBorder="1" applyAlignment="1">
      <alignment horizontal="center" vertical="center"/>
    </xf>
    <xf numFmtId="49" fontId="9" fillId="0" borderId="19" xfId="0" applyNumberFormat="1" applyFont="1" applyBorder="1" applyAlignment="1">
      <alignment horizontal="center" vertical="center"/>
    </xf>
    <xf numFmtId="49" fontId="4" fillId="9" borderId="23" xfId="0" applyNumberFormat="1" applyFont="1" applyFill="1" applyBorder="1" applyAlignment="1">
      <alignment horizontal="center" vertical="center"/>
    </xf>
    <xf numFmtId="49" fontId="4" fillId="9" borderId="21" xfId="0" applyNumberFormat="1" applyFont="1" applyFill="1" applyBorder="1" applyAlignment="1">
      <alignment horizontal="left" vertical="center"/>
    </xf>
    <xf numFmtId="49" fontId="9" fillId="0" borderId="20" xfId="0" applyNumberFormat="1" applyFont="1" applyBorder="1" applyAlignment="1">
      <alignment horizontal="left" vertical="center"/>
    </xf>
    <xf numFmtId="49" fontId="4" fillId="9" borderId="22" xfId="0" applyNumberFormat="1" applyFont="1" applyFill="1" applyBorder="1" applyAlignment="1">
      <alignment horizontal="center" vertical="center"/>
    </xf>
    <xf numFmtId="49" fontId="9" fillId="0" borderId="24" xfId="0" applyNumberFormat="1" applyFont="1" applyBorder="1" applyAlignment="1">
      <alignment horizontal="center" vertical="center"/>
    </xf>
    <xf numFmtId="49" fontId="9" fillId="0" borderId="2" xfId="0" applyNumberFormat="1" applyFont="1" applyBorder="1" applyAlignment="1">
      <alignment horizontal="center" vertical="center"/>
    </xf>
    <xf numFmtId="0" fontId="9" fillId="0" borderId="21" xfId="0" applyFont="1" applyBorder="1" applyAlignment="1">
      <alignment horizontal="center" vertical="center"/>
    </xf>
    <xf numFmtId="0" fontId="9" fillId="0" borderId="19" xfId="0" applyFont="1" applyBorder="1" applyAlignment="1">
      <alignment vertical="center" wrapText="1"/>
    </xf>
    <xf numFmtId="0" fontId="9" fillId="0" borderId="25" xfId="0" applyFont="1" applyBorder="1" applyAlignment="1">
      <alignment horizontal="center" vertical="center"/>
    </xf>
    <xf numFmtId="0" fontId="9" fillId="0" borderId="21" xfId="0" applyFont="1" applyBorder="1" applyAlignment="1">
      <alignment vertical="center" wrapText="1"/>
    </xf>
    <xf numFmtId="0" fontId="9" fillId="0" borderId="19" xfId="0" applyFont="1" applyBorder="1" applyAlignment="1">
      <alignment horizontal="center" vertical="center"/>
    </xf>
    <xf numFmtId="0" fontId="9" fillId="0" borderId="20" xfId="0" applyFont="1" applyBorder="1" applyAlignment="1">
      <alignment horizontal="center" vertical="center"/>
    </xf>
    <xf numFmtId="0" fontId="10" fillId="0" borderId="21" xfId="0" applyFont="1" applyBorder="1" applyAlignment="1">
      <alignment vertical="center" wrapText="1"/>
    </xf>
    <xf numFmtId="49" fontId="4" fillId="9" borderId="19" xfId="0" applyNumberFormat="1" applyFont="1" applyFill="1" applyBorder="1" applyAlignment="1">
      <alignment horizontal="center" vertical="center"/>
    </xf>
    <xf numFmtId="0" fontId="9" fillId="0" borderId="20" xfId="4" applyFont="1" applyBorder="1" applyAlignment="1">
      <alignment horizontal="center" vertical="center"/>
    </xf>
    <xf numFmtId="0" fontId="9" fillId="0" borderId="20" xfId="4" applyFont="1" applyBorder="1" applyAlignment="1">
      <alignment horizontal="left" vertical="center" wrapText="1"/>
    </xf>
    <xf numFmtId="0" fontId="11" fillId="0" borderId="19" xfId="4" applyFont="1" applyBorder="1" applyAlignment="1">
      <alignment horizontal="center" vertical="center"/>
    </xf>
    <xf numFmtId="0" fontId="11" fillId="0" borderId="19" xfId="4" applyFont="1" applyBorder="1" applyAlignment="1">
      <alignment horizontal="left" vertical="center" wrapText="1"/>
    </xf>
    <xf numFmtId="49" fontId="4" fillId="9" borderId="26" xfId="0" applyNumberFormat="1" applyFont="1" applyFill="1" applyBorder="1" applyAlignment="1">
      <alignment horizontal="left" vertical="center"/>
    </xf>
    <xf numFmtId="0" fontId="9" fillId="0" borderId="20" xfId="0" applyFont="1" applyBorder="1" applyAlignment="1">
      <alignment horizontal="center" vertical="center" wrapText="1"/>
    </xf>
    <xf numFmtId="0" fontId="9" fillId="0" borderId="20" xfId="0" applyFont="1" applyBorder="1" applyAlignment="1">
      <alignment horizontal="left" vertical="center" wrapText="1"/>
    </xf>
    <xf numFmtId="0" fontId="9" fillId="0" borderId="19" xfId="0" applyFont="1" applyBorder="1" applyAlignment="1">
      <alignment horizontal="center" vertical="center" wrapText="1"/>
    </xf>
    <xf numFmtId="0" fontId="9" fillId="0" borderId="19" xfId="0" applyFont="1" applyBorder="1" applyAlignment="1">
      <alignment horizontal="left" vertical="center" wrapText="1"/>
    </xf>
    <xf numFmtId="49" fontId="4" fillId="9" borderId="27" xfId="0" applyNumberFormat="1" applyFont="1" applyFill="1" applyBorder="1" applyAlignment="1">
      <alignment horizontal="left" vertical="center"/>
    </xf>
    <xf numFmtId="0" fontId="9" fillId="0" borderId="21" xfId="4" applyFont="1" applyBorder="1" applyAlignment="1">
      <alignment horizontal="left" vertical="center" wrapText="1"/>
    </xf>
    <xf numFmtId="49" fontId="4" fillId="9" borderId="28" xfId="0" applyNumberFormat="1" applyFont="1" applyFill="1" applyBorder="1" applyAlignment="1">
      <alignment horizontal="left" vertical="center"/>
    </xf>
    <xf numFmtId="0" fontId="9" fillId="0" borderId="21" xfId="4" applyFont="1" applyBorder="1" applyAlignment="1">
      <alignment horizontal="center" vertical="center"/>
    </xf>
    <xf numFmtId="0" fontId="9" fillId="0" borderId="2" xfId="0" applyFont="1" applyBorder="1" applyAlignment="1">
      <alignment horizontal="left" vertical="center" wrapText="1"/>
    </xf>
    <xf numFmtId="49" fontId="4" fillId="9" borderId="23" xfId="0" applyNumberFormat="1" applyFont="1" applyFill="1" applyBorder="1" applyAlignment="1">
      <alignment horizontal="left" vertical="center"/>
    </xf>
    <xf numFmtId="0" fontId="9" fillId="0" borderId="22" xfId="0" applyFont="1" applyBorder="1" applyAlignment="1">
      <alignment horizontal="left" vertical="center" wrapText="1"/>
    </xf>
    <xf numFmtId="49" fontId="4" fillId="9" borderId="22" xfId="0" applyNumberFormat="1" applyFont="1" applyFill="1" applyBorder="1" applyAlignment="1">
      <alignment horizontal="left" vertical="center"/>
    </xf>
    <xf numFmtId="0" fontId="9" fillId="0" borderId="22" xfId="0" applyFont="1" applyBorder="1" applyAlignment="1">
      <alignment horizontal="center" vertical="center"/>
    </xf>
    <xf numFmtId="0" fontId="9" fillId="0" borderId="25" xfId="0" applyFont="1" applyBorder="1" applyAlignment="1">
      <alignment horizontal="left" vertical="center" wrapText="1"/>
    </xf>
    <xf numFmtId="11" fontId="9" fillId="0" borderId="20" xfId="0" applyNumberFormat="1" applyFont="1" applyBorder="1" applyAlignment="1">
      <alignment horizontal="center" vertical="center"/>
    </xf>
    <xf numFmtId="0" fontId="9" fillId="0" borderId="23" xfId="0" applyFont="1" applyBorder="1" applyAlignment="1">
      <alignment horizontal="left" vertical="center" wrapText="1"/>
    </xf>
    <xf numFmtId="0" fontId="9" fillId="0" borderId="29" xfId="0" applyFont="1" applyBorder="1" applyAlignment="1">
      <alignment horizontal="left" vertical="center" wrapText="1"/>
    </xf>
    <xf numFmtId="49" fontId="4" fillId="8" borderId="14" xfId="0" applyNumberFormat="1" applyFont="1" applyFill="1" applyBorder="1" applyAlignment="1">
      <alignment horizontal="left" vertical="center" wrapText="1"/>
    </xf>
    <xf numFmtId="49" fontId="4" fillId="9" borderId="16" xfId="0" applyNumberFormat="1" applyFont="1" applyFill="1" applyBorder="1" applyAlignment="1">
      <alignment horizontal="left" vertical="center"/>
    </xf>
    <xf numFmtId="0" fontId="9" fillId="0" borderId="21" xfId="0" applyFont="1" applyBorder="1" applyAlignment="1">
      <alignment horizontal="left" vertical="center" wrapText="1"/>
    </xf>
    <xf numFmtId="0" fontId="9" fillId="11" borderId="20" xfId="0" applyFont="1" applyFill="1" applyBorder="1" applyAlignment="1">
      <alignment horizontal="left" vertical="center" wrapText="1"/>
    </xf>
    <xf numFmtId="0" fontId="9" fillId="11" borderId="22" xfId="0" applyFont="1" applyFill="1" applyBorder="1" applyAlignment="1">
      <alignment horizontal="center" vertical="center"/>
    </xf>
    <xf numFmtId="0" fontId="9" fillId="11" borderId="20" xfId="0" applyFont="1" applyFill="1" applyBorder="1" applyAlignment="1">
      <alignment horizontal="center" vertical="center"/>
    </xf>
    <xf numFmtId="0" fontId="5" fillId="0" borderId="0" xfId="0" applyFont="1" applyAlignment="1">
      <alignment vertical="center"/>
    </xf>
    <xf numFmtId="0" fontId="4" fillId="3" borderId="10" xfId="0" applyFont="1" applyFill="1" applyBorder="1" applyAlignment="1">
      <alignment horizontal="center" vertical="center" wrapText="1"/>
    </xf>
    <xf numFmtId="0" fontId="5" fillId="3" borderId="8" xfId="0" applyFont="1" applyFill="1" applyBorder="1" applyAlignment="1">
      <alignment wrapText="1"/>
    </xf>
    <xf numFmtId="0" fontId="4" fillId="4" borderId="8" xfId="0" applyFont="1" applyFill="1" applyBorder="1" applyAlignment="1">
      <alignment wrapText="1"/>
    </xf>
    <xf numFmtId="0" fontId="5" fillId="4" borderId="8" xfId="0" applyFont="1" applyFill="1" applyBorder="1" applyAlignment="1">
      <alignment wrapText="1"/>
    </xf>
    <xf numFmtId="0" fontId="4" fillId="5" borderId="7" xfId="0" applyFont="1" applyFill="1" applyBorder="1" applyAlignment="1">
      <alignment vertical="center" wrapText="1"/>
    </xf>
    <xf numFmtId="0" fontId="4" fillId="5" borderId="8" xfId="0" applyFont="1" applyFill="1" applyBorder="1" applyAlignment="1">
      <alignment vertical="center" wrapText="1"/>
    </xf>
    <xf numFmtId="0" fontId="4" fillId="6" borderId="7" xfId="0" applyFont="1" applyFill="1" applyBorder="1" applyAlignment="1">
      <alignment wrapText="1"/>
    </xf>
    <xf numFmtId="0" fontId="4" fillId="6" borderId="8" xfId="0" applyFont="1" applyFill="1" applyBorder="1" applyAlignment="1">
      <alignment wrapText="1"/>
    </xf>
    <xf numFmtId="0" fontId="6" fillId="7" borderId="8" xfId="0" applyFont="1" applyFill="1" applyBorder="1" applyAlignment="1">
      <alignment wrapText="1"/>
    </xf>
    <xf numFmtId="0" fontId="3" fillId="2" borderId="1" xfId="0" applyFont="1" applyFill="1" applyBorder="1" applyAlignment="1">
      <alignment horizontal="center" vertical="center" wrapText="1"/>
    </xf>
    <xf numFmtId="49" fontId="3" fillId="2" borderId="1" xfId="0" applyNumberFormat="1" applyFont="1" applyFill="1" applyBorder="1" applyAlignment="1">
      <alignment horizontal="center" vertical="center" wrapText="1"/>
    </xf>
    <xf numFmtId="164" fontId="8" fillId="0" borderId="0" xfId="3" applyNumberFormat="1" applyFont="1" applyAlignment="1">
      <alignment horizontal="center" vertical="center" wrapText="1"/>
    </xf>
    <xf numFmtId="49" fontId="4" fillId="8" borderId="32" xfId="0" applyNumberFormat="1" applyFont="1" applyFill="1" applyBorder="1" applyAlignment="1">
      <alignment horizontal="center" vertical="center" wrapText="1"/>
    </xf>
    <xf numFmtId="49" fontId="4" fillId="8" borderId="33" xfId="0" applyNumberFormat="1" applyFont="1" applyFill="1" applyBorder="1" applyAlignment="1">
      <alignment horizontal="left" vertical="center" wrapText="1"/>
    </xf>
    <xf numFmtId="49" fontId="4" fillId="8" borderId="34" xfId="0" applyNumberFormat="1" applyFont="1" applyFill="1" applyBorder="1" applyAlignment="1">
      <alignment horizontal="center" vertical="center" wrapText="1"/>
    </xf>
    <xf numFmtId="49" fontId="4" fillId="9" borderId="35" xfId="0" applyNumberFormat="1" applyFont="1" applyFill="1" applyBorder="1" applyAlignment="1">
      <alignment horizontal="center" vertical="center"/>
    </xf>
    <xf numFmtId="49" fontId="4" fillId="9" borderId="36" xfId="0" applyNumberFormat="1" applyFont="1" applyFill="1" applyBorder="1" applyAlignment="1">
      <alignment horizontal="left" vertical="center" wrapText="1"/>
    </xf>
    <xf numFmtId="49" fontId="4" fillId="9" borderId="37" xfId="0" applyNumberFormat="1" applyFont="1" applyFill="1" applyBorder="1" applyAlignment="1">
      <alignment horizontal="left" vertical="center"/>
    </xf>
    <xf numFmtId="49" fontId="9" fillId="0" borderId="38" xfId="0" applyNumberFormat="1" applyFont="1" applyBorder="1" applyAlignment="1">
      <alignment horizontal="center" vertical="center"/>
    </xf>
    <xf numFmtId="49" fontId="9" fillId="0" borderId="9" xfId="0" applyNumberFormat="1" applyFont="1" applyBorder="1" applyAlignment="1">
      <alignment horizontal="left" vertical="center" wrapText="1"/>
    </xf>
    <xf numFmtId="0" fontId="9" fillId="0" borderId="4" xfId="4" applyFont="1" applyBorder="1" applyAlignment="1">
      <alignment horizontal="center" vertical="center"/>
    </xf>
    <xf numFmtId="44" fontId="7" fillId="0" borderId="39" xfId="0" applyNumberFormat="1" applyFont="1" applyBorder="1" applyAlignment="1">
      <alignment horizontal="right" vertical="center" indent="1"/>
    </xf>
    <xf numFmtId="44" fontId="7" fillId="0" borderId="0" xfId="0" applyNumberFormat="1" applyFont="1" applyAlignment="1">
      <alignment horizontal="right" vertical="center" indent="1"/>
    </xf>
    <xf numFmtId="44" fontId="7" fillId="10" borderId="39" xfId="0" applyNumberFormat="1" applyFont="1" applyFill="1" applyBorder="1" applyAlignment="1">
      <alignment horizontal="right" vertical="center" indent="1"/>
    </xf>
    <xf numFmtId="44" fontId="7" fillId="10" borderId="40" xfId="0" applyNumberFormat="1" applyFont="1" applyFill="1" applyBorder="1" applyAlignment="1">
      <alignment horizontal="right" vertical="center" indent="1"/>
    </xf>
    <xf numFmtId="49" fontId="4" fillId="9" borderId="41" xfId="0" applyNumberFormat="1" applyFont="1" applyFill="1" applyBorder="1" applyAlignment="1">
      <alignment horizontal="center" vertical="center"/>
    </xf>
    <xf numFmtId="49" fontId="4" fillId="9" borderId="9" xfId="0" applyNumberFormat="1" applyFont="1" applyFill="1" applyBorder="1" applyAlignment="1">
      <alignment horizontal="left" vertical="center" wrapText="1"/>
    </xf>
    <xf numFmtId="49" fontId="4" fillId="9" borderId="4" xfId="0" applyNumberFormat="1" applyFont="1" applyFill="1" applyBorder="1" applyAlignment="1">
      <alignment horizontal="left" vertical="center"/>
    </xf>
    <xf numFmtId="49" fontId="9" fillId="0" borderId="42" xfId="0" applyNumberFormat="1" applyFont="1" applyBorder="1" applyAlignment="1">
      <alignment horizontal="center" vertical="center"/>
    </xf>
    <xf numFmtId="49" fontId="9" fillId="0" borderId="43" xfId="0" applyNumberFormat="1" applyFont="1" applyBorder="1" applyAlignment="1">
      <alignment horizontal="left" vertical="center" wrapText="1"/>
    </xf>
    <xf numFmtId="0" fontId="9" fillId="0" borderId="44" xfId="4" applyFont="1" applyBorder="1" applyAlignment="1">
      <alignment horizontal="center" vertical="center"/>
    </xf>
    <xf numFmtId="49" fontId="4" fillId="8" borderId="34" xfId="0" applyNumberFormat="1" applyFont="1" applyFill="1" applyBorder="1" applyAlignment="1">
      <alignment horizontal="left" vertical="center" wrapText="1"/>
    </xf>
    <xf numFmtId="49" fontId="9" fillId="0" borderId="41" xfId="0" applyNumberFormat="1" applyFont="1" applyBorder="1" applyAlignment="1">
      <alignment horizontal="center" vertical="center"/>
    </xf>
    <xf numFmtId="49" fontId="9" fillId="0" borderId="4" xfId="0" applyNumberFormat="1" applyFont="1" applyBorder="1" applyAlignment="1">
      <alignment horizontal="left" vertical="center" wrapText="1"/>
    </xf>
    <xf numFmtId="49" fontId="9" fillId="0" borderId="4" xfId="4" applyNumberFormat="1" applyFont="1" applyBorder="1" applyAlignment="1">
      <alignment vertical="center" wrapText="1"/>
    </xf>
    <xf numFmtId="49" fontId="9" fillId="0" borderId="38" xfId="4" applyNumberFormat="1" applyFont="1" applyBorder="1" applyAlignment="1">
      <alignment horizontal="center" vertical="center"/>
    </xf>
    <xf numFmtId="49" fontId="9" fillId="0" borderId="44" xfId="4" applyNumberFormat="1" applyFont="1" applyBorder="1" applyAlignment="1">
      <alignment vertical="center" wrapText="1"/>
    </xf>
    <xf numFmtId="49" fontId="4" fillId="9" borderId="41" xfId="4" applyNumberFormat="1" applyFont="1" applyFill="1" applyBorder="1" applyAlignment="1">
      <alignment horizontal="center" vertical="center"/>
    </xf>
    <xf numFmtId="49" fontId="4" fillId="9" borderId="4" xfId="4" applyNumberFormat="1" applyFont="1" applyFill="1" applyBorder="1" applyAlignment="1">
      <alignment horizontal="left" vertical="center" wrapText="1"/>
    </xf>
    <xf numFmtId="49" fontId="4" fillId="9" borderId="4" xfId="4" applyNumberFormat="1" applyFont="1" applyFill="1" applyBorder="1" applyAlignment="1">
      <alignment horizontal="left" vertical="center"/>
    </xf>
    <xf numFmtId="0" fontId="12" fillId="0" borderId="0" xfId="0" applyFont="1"/>
    <xf numFmtId="49" fontId="9" fillId="0" borderId="41" xfId="4" applyNumberFormat="1" applyFont="1" applyBorder="1" applyAlignment="1">
      <alignment horizontal="center" vertical="center"/>
    </xf>
    <xf numFmtId="49" fontId="9" fillId="0" borderId="4" xfId="0" applyNumberFormat="1" applyFont="1" applyBorder="1" applyAlignment="1">
      <alignment vertical="center" wrapText="1"/>
    </xf>
    <xf numFmtId="49" fontId="4" fillId="9" borderId="45" xfId="4" applyNumberFormat="1" applyFont="1" applyFill="1" applyBorder="1" applyAlignment="1">
      <alignment horizontal="center" vertical="center"/>
    </xf>
    <xf numFmtId="49" fontId="4" fillId="9" borderId="37" xfId="4" applyNumberFormat="1" applyFont="1" applyFill="1" applyBorder="1" applyAlignment="1">
      <alignment horizontal="left" vertical="center" wrapText="1"/>
    </xf>
    <xf numFmtId="49" fontId="4" fillId="9" borderId="37" xfId="4" applyNumberFormat="1" applyFont="1" applyFill="1" applyBorder="1" applyAlignment="1">
      <alignment horizontal="left" vertical="center"/>
    </xf>
    <xf numFmtId="49" fontId="9" fillId="9" borderId="4" xfId="4" applyNumberFormat="1" applyFont="1" applyFill="1" applyBorder="1" applyAlignment="1">
      <alignment horizontal="left" vertical="center"/>
    </xf>
    <xf numFmtId="20" fontId="9" fillId="0" borderId="4" xfId="4" applyNumberFormat="1" applyFont="1" applyBorder="1" applyAlignment="1">
      <alignment vertical="center" wrapText="1"/>
    </xf>
    <xf numFmtId="49" fontId="4" fillId="9" borderId="45" xfId="0" applyNumberFormat="1" applyFont="1" applyFill="1" applyBorder="1" applyAlignment="1">
      <alignment horizontal="center" vertical="center"/>
    </xf>
    <xf numFmtId="49" fontId="4" fillId="9" borderId="37" xfId="0" applyNumberFormat="1" applyFont="1" applyFill="1" applyBorder="1" applyAlignment="1">
      <alignment horizontal="left" vertical="center" wrapText="1"/>
    </xf>
    <xf numFmtId="0" fontId="9" fillId="0" borderId="4" xfId="0" applyFont="1" applyBorder="1" applyAlignment="1">
      <alignment horizontal="center" vertical="center"/>
    </xf>
    <xf numFmtId="49" fontId="4" fillId="9" borderId="4" xfId="0" applyNumberFormat="1" applyFont="1" applyFill="1" applyBorder="1" applyAlignment="1">
      <alignment horizontal="left" vertical="center" wrapText="1"/>
    </xf>
    <xf numFmtId="0" fontId="9" fillId="0" borderId="44" xfId="0" applyFont="1" applyBorder="1" applyAlignment="1">
      <alignment horizontal="center" vertical="center"/>
    </xf>
    <xf numFmtId="49" fontId="9" fillId="0" borderId="44" xfId="0" applyNumberFormat="1" applyFont="1" applyBorder="1" applyAlignment="1">
      <alignment vertical="center" wrapText="1"/>
    </xf>
    <xf numFmtId="0" fontId="13" fillId="0" borderId="0" xfId="0" applyFont="1"/>
    <xf numFmtId="49" fontId="11" fillId="0" borderId="4" xfId="4" applyNumberFormat="1" applyFont="1" applyBorder="1" applyAlignment="1">
      <alignment vertical="center" wrapText="1"/>
    </xf>
    <xf numFmtId="49" fontId="11" fillId="0" borderId="4" xfId="0" applyNumberFormat="1" applyFont="1" applyBorder="1" applyAlignment="1">
      <alignment vertical="center" wrapText="1"/>
    </xf>
    <xf numFmtId="49" fontId="11" fillId="0" borderId="44" xfId="0" applyNumberFormat="1" applyFont="1" applyBorder="1" applyAlignment="1">
      <alignment vertical="center" wrapText="1"/>
    </xf>
    <xf numFmtId="0" fontId="11" fillId="0" borderId="4" xfId="0" applyFont="1" applyBorder="1" applyAlignment="1">
      <alignment horizontal="center" vertical="center"/>
    </xf>
    <xf numFmtId="0" fontId="11" fillId="0" borderId="44" xfId="0" applyFont="1" applyBorder="1" applyAlignment="1">
      <alignment horizontal="center" vertical="center"/>
    </xf>
    <xf numFmtId="49" fontId="9" fillId="0" borderId="44" xfId="0" applyNumberFormat="1" applyFont="1" applyBorder="1" applyAlignment="1">
      <alignment horizontal="left" vertical="center" wrapText="1"/>
    </xf>
    <xf numFmtId="49" fontId="9" fillId="12" borderId="4" xfId="0" applyNumberFormat="1" applyFont="1" applyFill="1" applyBorder="1" applyAlignment="1">
      <alignment horizontal="left" vertical="center" wrapText="1"/>
    </xf>
    <xf numFmtId="49" fontId="9" fillId="13" borderId="41" xfId="0" applyNumberFormat="1" applyFont="1" applyFill="1" applyBorder="1" applyAlignment="1">
      <alignment horizontal="center" vertical="center"/>
    </xf>
    <xf numFmtId="10" fontId="7" fillId="0" borderId="39" xfId="2" applyNumberFormat="1" applyFont="1" applyBorder="1" applyAlignment="1">
      <alignment horizontal="right" vertical="center" indent="1"/>
    </xf>
    <xf numFmtId="10" fontId="7" fillId="0" borderId="0" xfId="2" applyNumberFormat="1" applyFont="1" applyBorder="1" applyAlignment="1">
      <alignment horizontal="right" vertical="center" indent="1"/>
    </xf>
    <xf numFmtId="9" fontId="7" fillId="10" borderId="39" xfId="2" applyFont="1" applyFill="1" applyBorder="1" applyAlignment="1">
      <alignment horizontal="right" vertical="center" indent="1"/>
    </xf>
    <xf numFmtId="10" fontId="7" fillId="10" borderId="39" xfId="2" applyNumberFormat="1" applyFont="1" applyFill="1" applyBorder="1" applyAlignment="1">
      <alignment horizontal="right" vertical="center" indent="1"/>
    </xf>
    <xf numFmtId="165" fontId="7" fillId="10" borderId="39" xfId="2" applyNumberFormat="1" applyFont="1" applyFill="1" applyBorder="1" applyAlignment="1">
      <alignment horizontal="right" vertical="center" indent="1"/>
    </xf>
    <xf numFmtId="44" fontId="7" fillId="10" borderId="39" xfId="1" applyFont="1" applyFill="1" applyBorder="1" applyAlignment="1">
      <alignment horizontal="right" vertical="center" indent="1"/>
    </xf>
    <xf numFmtId="49" fontId="9" fillId="0" borderId="46" xfId="0" applyNumberFormat="1" applyFont="1" applyBorder="1" applyAlignment="1">
      <alignment horizontal="left" vertical="center" wrapText="1"/>
    </xf>
    <xf numFmtId="0" fontId="9" fillId="0" borderId="46" xfId="0" applyFont="1" applyBorder="1" applyAlignment="1">
      <alignment horizontal="center" vertical="center"/>
    </xf>
    <xf numFmtId="0" fontId="7" fillId="0" borderId="0" xfId="0" applyFont="1" applyAlignment="1">
      <alignment horizontal="center"/>
    </xf>
    <xf numFmtId="49" fontId="7" fillId="0" borderId="0" xfId="0" applyNumberFormat="1" applyFont="1" applyAlignment="1">
      <alignment vertical="top"/>
    </xf>
    <xf numFmtId="0" fontId="9" fillId="0" borderId="0" xfId="0" applyFont="1" applyAlignment="1">
      <alignment horizontal="center"/>
    </xf>
    <xf numFmtId="0" fontId="14" fillId="0" borderId="0" xfId="0" applyFont="1"/>
    <xf numFmtId="44" fontId="4" fillId="0" borderId="0" xfId="1" applyFont="1" applyFill="1" applyBorder="1" applyAlignment="1">
      <alignment horizontal="left" vertical="center" wrapText="1"/>
    </xf>
    <xf numFmtId="49" fontId="9" fillId="11" borderId="41" xfId="0" applyNumberFormat="1" applyFont="1" applyFill="1" applyBorder="1" applyAlignment="1">
      <alignment horizontal="center" vertical="center"/>
    </xf>
    <xf numFmtId="49" fontId="9" fillId="11" borderId="4" xfId="0" applyNumberFormat="1" applyFont="1" applyFill="1" applyBorder="1" applyAlignment="1">
      <alignment horizontal="left" vertical="center" wrapText="1"/>
    </xf>
    <xf numFmtId="0" fontId="9" fillId="11" borderId="4" xfId="0" applyFont="1" applyFill="1" applyBorder="1" applyAlignment="1">
      <alignment horizontal="center" vertical="center"/>
    </xf>
    <xf numFmtId="44" fontId="9" fillId="11" borderId="20" xfId="0" applyNumberFormat="1" applyFont="1" applyFill="1" applyBorder="1" applyAlignment="1">
      <alignment horizontal="center" vertical="center"/>
    </xf>
    <xf numFmtId="9" fontId="9" fillId="11" borderId="20" xfId="2" applyFont="1" applyFill="1" applyBorder="1" applyAlignment="1">
      <alignment horizontal="center" vertical="center"/>
    </xf>
    <xf numFmtId="44" fontId="4" fillId="0" borderId="47" xfId="1" applyFont="1" applyFill="1" applyBorder="1" applyAlignment="1">
      <alignment vertical="center" wrapText="1"/>
    </xf>
    <xf numFmtId="44" fontId="9" fillId="11" borderId="20" xfId="1" applyFont="1" applyFill="1" applyBorder="1" applyAlignment="1">
      <alignment horizontal="left" vertical="center" wrapText="1"/>
    </xf>
    <xf numFmtId="0" fontId="0" fillId="0" borderId="50" xfId="0" applyBorder="1"/>
    <xf numFmtId="0" fontId="18" fillId="0" borderId="51" xfId="0" applyFont="1" applyBorder="1" applyAlignment="1">
      <alignment vertical="center" wrapText="1"/>
    </xf>
    <xf numFmtId="0" fontId="21" fillId="14" borderId="35" xfId="0" applyFont="1" applyFill="1" applyBorder="1" applyAlignment="1">
      <alignment horizontal="center" vertical="center" wrapText="1"/>
    </xf>
    <xf numFmtId="0" fontId="21" fillId="14" borderId="27" xfId="0" applyFont="1" applyFill="1" applyBorder="1" applyAlignment="1">
      <alignment horizontal="center" vertical="center" wrapText="1"/>
    </xf>
    <xf numFmtId="0" fontId="22" fillId="15" borderId="53" xfId="0" applyFont="1" applyFill="1" applyBorder="1" applyAlignment="1" applyProtection="1">
      <alignment horizontal="left" vertical="top"/>
      <protection locked="0"/>
    </xf>
    <xf numFmtId="0" fontId="23" fillId="15" borderId="53" xfId="0" applyFont="1" applyFill="1" applyBorder="1" applyAlignment="1" applyProtection="1">
      <alignment horizontal="left" vertical="top"/>
      <protection locked="0"/>
    </xf>
    <xf numFmtId="0" fontId="22" fillId="15" borderId="53" xfId="0" applyFont="1" applyFill="1" applyBorder="1" applyAlignment="1" applyProtection="1">
      <alignment horizontal="center" vertical="top"/>
      <protection locked="0"/>
    </xf>
    <xf numFmtId="0" fontId="24" fillId="15" borderId="54" xfId="0" applyFont="1" applyFill="1" applyBorder="1" applyAlignment="1" applyProtection="1">
      <alignment horizontal="left" vertical="top"/>
      <protection locked="0"/>
    </xf>
    <xf numFmtId="0" fontId="25" fillId="15" borderId="54" xfId="0" applyFont="1" applyFill="1" applyBorder="1" applyAlignment="1" applyProtection="1">
      <alignment horizontal="left" vertical="top"/>
      <protection locked="0"/>
    </xf>
    <xf numFmtId="0" fontId="24" fillId="15" borderId="54" xfId="0" applyFont="1" applyFill="1" applyBorder="1" applyAlignment="1" applyProtection="1">
      <alignment horizontal="center" vertical="top"/>
      <protection locked="0"/>
    </xf>
    <xf numFmtId="0" fontId="22" fillId="15" borderId="54" xfId="0" applyFont="1" applyFill="1" applyBorder="1" applyAlignment="1" applyProtection="1">
      <alignment horizontal="left" vertical="top"/>
      <protection locked="0"/>
    </xf>
    <xf numFmtId="0" fontId="23" fillId="15" borderId="54" xfId="0" applyFont="1" applyFill="1" applyBorder="1" applyAlignment="1" applyProtection="1">
      <alignment horizontal="left" vertical="top"/>
      <protection locked="0"/>
    </xf>
    <xf numFmtId="0" fontId="22" fillId="15" borderId="54" xfId="0" applyFont="1" applyFill="1" applyBorder="1" applyAlignment="1" applyProtection="1">
      <alignment horizontal="center" vertical="top"/>
      <protection locked="0"/>
    </xf>
    <xf numFmtId="0" fontId="24" fillId="15" borderId="53" xfId="0" applyFont="1" applyFill="1" applyBorder="1" applyAlignment="1" applyProtection="1">
      <alignment horizontal="left" vertical="top"/>
      <protection locked="0"/>
    </xf>
    <xf numFmtId="0" fontId="25" fillId="15" borderId="53" xfId="0" applyFont="1" applyFill="1" applyBorder="1" applyAlignment="1" applyProtection="1">
      <alignment horizontal="left" vertical="top"/>
      <protection locked="0"/>
    </xf>
    <xf numFmtId="0" fontId="24" fillId="15" borderId="53" xfId="0" applyFont="1" applyFill="1" applyBorder="1" applyAlignment="1" applyProtection="1">
      <alignment horizontal="center" vertical="top"/>
      <protection locked="0"/>
    </xf>
    <xf numFmtId="0" fontId="22" fillId="15" borderId="0" xfId="0" applyFont="1" applyFill="1" applyAlignment="1" applyProtection="1">
      <alignment horizontal="left" vertical="top"/>
      <protection locked="0"/>
    </xf>
    <xf numFmtId="0" fontId="23" fillId="15" borderId="0" xfId="0" applyFont="1" applyFill="1" applyAlignment="1" applyProtection="1">
      <alignment horizontal="left" vertical="top"/>
      <protection locked="0"/>
    </xf>
    <xf numFmtId="0" fontId="22" fillId="15" borderId="0" xfId="0" applyFont="1" applyFill="1" applyAlignment="1" applyProtection="1">
      <alignment horizontal="center" vertical="top"/>
      <protection locked="0"/>
    </xf>
    <xf numFmtId="0" fontId="31" fillId="18" borderId="4" xfId="0" applyFont="1" applyFill="1" applyBorder="1" applyAlignment="1">
      <alignment horizontal="center" vertical="center"/>
    </xf>
    <xf numFmtId="0" fontId="18" fillId="0" borderId="0" xfId="0" applyFont="1" applyAlignment="1">
      <alignment vertical="center"/>
    </xf>
    <xf numFmtId="0" fontId="10" fillId="0" borderId="0" xfId="0" applyFont="1" applyAlignment="1">
      <alignment horizontal="center" vertical="center"/>
    </xf>
    <xf numFmtId="0" fontId="0" fillId="0" borderId="0" xfId="0" applyAlignment="1">
      <alignment vertical="center"/>
    </xf>
    <xf numFmtId="0" fontId="18" fillId="0" borderId="4" xfId="0" applyFont="1" applyBorder="1" applyAlignment="1">
      <alignment vertical="center"/>
    </xf>
    <xf numFmtId="0" fontId="12" fillId="19" borderId="56" xfId="0" applyFont="1" applyFill="1" applyBorder="1" applyAlignment="1">
      <alignment vertical="center"/>
    </xf>
    <xf numFmtId="0" fontId="12" fillId="19" borderId="0" xfId="0" applyFont="1" applyFill="1" applyAlignment="1">
      <alignment vertical="center"/>
    </xf>
    <xf numFmtId="0" fontId="12" fillId="19" borderId="57" xfId="0" applyFont="1" applyFill="1" applyBorder="1" applyAlignment="1">
      <alignment vertical="center"/>
    </xf>
    <xf numFmtId="0" fontId="18" fillId="0" borderId="56" xfId="0" applyFont="1" applyBorder="1" applyAlignment="1">
      <alignment vertical="center"/>
    </xf>
    <xf numFmtId="0" fontId="18" fillId="0" borderId="57" xfId="0" applyFont="1" applyBorder="1" applyAlignment="1">
      <alignment vertical="center"/>
    </xf>
    <xf numFmtId="0" fontId="18" fillId="0" borderId="10" xfId="0" applyFont="1" applyBorder="1" applyAlignment="1">
      <alignment vertical="center"/>
    </xf>
    <xf numFmtId="0" fontId="18" fillId="0" borderId="58" xfId="0" applyFont="1" applyBorder="1" applyAlignment="1">
      <alignment vertical="center"/>
    </xf>
    <xf numFmtId="0" fontId="18" fillId="0" borderId="43" xfId="0" applyFont="1" applyBorder="1" applyAlignment="1">
      <alignment vertical="center"/>
    </xf>
    <xf numFmtId="0" fontId="32" fillId="20" borderId="56" xfId="0" applyFont="1" applyFill="1" applyBorder="1" applyAlignment="1">
      <alignment vertical="center" wrapText="1" shrinkToFit="1"/>
    </xf>
    <xf numFmtId="0" fontId="32" fillId="20" borderId="0" xfId="0" applyFont="1" applyFill="1" applyAlignment="1">
      <alignment vertical="center" wrapText="1" shrinkToFit="1"/>
    </xf>
    <xf numFmtId="0" fontId="32" fillId="20" borderId="57" xfId="0" applyFont="1" applyFill="1" applyBorder="1" applyAlignment="1">
      <alignment vertical="center" wrapText="1" shrinkToFit="1"/>
    </xf>
    <xf numFmtId="0" fontId="32" fillId="21" borderId="56" xfId="0" applyFont="1" applyFill="1" applyBorder="1" applyAlignment="1">
      <alignment vertical="center" wrapText="1" shrinkToFit="1"/>
    </xf>
    <xf numFmtId="0" fontId="32" fillId="21" borderId="0" xfId="0" applyFont="1" applyFill="1" applyAlignment="1">
      <alignment vertical="center" wrapText="1" shrinkToFit="1"/>
    </xf>
    <xf numFmtId="0" fontId="32" fillId="21" borderId="57" xfId="0" applyFont="1" applyFill="1" applyBorder="1" applyAlignment="1">
      <alignment vertical="center" wrapText="1" shrinkToFit="1"/>
    </xf>
    <xf numFmtId="0" fontId="32" fillId="9" borderId="56" xfId="0" applyFont="1" applyFill="1" applyBorder="1" applyAlignment="1">
      <alignment vertical="center" wrapText="1" shrinkToFit="1"/>
    </xf>
    <xf numFmtId="0" fontId="32" fillId="9" borderId="0" xfId="0" applyFont="1" applyFill="1" applyAlignment="1">
      <alignment vertical="center" wrapText="1" shrinkToFit="1"/>
    </xf>
    <xf numFmtId="0" fontId="32" fillId="9" borderId="57" xfId="0" applyFont="1" applyFill="1" applyBorder="1" applyAlignment="1">
      <alignment vertical="center" wrapText="1" shrinkToFit="1"/>
    </xf>
    <xf numFmtId="0" fontId="32" fillId="22" borderId="56" xfId="0" applyFont="1" applyFill="1" applyBorder="1" applyAlignment="1">
      <alignment horizontal="center" vertical="center"/>
    </xf>
    <xf numFmtId="0" fontId="32" fillId="22" borderId="0" xfId="0" applyFont="1" applyFill="1" applyAlignment="1">
      <alignment horizontal="center" vertical="center"/>
    </xf>
    <xf numFmtId="0" fontId="32" fillId="22" borderId="57" xfId="0" applyFont="1" applyFill="1" applyBorder="1" applyAlignment="1">
      <alignment horizontal="center" vertical="center"/>
    </xf>
    <xf numFmtId="0" fontId="18" fillId="0" borderId="59" xfId="0" applyFont="1" applyBorder="1" applyAlignment="1">
      <alignment vertical="center"/>
    </xf>
    <xf numFmtId="0" fontId="18" fillId="0" borderId="60" xfId="0" applyFont="1" applyBorder="1" applyAlignment="1">
      <alignment vertical="center"/>
    </xf>
    <xf numFmtId="0" fontId="18" fillId="0" borderId="36" xfId="0" applyFont="1" applyBorder="1" applyAlignment="1">
      <alignment vertical="center"/>
    </xf>
    <xf numFmtId="0" fontId="8" fillId="0" borderId="0" xfId="0" applyFont="1" applyAlignment="1">
      <alignment horizontal="center" vertical="center"/>
    </xf>
    <xf numFmtId="0" fontId="10" fillId="0" borderId="0" xfId="0" applyFont="1" applyAlignment="1">
      <alignment vertical="center"/>
    </xf>
    <xf numFmtId="166" fontId="8" fillId="0" borderId="0" xfId="6" applyNumberFormat="1" applyFont="1" applyAlignment="1">
      <alignment horizontal="center" vertical="center"/>
    </xf>
    <xf numFmtId="0" fontId="34" fillId="18" borderId="4" xfId="0" applyFont="1" applyFill="1" applyBorder="1" applyAlignment="1">
      <alignment horizontal="center" vertical="center"/>
    </xf>
    <xf numFmtId="0" fontId="35" fillId="18" borderId="4" xfId="0" applyFont="1" applyFill="1" applyBorder="1" applyAlignment="1">
      <alignment horizontal="center" vertical="center" wrapText="1" shrinkToFit="1"/>
    </xf>
    <xf numFmtId="0" fontId="6" fillId="18" borderId="4" xfId="0" applyFont="1" applyFill="1" applyBorder="1" applyAlignment="1">
      <alignment horizontal="center" vertical="center" wrapText="1"/>
    </xf>
    <xf numFmtId="0" fontId="32" fillId="19" borderId="4" xfId="0" applyFont="1" applyFill="1" applyBorder="1" applyAlignment="1">
      <alignment horizontal="center" vertical="center" wrapText="1" shrinkToFit="1"/>
    </xf>
    <xf numFmtId="0" fontId="32" fillId="20" borderId="4" xfId="0" applyFont="1" applyFill="1" applyBorder="1" applyAlignment="1">
      <alignment horizontal="center" vertical="center" wrapText="1" shrinkToFit="1"/>
    </xf>
    <xf numFmtId="0" fontId="32" fillId="21" borderId="4" xfId="0" applyFont="1" applyFill="1" applyBorder="1" applyAlignment="1">
      <alignment horizontal="center" vertical="center" wrapText="1" shrinkToFit="1"/>
    </xf>
    <xf numFmtId="0" fontId="32" fillId="9" borderId="4" xfId="0" applyFont="1" applyFill="1" applyBorder="1" applyAlignment="1">
      <alignment horizontal="center" vertical="center" wrapText="1" shrinkToFit="1"/>
    </xf>
    <xf numFmtId="0" fontId="32" fillId="22" borderId="4" xfId="0" applyFont="1" applyFill="1" applyBorder="1" applyAlignment="1">
      <alignment horizontal="center" vertical="center"/>
    </xf>
    <xf numFmtId="0" fontId="32" fillId="0" borderId="4" xfId="0" applyFont="1" applyBorder="1" applyAlignment="1">
      <alignment horizontal="left" vertical="center"/>
    </xf>
    <xf numFmtId="0" fontId="32" fillId="0" borderId="4" xfId="0" applyFont="1" applyBorder="1" applyAlignment="1">
      <alignment horizontal="center" vertical="center"/>
    </xf>
    <xf numFmtId="1" fontId="32" fillId="0" borderId="4" xfId="0" applyNumberFormat="1" applyFont="1" applyBorder="1" applyAlignment="1">
      <alignment horizontal="center" vertical="center"/>
    </xf>
    <xf numFmtId="167" fontId="32" fillId="0" borderId="4" xfId="0" applyNumberFormat="1" applyFont="1" applyBorder="1" applyAlignment="1">
      <alignment horizontal="center" vertical="center"/>
    </xf>
    <xf numFmtId="0" fontId="32" fillId="0" borderId="9" xfId="0" applyFont="1" applyBorder="1" applyAlignment="1">
      <alignment horizontal="center" vertical="center"/>
    </xf>
    <xf numFmtId="0" fontId="36" fillId="0" borderId="4" xfId="0" applyFont="1" applyBorder="1" applyAlignment="1">
      <alignment horizontal="center" vertical="center"/>
    </xf>
    <xf numFmtId="0" fontId="6" fillId="23" borderId="4" xfId="0" applyFont="1" applyFill="1" applyBorder="1" applyAlignment="1">
      <alignment vertical="center"/>
    </xf>
    <xf numFmtId="0" fontId="32" fillId="23" borderId="4" xfId="0" applyFont="1" applyFill="1" applyBorder="1" applyAlignment="1">
      <alignment horizontal="left" vertical="center"/>
    </xf>
    <xf numFmtId="0" fontId="32" fillId="23" borderId="4" xfId="0" applyFont="1" applyFill="1" applyBorder="1" applyAlignment="1">
      <alignment horizontal="center" vertical="center"/>
    </xf>
    <xf numFmtId="167" fontId="32" fillId="23" borderId="4" xfId="0" applyNumberFormat="1" applyFont="1" applyFill="1" applyBorder="1" applyAlignment="1">
      <alignment horizontal="center" vertical="center"/>
    </xf>
    <xf numFmtId="167" fontId="37" fillId="23" borderId="4" xfId="0" applyNumberFormat="1" applyFont="1" applyFill="1" applyBorder="1" applyAlignment="1">
      <alignment horizontal="right" vertical="center"/>
    </xf>
    <xf numFmtId="0" fontId="37" fillId="23" borderId="9" xfId="0" applyFont="1" applyFill="1" applyBorder="1" applyAlignment="1">
      <alignment horizontal="right" vertical="center"/>
    </xf>
    <xf numFmtId="0" fontId="37" fillId="23" borderId="4" xfId="0" applyFont="1" applyFill="1" applyBorder="1" applyAlignment="1">
      <alignment horizontal="right" vertical="center"/>
    </xf>
    <xf numFmtId="0" fontId="32" fillId="0" borderId="4" xfId="0" applyFont="1" applyBorder="1" applyAlignment="1">
      <alignment horizontal="left" vertical="center" indent="1"/>
    </xf>
    <xf numFmtId="1" fontId="32" fillId="0" borderId="4" xfId="0" applyNumberFormat="1" applyFont="1" applyBorder="1" applyAlignment="1">
      <alignment horizontal="left" vertical="center"/>
    </xf>
    <xf numFmtId="0" fontId="32" fillId="19" borderId="4" xfId="0" applyFont="1" applyFill="1" applyBorder="1" applyAlignment="1">
      <alignment horizontal="center" vertical="center"/>
    </xf>
    <xf numFmtId="0" fontId="36" fillId="19" borderId="4" xfId="0" applyFont="1" applyFill="1" applyBorder="1" applyAlignment="1">
      <alignment horizontal="center" vertical="center"/>
    </xf>
    <xf numFmtId="0" fontId="12" fillId="19" borderId="4" xfId="0" applyFont="1" applyFill="1" applyBorder="1" applyAlignment="1">
      <alignment horizontal="center" vertical="center"/>
    </xf>
    <xf numFmtId="0" fontId="36" fillId="20" borderId="4" xfId="0" applyFont="1" applyFill="1" applyBorder="1" applyAlignment="1">
      <alignment horizontal="center" vertical="center"/>
    </xf>
    <xf numFmtId="0" fontId="32" fillId="20" borderId="4" xfId="0" applyFont="1" applyFill="1" applyBorder="1" applyAlignment="1">
      <alignment horizontal="center" vertical="center"/>
    </xf>
    <xf numFmtId="0" fontId="36" fillId="21" borderId="4" xfId="0" applyFont="1" applyFill="1" applyBorder="1" applyAlignment="1">
      <alignment horizontal="center" vertical="center"/>
    </xf>
    <xf numFmtId="0" fontId="36" fillId="9" borderId="4" xfId="0" applyFont="1" applyFill="1" applyBorder="1" applyAlignment="1">
      <alignment horizontal="center" vertical="center"/>
    </xf>
    <xf numFmtId="0" fontId="32" fillId="9" borderId="4" xfId="0" applyFont="1" applyFill="1" applyBorder="1" applyAlignment="1">
      <alignment horizontal="center" vertical="center"/>
    </xf>
    <xf numFmtId="0" fontId="21" fillId="24" borderId="4" xfId="0" applyFont="1" applyFill="1" applyBorder="1" applyAlignment="1">
      <alignment horizontal="right" vertical="center"/>
    </xf>
    <xf numFmtId="0" fontId="21" fillId="24" borderId="4" xfId="0" applyFont="1" applyFill="1" applyBorder="1" applyAlignment="1">
      <alignment horizontal="left" vertical="center"/>
    </xf>
    <xf numFmtId="0" fontId="21" fillId="24" borderId="4" xfId="0" applyFont="1" applyFill="1" applyBorder="1" applyAlignment="1">
      <alignment horizontal="center" vertical="center"/>
    </xf>
    <xf numFmtId="1" fontId="38" fillId="24" borderId="4" xfId="0" applyNumberFormat="1" applyFont="1" applyFill="1" applyBorder="1" applyAlignment="1">
      <alignment horizontal="center" vertical="center"/>
    </xf>
    <xf numFmtId="167" fontId="38" fillId="24" borderId="4" xfId="0" applyNumberFormat="1" applyFont="1" applyFill="1" applyBorder="1" applyAlignment="1">
      <alignment horizontal="center" vertical="center"/>
    </xf>
    <xf numFmtId="0" fontId="18" fillId="24" borderId="0" xfId="0" applyFont="1" applyFill="1" applyAlignment="1">
      <alignment vertical="center"/>
    </xf>
    <xf numFmtId="0" fontId="36" fillId="24" borderId="0" xfId="0" applyFont="1" applyFill="1" applyAlignment="1">
      <alignment vertical="center"/>
    </xf>
    <xf numFmtId="0" fontId="39" fillId="23" borderId="4" xfId="0" applyFont="1" applyFill="1" applyBorder="1" applyAlignment="1">
      <alignment horizontal="right" vertical="center"/>
    </xf>
    <xf numFmtId="0" fontId="32" fillId="25" borderId="4" xfId="0" applyFont="1" applyFill="1" applyBorder="1" applyAlignment="1">
      <alignment horizontal="left" vertical="center" indent="1"/>
    </xf>
    <xf numFmtId="0" fontId="32" fillId="25" borderId="4" xfId="0" applyFont="1" applyFill="1" applyBorder="1" applyAlignment="1">
      <alignment horizontal="left" vertical="center"/>
    </xf>
    <xf numFmtId="0" fontId="32" fillId="25" borderId="4" xfId="0" applyFont="1" applyFill="1" applyBorder="1" applyAlignment="1">
      <alignment horizontal="center" vertical="center"/>
    </xf>
    <xf numFmtId="1" fontId="32" fillId="25" borderId="4" xfId="0" applyNumberFormat="1" applyFont="1" applyFill="1" applyBorder="1" applyAlignment="1">
      <alignment horizontal="center" vertical="center"/>
    </xf>
    <xf numFmtId="167" fontId="32" fillId="25" borderId="4" xfId="0" applyNumberFormat="1" applyFont="1" applyFill="1" applyBorder="1" applyAlignment="1">
      <alignment horizontal="center" vertical="center"/>
    </xf>
    <xf numFmtId="0" fontId="37" fillId="25" borderId="4" xfId="0" applyFont="1" applyFill="1" applyBorder="1" applyAlignment="1">
      <alignment horizontal="right" vertical="center"/>
    </xf>
    <xf numFmtId="0" fontId="32" fillId="25" borderId="4" xfId="0" applyFont="1" applyFill="1" applyBorder="1" applyAlignment="1">
      <alignment horizontal="left" vertical="center" wrapText="1" indent="1"/>
    </xf>
    <xf numFmtId="0" fontId="32" fillId="20" borderId="4" xfId="0" applyFont="1" applyFill="1" applyBorder="1" applyAlignment="1">
      <alignment horizontal="left" vertical="center" indent="1"/>
    </xf>
    <xf numFmtId="0" fontId="32" fillId="20" borderId="4" xfId="0" applyFont="1" applyFill="1" applyBorder="1" applyAlignment="1">
      <alignment horizontal="left" vertical="center"/>
    </xf>
    <xf numFmtId="1" fontId="32" fillId="20" borderId="4" xfId="0" applyNumberFormat="1" applyFont="1" applyFill="1" applyBorder="1" applyAlignment="1">
      <alignment horizontal="center" vertical="center"/>
    </xf>
    <xf numFmtId="167" fontId="32" fillId="20" borderId="4" xfId="0" applyNumberFormat="1" applyFont="1" applyFill="1" applyBorder="1" applyAlignment="1">
      <alignment horizontal="center" vertical="center"/>
    </xf>
    <xf numFmtId="0" fontId="37" fillId="20" borderId="4" xfId="0" applyFont="1" applyFill="1" applyBorder="1" applyAlignment="1">
      <alignment horizontal="right" vertical="center"/>
    </xf>
    <xf numFmtId="0" fontId="32" fillId="20" borderId="4" xfId="0" applyFont="1" applyFill="1" applyBorder="1" applyAlignment="1">
      <alignment horizontal="left" vertical="center" wrapText="1" indent="1"/>
    </xf>
    <xf numFmtId="0" fontId="6" fillId="23" borderId="4" xfId="0" applyFont="1" applyFill="1" applyBorder="1" applyAlignment="1">
      <alignment horizontal="left" vertical="center"/>
    </xf>
    <xf numFmtId="0" fontId="32" fillId="23" borderId="9" xfId="0" applyFont="1" applyFill="1" applyBorder="1" applyAlignment="1">
      <alignment horizontal="center" vertical="center"/>
    </xf>
    <xf numFmtId="0" fontId="12" fillId="21" borderId="4" xfId="0" applyFont="1" applyFill="1" applyBorder="1" applyAlignment="1">
      <alignment horizontal="left" vertical="center" indent="1"/>
    </xf>
    <xf numFmtId="0" fontId="32" fillId="21" borderId="4" xfId="0" applyFont="1" applyFill="1" applyBorder="1" applyAlignment="1">
      <alignment horizontal="left" vertical="center"/>
    </xf>
    <xf numFmtId="0" fontId="32" fillId="21" borderId="4" xfId="0" applyFont="1" applyFill="1" applyBorder="1" applyAlignment="1">
      <alignment horizontal="center" vertical="center"/>
    </xf>
    <xf numFmtId="1" fontId="32" fillId="21" borderId="4" xfId="0" applyNumberFormat="1" applyFont="1" applyFill="1" applyBorder="1" applyAlignment="1">
      <alignment horizontal="center" vertical="center"/>
    </xf>
    <xf numFmtId="167" fontId="32" fillId="21" borderId="4" xfId="0" applyNumberFormat="1" applyFont="1" applyFill="1" applyBorder="1" applyAlignment="1">
      <alignment horizontal="center" vertical="center"/>
    </xf>
    <xf numFmtId="0" fontId="12" fillId="21" borderId="4" xfId="0" applyFont="1" applyFill="1" applyBorder="1" applyAlignment="1">
      <alignment horizontal="center" vertical="center"/>
    </xf>
    <xf numFmtId="0" fontId="32" fillId="21" borderId="4" xfId="0" applyFont="1" applyFill="1" applyBorder="1" applyAlignment="1">
      <alignment horizontal="left" vertical="center" wrapText="1"/>
    </xf>
    <xf numFmtId="0" fontId="32" fillId="21" borderId="4" xfId="0" applyFont="1" applyFill="1" applyBorder="1" applyAlignment="1">
      <alignment horizontal="center" vertical="center" wrapText="1"/>
    </xf>
    <xf numFmtId="0" fontId="32" fillId="21" borderId="4" xfId="0" applyFont="1" applyFill="1" applyBorder="1" applyAlignment="1">
      <alignment horizontal="left" vertical="center" indent="1"/>
    </xf>
    <xf numFmtId="0" fontId="38" fillId="24" borderId="4" xfId="0" applyFont="1" applyFill="1" applyBorder="1" applyAlignment="1">
      <alignment horizontal="right" vertical="center"/>
    </xf>
    <xf numFmtId="0" fontId="40" fillId="24" borderId="4" xfId="0" applyFont="1" applyFill="1" applyBorder="1" applyAlignment="1">
      <alignment horizontal="left" vertical="center"/>
    </xf>
    <xf numFmtId="0" fontId="40" fillId="24" borderId="4" xfId="0" applyFont="1" applyFill="1" applyBorder="1" applyAlignment="1">
      <alignment horizontal="center" vertical="center"/>
    </xf>
    <xf numFmtId="0" fontId="12" fillId="9" borderId="4" xfId="0" applyFont="1" applyFill="1" applyBorder="1" applyAlignment="1">
      <alignment vertical="center"/>
    </xf>
    <xf numFmtId="0" fontId="32" fillId="9" borderId="4" xfId="0" applyFont="1" applyFill="1" applyBorder="1" applyAlignment="1">
      <alignment horizontal="left" vertical="center"/>
    </xf>
    <xf numFmtId="1" fontId="32" fillId="9" borderId="4" xfId="0" applyNumberFormat="1" applyFont="1" applyFill="1" applyBorder="1" applyAlignment="1">
      <alignment horizontal="center" vertical="center"/>
    </xf>
    <xf numFmtId="167" fontId="32" fillId="9" borderId="4" xfId="0" applyNumberFormat="1" applyFont="1" applyFill="1" applyBorder="1" applyAlignment="1">
      <alignment horizontal="center" vertical="center"/>
    </xf>
    <xf numFmtId="0" fontId="32" fillId="9" borderId="4" xfId="0" applyFont="1" applyFill="1" applyBorder="1" applyAlignment="1">
      <alignment horizontal="left" vertical="center" indent="1"/>
    </xf>
    <xf numFmtId="0" fontId="12" fillId="9" borderId="4" xfId="0" applyFont="1" applyFill="1" applyBorder="1" applyAlignment="1">
      <alignment horizontal="left" vertical="center" indent="1"/>
    </xf>
    <xf numFmtId="0" fontId="32" fillId="0" borderId="4" xfId="0" applyFont="1" applyBorder="1" applyAlignment="1">
      <alignment vertical="center"/>
    </xf>
    <xf numFmtId="0" fontId="32" fillId="23" borderId="4" xfId="0" applyFont="1" applyFill="1" applyBorder="1" applyAlignment="1">
      <alignment vertical="center"/>
    </xf>
    <xf numFmtId="0" fontId="32" fillId="22" borderId="4" xfId="0" applyFont="1" applyFill="1" applyBorder="1" applyAlignment="1">
      <alignment horizontal="left" vertical="center" indent="1"/>
    </xf>
    <xf numFmtId="0" fontId="32" fillId="22" borderId="4" xfId="0" applyFont="1" applyFill="1" applyBorder="1" applyAlignment="1">
      <alignment horizontal="left" vertical="center"/>
    </xf>
    <xf numFmtId="167" fontId="32" fillId="22" borderId="4" xfId="0" applyNumberFormat="1" applyFont="1" applyFill="1" applyBorder="1" applyAlignment="1">
      <alignment horizontal="center" vertical="center"/>
    </xf>
    <xf numFmtId="0" fontId="38" fillId="24" borderId="44" xfId="0" applyFont="1" applyFill="1" applyBorder="1" applyAlignment="1">
      <alignment horizontal="right" vertical="center"/>
    </xf>
    <xf numFmtId="0" fontId="40" fillId="24" borderId="44" xfId="0" applyFont="1" applyFill="1" applyBorder="1" applyAlignment="1">
      <alignment horizontal="center" vertical="center"/>
    </xf>
    <xf numFmtId="1" fontId="38" fillId="24" borderId="44" xfId="0" applyNumberFormat="1" applyFont="1" applyFill="1" applyBorder="1" applyAlignment="1">
      <alignment horizontal="center" vertical="center"/>
    </xf>
    <xf numFmtId="167" fontId="38" fillId="24" borderId="44" xfId="0" applyNumberFormat="1" applyFont="1" applyFill="1" applyBorder="1" applyAlignment="1">
      <alignment horizontal="center" vertical="center"/>
    </xf>
    <xf numFmtId="1" fontId="41" fillId="18" borderId="4" xfId="0" applyNumberFormat="1" applyFont="1" applyFill="1" applyBorder="1" applyAlignment="1">
      <alignment horizontal="center" vertical="center"/>
    </xf>
    <xf numFmtId="168" fontId="41" fillId="18" borderId="4" xfId="0" applyNumberFormat="1" applyFont="1" applyFill="1" applyBorder="1" applyAlignment="1">
      <alignment horizontal="center" vertical="center"/>
    </xf>
    <xf numFmtId="0" fontId="42" fillId="26" borderId="41" xfId="0" applyFont="1" applyFill="1" applyBorder="1" applyAlignment="1">
      <alignment horizontal="center" vertical="center"/>
    </xf>
    <xf numFmtId="0" fontId="42" fillId="26" borderId="4" xfId="0" applyFont="1" applyFill="1" applyBorder="1" applyAlignment="1">
      <alignment horizontal="center" vertical="center"/>
    </xf>
    <xf numFmtId="0" fontId="42" fillId="26" borderId="4" xfId="0" applyFont="1" applyFill="1" applyBorder="1" applyAlignment="1">
      <alignment horizontal="center" vertical="center" wrapText="1"/>
    </xf>
    <xf numFmtId="0" fontId="42" fillId="26" borderId="26" xfId="0" applyFont="1" applyFill="1" applyBorder="1" applyAlignment="1">
      <alignment horizontal="center" vertical="center"/>
    </xf>
    <xf numFmtId="0" fontId="26" fillId="27" borderId="38" xfId="0" applyFont="1" applyFill="1" applyBorder="1" applyAlignment="1">
      <alignment horizontal="left" vertical="center" wrapText="1"/>
    </xf>
    <xf numFmtId="1" fontId="26" fillId="27" borderId="4" xfId="0" applyNumberFormat="1" applyFont="1" applyFill="1" applyBorder="1" applyAlignment="1">
      <alignment horizontal="center" vertical="center"/>
    </xf>
    <xf numFmtId="44" fontId="26" fillId="27" borderId="4" xfId="1" applyFont="1" applyFill="1" applyBorder="1" applyAlignment="1">
      <alignment horizontal="center" vertical="center"/>
    </xf>
    <xf numFmtId="166" fontId="26" fillId="27" borderId="26" xfId="1" applyNumberFormat="1" applyFont="1" applyFill="1" applyBorder="1" applyAlignment="1">
      <alignment horizontal="center" vertical="center"/>
    </xf>
    <xf numFmtId="0" fontId="26" fillId="27" borderId="4" xfId="0" applyFont="1" applyFill="1" applyBorder="1" applyAlignment="1">
      <alignment horizontal="center" vertical="center"/>
    </xf>
    <xf numFmtId="5" fontId="26" fillId="27" borderId="4" xfId="1" applyNumberFormat="1" applyFont="1" applyFill="1" applyBorder="1" applyAlignment="1">
      <alignment horizontal="center" vertical="center"/>
    </xf>
    <xf numFmtId="0" fontId="0" fillId="0" borderId="41" xfId="0" applyBorder="1"/>
    <xf numFmtId="0" fontId="0" fillId="0" borderId="26" xfId="0" applyBorder="1"/>
    <xf numFmtId="44" fontId="0" fillId="0" borderId="26" xfId="0" applyNumberFormat="1" applyBorder="1"/>
    <xf numFmtId="0" fontId="26" fillId="27" borderId="41" xfId="0" applyFont="1" applyFill="1" applyBorder="1" applyAlignment="1">
      <alignment horizontal="left" vertical="center"/>
    </xf>
    <xf numFmtId="1" fontId="26" fillId="27" borderId="4" xfId="0" applyNumberFormat="1" applyFont="1" applyFill="1" applyBorder="1" applyAlignment="1">
      <alignment horizontal="center" vertical="center" wrapText="1"/>
    </xf>
    <xf numFmtId="0" fontId="26" fillId="27" borderId="4" xfId="0" applyFont="1" applyFill="1" applyBorder="1" applyAlignment="1">
      <alignment horizontal="center" vertical="center" wrapText="1"/>
    </xf>
    <xf numFmtId="0" fontId="44" fillId="28" borderId="5" xfId="0" applyFont="1" applyFill="1" applyBorder="1" applyAlignment="1">
      <alignment horizontal="left" vertical="center" wrapText="1"/>
    </xf>
    <xf numFmtId="0" fontId="45" fillId="28" borderId="15" xfId="0" applyFont="1" applyFill="1" applyBorder="1" applyAlignment="1">
      <alignment horizontal="center" vertical="center"/>
    </xf>
    <xf numFmtId="166" fontId="0" fillId="0" borderId="15" xfId="0" applyNumberFormat="1" applyBorder="1"/>
    <xf numFmtId="0" fontId="42" fillId="26" borderId="35" xfId="0" applyFont="1" applyFill="1" applyBorder="1" applyAlignment="1">
      <alignment horizontal="center" vertical="center"/>
    </xf>
    <xf numFmtId="0" fontId="42" fillId="26" borderId="62" xfId="0" applyFont="1" applyFill="1" applyBorder="1" applyAlignment="1">
      <alignment horizontal="center" vertical="center"/>
    </xf>
    <xf numFmtId="0" fontId="42" fillId="26" borderId="62" xfId="0" applyFont="1" applyFill="1" applyBorder="1" applyAlignment="1">
      <alignment horizontal="center" vertical="center" wrapText="1"/>
    </xf>
    <xf numFmtId="0" fontId="42" fillId="26" borderId="27" xfId="0" applyFont="1" applyFill="1" applyBorder="1" applyAlignment="1">
      <alignment horizontal="center" vertical="center"/>
    </xf>
    <xf numFmtId="0" fontId="26" fillId="17" borderId="41" xfId="0" applyFont="1" applyFill="1" applyBorder="1" applyAlignment="1">
      <alignment horizontal="left" vertical="center" wrapText="1"/>
    </xf>
    <xf numFmtId="0" fontId="26" fillId="17" borderId="4" xfId="0" applyFont="1" applyFill="1" applyBorder="1" applyAlignment="1">
      <alignment horizontal="center" vertical="center"/>
    </xf>
    <xf numFmtId="44" fontId="26" fillId="17" borderId="41" xfId="1" applyFont="1" applyFill="1" applyBorder="1" applyAlignment="1">
      <alignment horizontal="left" vertical="center" wrapText="1"/>
    </xf>
    <xf numFmtId="166" fontId="26" fillId="17" borderId="26" xfId="1" applyNumberFormat="1" applyFont="1" applyFill="1" applyBorder="1" applyAlignment="1">
      <alignment horizontal="center" vertical="center"/>
    </xf>
    <xf numFmtId="43" fontId="0" fillId="0" borderId="0" xfId="5" applyFont="1"/>
    <xf numFmtId="0" fontId="46" fillId="11" borderId="41" xfId="0" applyFont="1" applyFill="1" applyBorder="1" applyAlignment="1">
      <alignment horizontal="left" vertical="center" wrapText="1"/>
    </xf>
    <xf numFmtId="1" fontId="26" fillId="11" borderId="4" xfId="0" applyNumberFormat="1" applyFont="1" applyFill="1" applyBorder="1" applyAlignment="1">
      <alignment horizontal="center" vertical="center"/>
    </xf>
    <xf numFmtId="5" fontId="26" fillId="11" borderId="4" xfId="1" applyNumberFormat="1" applyFont="1" applyFill="1" applyBorder="1" applyAlignment="1">
      <alignment horizontal="center" vertical="center"/>
    </xf>
    <xf numFmtId="166" fontId="26" fillId="11" borderId="26" xfId="1" applyNumberFormat="1" applyFont="1" applyFill="1" applyBorder="1" applyAlignment="1">
      <alignment horizontal="center" vertical="center"/>
    </xf>
    <xf numFmtId="0" fontId="26" fillId="11" borderId="38" xfId="0" applyFont="1" applyFill="1" applyBorder="1" applyAlignment="1">
      <alignment horizontal="left" vertical="center" wrapText="1"/>
    </xf>
    <xf numFmtId="0" fontId="26" fillId="11" borderId="41" xfId="0" applyFont="1" applyFill="1" applyBorder="1" applyAlignment="1">
      <alignment horizontal="left" vertical="center"/>
    </xf>
    <xf numFmtId="1" fontId="26" fillId="11" borderId="4" xfId="0" applyNumberFormat="1" applyFont="1" applyFill="1" applyBorder="1" applyAlignment="1">
      <alignment horizontal="center" vertical="center" wrapText="1"/>
    </xf>
    <xf numFmtId="167" fontId="26" fillId="11" borderId="26" xfId="0" applyNumberFormat="1" applyFont="1" applyFill="1" applyBorder="1" applyAlignment="1">
      <alignment horizontal="right" vertical="center" wrapText="1"/>
    </xf>
    <xf numFmtId="0" fontId="26" fillId="16" borderId="41" xfId="0" applyFont="1" applyFill="1" applyBorder="1" applyAlignment="1">
      <alignment horizontal="left" vertical="center"/>
    </xf>
    <xf numFmtId="0" fontId="26" fillId="16" borderId="4" xfId="0" applyFont="1" applyFill="1" applyBorder="1" applyAlignment="1">
      <alignment horizontal="center" vertical="center" wrapText="1"/>
    </xf>
    <xf numFmtId="5" fontId="26" fillId="0" borderId="4" xfId="1" applyNumberFormat="1" applyFont="1" applyFill="1" applyBorder="1" applyAlignment="1">
      <alignment horizontal="center" vertical="center"/>
    </xf>
    <xf numFmtId="167" fontId="26" fillId="16" borderId="26" xfId="0" applyNumberFormat="1" applyFont="1" applyFill="1" applyBorder="1" applyAlignment="1">
      <alignment horizontal="right" vertical="center" wrapText="1"/>
    </xf>
    <xf numFmtId="0" fontId="26" fillId="11" borderId="41" xfId="0" applyFont="1" applyFill="1" applyBorder="1" applyAlignment="1">
      <alignment horizontal="left" vertical="center" wrapText="1"/>
    </xf>
    <xf numFmtId="0" fontId="26" fillId="17" borderId="38" xfId="0" applyFont="1" applyFill="1" applyBorder="1" applyAlignment="1">
      <alignment horizontal="left" vertical="center" wrapText="1"/>
    </xf>
    <xf numFmtId="0" fontId="11" fillId="0" borderId="0" xfId="0" applyFont="1" applyAlignment="1">
      <alignment vertical="center"/>
    </xf>
    <xf numFmtId="0" fontId="21" fillId="14" borderId="63" xfId="0" applyFont="1" applyFill="1" applyBorder="1" applyAlignment="1">
      <alignment horizontal="center" vertical="center" wrapText="1"/>
    </xf>
    <xf numFmtId="0" fontId="11" fillId="0" borderId="0" xfId="0" applyFont="1"/>
    <xf numFmtId="0" fontId="32" fillId="0" borderId="41" xfId="0" applyFont="1" applyBorder="1" applyAlignment="1">
      <alignment horizontal="center" vertical="center"/>
    </xf>
    <xf numFmtId="0" fontId="32" fillId="0" borderId="4" xfId="0" applyFont="1" applyBorder="1" applyAlignment="1">
      <alignment vertical="center" wrapText="1"/>
    </xf>
    <xf numFmtId="44" fontId="12" fillId="29" borderId="26" xfId="1" applyFont="1" applyFill="1" applyBorder="1" applyAlignment="1">
      <alignment vertical="center"/>
    </xf>
    <xf numFmtId="44" fontId="11" fillId="0" borderId="0" xfId="0" applyNumberFormat="1" applyFont="1"/>
    <xf numFmtId="0" fontId="21" fillId="14" borderId="41" xfId="0" applyFont="1" applyFill="1" applyBorder="1" applyAlignment="1">
      <alignment horizontal="center" vertical="center" wrapText="1"/>
    </xf>
    <xf numFmtId="0" fontId="21" fillId="14" borderId="4" xfId="0" applyFont="1" applyFill="1" applyBorder="1" applyAlignment="1">
      <alignment horizontal="center" vertical="center" wrapText="1"/>
    </xf>
    <xf numFmtId="0" fontId="6" fillId="14" borderId="26" xfId="0" applyFont="1" applyFill="1" applyBorder="1" applyAlignment="1">
      <alignment horizontal="center" vertical="center" wrapText="1"/>
    </xf>
    <xf numFmtId="0" fontId="32" fillId="0" borderId="4" xfId="0" applyFont="1" applyBorder="1" applyAlignment="1">
      <alignment horizontal="left" vertical="center" wrapText="1"/>
    </xf>
    <xf numFmtId="44" fontId="11" fillId="0" borderId="0" xfId="0" quotePrefix="1" applyNumberFormat="1" applyFont="1"/>
    <xf numFmtId="0" fontId="21" fillId="14" borderId="4" xfId="0" applyFont="1" applyFill="1" applyBorder="1" applyAlignment="1">
      <alignment vertical="center" wrapText="1"/>
    </xf>
    <xf numFmtId="0" fontId="12" fillId="0" borderId="4" xfId="0" applyFont="1" applyBorder="1" applyAlignment="1">
      <alignment vertical="center" wrapText="1"/>
    </xf>
    <xf numFmtId="0" fontId="32" fillId="0" borderId="42" xfId="0" applyFont="1" applyBorder="1" applyAlignment="1">
      <alignment horizontal="center" vertical="center"/>
    </xf>
    <xf numFmtId="0" fontId="32" fillId="0" borderId="46" xfId="0" applyFont="1" applyBorder="1" applyAlignment="1">
      <alignment vertical="center" wrapText="1"/>
    </xf>
    <xf numFmtId="44" fontId="12" fillId="29" borderId="64" xfId="1" applyFont="1" applyFill="1" applyBorder="1" applyAlignment="1">
      <alignment vertical="center"/>
    </xf>
    <xf numFmtId="0" fontId="47" fillId="0" borderId="0" xfId="0" applyFont="1" applyAlignment="1">
      <alignment horizontal="center"/>
    </xf>
    <xf numFmtId="0" fontId="47" fillId="0" borderId="0" xfId="0" applyFont="1"/>
    <xf numFmtId="164" fontId="47" fillId="0" borderId="0" xfId="0" applyNumberFormat="1" applyFont="1"/>
    <xf numFmtId="0" fontId="21" fillId="14" borderId="65" xfId="0" applyFont="1" applyFill="1" applyBorder="1" applyAlignment="1">
      <alignment horizontal="center" vertical="center" wrapText="1"/>
    </xf>
    <xf numFmtId="0" fontId="21" fillId="14" borderId="66" xfId="0" applyFont="1" applyFill="1" applyBorder="1" applyAlignment="1">
      <alignment horizontal="center" vertical="center" wrapText="1"/>
    </xf>
    <xf numFmtId="0" fontId="21" fillId="14" borderId="67" xfId="0" applyFont="1" applyFill="1" applyBorder="1" applyAlignment="1">
      <alignment horizontal="center" vertical="center" wrapText="1"/>
    </xf>
    <xf numFmtId="0" fontId="32" fillId="0" borderId="35" xfId="0" applyFont="1" applyBorder="1" applyAlignment="1">
      <alignment horizontal="center" vertical="center"/>
    </xf>
    <xf numFmtId="0" fontId="32" fillId="0" borderId="62" xfId="0" applyFont="1" applyBorder="1" applyAlignment="1">
      <alignment horizontal="left" vertical="center"/>
    </xf>
    <xf numFmtId="44" fontId="32" fillId="29" borderId="26" xfId="1" applyFont="1" applyFill="1" applyBorder="1" applyAlignment="1">
      <alignment vertical="center"/>
    </xf>
    <xf numFmtId="0" fontId="21" fillId="14" borderId="26" xfId="0" applyFont="1" applyFill="1" applyBorder="1" applyAlignment="1">
      <alignment horizontal="center" vertical="center" wrapText="1"/>
    </xf>
    <xf numFmtId="0" fontId="32" fillId="0" borderId="46" xfId="0" applyFont="1" applyBorder="1" applyAlignment="1">
      <alignment horizontal="left" vertical="center"/>
    </xf>
    <xf numFmtId="44" fontId="32" fillId="29" borderId="64" xfId="1" applyFont="1" applyFill="1" applyBorder="1" applyAlignment="1">
      <alignment vertical="center"/>
    </xf>
    <xf numFmtId="0" fontId="32" fillId="0" borderId="0" xfId="0" applyFont="1" applyAlignment="1">
      <alignment horizontal="center" vertical="center"/>
    </xf>
    <xf numFmtId="0" fontId="32" fillId="0" borderId="10" xfId="0" applyFont="1" applyBorder="1" applyAlignment="1">
      <alignment horizontal="left" vertical="center"/>
    </xf>
    <xf numFmtId="44" fontId="32" fillId="29" borderId="58" xfId="1" applyFont="1" applyFill="1" applyBorder="1" applyAlignment="1">
      <alignment vertical="center"/>
    </xf>
    <xf numFmtId="0" fontId="7" fillId="0" borderId="0" xfId="0" applyFont="1" applyAlignment="1">
      <alignment vertical="center"/>
    </xf>
    <xf numFmtId="0" fontId="3" fillId="2" borderId="4" xfId="0" applyFont="1" applyFill="1" applyBorder="1" applyAlignment="1">
      <alignment horizontal="center" vertical="center" wrapText="1"/>
    </xf>
    <xf numFmtId="49" fontId="3" fillId="2" borderId="4" xfId="0" applyNumberFormat="1" applyFont="1" applyFill="1" applyBorder="1" applyAlignment="1">
      <alignment horizontal="center" vertical="center" wrapText="1"/>
    </xf>
    <xf numFmtId="0" fontId="28" fillId="30" borderId="4" xfId="0" applyFont="1" applyFill="1" applyBorder="1" applyAlignment="1">
      <alignment horizontal="center" vertical="center" wrapText="1"/>
    </xf>
    <xf numFmtId="0" fontId="30" fillId="30" borderId="4" xfId="0" applyFont="1" applyFill="1" applyBorder="1" applyAlignment="1">
      <alignment vertical="center" wrapText="1"/>
    </xf>
    <xf numFmtId="0" fontId="8" fillId="30" borderId="4" xfId="0" applyFont="1" applyFill="1" applyBorder="1" applyAlignment="1">
      <alignment horizontal="center" vertical="center" wrapText="1"/>
    </xf>
    <xf numFmtId="44" fontId="10" fillId="31" borderId="4" xfId="0" applyNumberFormat="1" applyFont="1" applyFill="1" applyBorder="1" applyAlignment="1">
      <alignment horizontal="center" vertical="center"/>
    </xf>
    <xf numFmtId="0" fontId="32" fillId="0" borderId="0" xfId="0" applyFont="1" applyAlignment="1">
      <alignment vertical="center"/>
    </xf>
    <xf numFmtId="0" fontId="12" fillId="0" borderId="62" xfId="0" applyFont="1" applyBorder="1" applyAlignment="1">
      <alignment vertical="center"/>
    </xf>
    <xf numFmtId="44" fontId="32" fillId="29" borderId="27" xfId="1" applyFont="1" applyFill="1" applyBorder="1" applyAlignment="1">
      <alignment vertical="center"/>
    </xf>
    <xf numFmtId="0" fontId="32" fillId="0" borderId="62" xfId="0" applyFont="1" applyBorder="1" applyAlignment="1">
      <alignment horizontal="center" vertical="center" wrapText="1"/>
    </xf>
    <xf numFmtId="0" fontId="12" fillId="0" borderId="4" xfId="0" applyFont="1" applyBorder="1" applyAlignment="1">
      <alignment vertical="center"/>
    </xf>
    <xf numFmtId="0" fontId="32" fillId="0" borderId="4" xfId="0" applyFont="1" applyBorder="1" applyAlignment="1">
      <alignment horizontal="center" vertical="center" wrapText="1"/>
    </xf>
    <xf numFmtId="0" fontId="12" fillId="0" borderId="4" xfId="0" applyFont="1" applyBorder="1" applyAlignment="1">
      <alignment horizontal="center" vertical="center"/>
    </xf>
    <xf numFmtId="0" fontId="12" fillId="16" borderId="4" xfId="0" applyFont="1" applyFill="1" applyBorder="1" applyAlignment="1">
      <alignment vertical="center"/>
    </xf>
    <xf numFmtId="0" fontId="12" fillId="16" borderId="46" xfId="0" applyFont="1" applyFill="1" applyBorder="1" applyAlignment="1">
      <alignment vertical="center"/>
    </xf>
    <xf numFmtId="0" fontId="32" fillId="0" borderId="46" xfId="0" applyFont="1" applyBorder="1" applyAlignment="1">
      <alignment horizontal="center" vertical="center" wrapText="1"/>
    </xf>
    <xf numFmtId="0" fontId="20" fillId="0" borderId="7" xfId="0" applyFont="1" applyBorder="1" applyAlignment="1">
      <alignment vertical="center"/>
    </xf>
    <xf numFmtId="0" fontId="20" fillId="0" borderId="8" xfId="0" applyFont="1" applyBorder="1" applyAlignment="1">
      <alignment vertical="center"/>
    </xf>
    <xf numFmtId="0" fontId="52" fillId="14" borderId="7" xfId="0" applyFont="1" applyFill="1" applyBorder="1" applyAlignment="1">
      <alignment vertical="center" wrapText="1"/>
    </xf>
    <xf numFmtId="0" fontId="52" fillId="14" borderId="8" xfId="0" applyFont="1" applyFill="1" applyBorder="1" applyAlignment="1">
      <alignment vertical="center" wrapText="1"/>
    </xf>
    <xf numFmtId="9" fontId="32" fillId="0" borderId="0" xfId="2" applyFont="1" applyAlignment="1">
      <alignment vertical="center"/>
    </xf>
    <xf numFmtId="0" fontId="21" fillId="14" borderId="7" xfId="0" applyFont="1" applyFill="1" applyBorder="1" applyAlignment="1">
      <alignment vertical="center"/>
    </xf>
    <xf numFmtId="0" fontId="32" fillId="0" borderId="7" xfId="0" applyFont="1" applyBorder="1" applyAlignment="1">
      <alignment vertical="center"/>
    </xf>
    <xf numFmtId="44" fontId="12" fillId="33" borderId="4" xfId="1" applyFont="1" applyFill="1" applyBorder="1" applyAlignment="1">
      <alignment vertical="center"/>
    </xf>
    <xf numFmtId="165" fontId="32" fillId="33" borderId="4" xfId="0" applyNumberFormat="1" applyFont="1" applyFill="1" applyBorder="1" applyAlignment="1">
      <alignment vertical="center"/>
    </xf>
    <xf numFmtId="44" fontId="32" fillId="0" borderId="0" xfId="1" applyFont="1" applyAlignment="1">
      <alignment vertical="center"/>
    </xf>
    <xf numFmtId="0" fontId="32" fillId="0" borderId="7" xfId="0" applyFont="1" applyBorder="1" applyAlignment="1">
      <alignment vertical="center" wrapText="1"/>
    </xf>
    <xf numFmtId="0" fontId="39" fillId="0" borderId="0" xfId="0" applyFont="1" applyAlignment="1">
      <alignment horizontal="left" vertical="center"/>
    </xf>
    <xf numFmtId="0" fontId="20" fillId="0" borderId="4" xfId="0" applyFont="1" applyBorder="1" applyAlignment="1">
      <alignment vertical="center"/>
    </xf>
    <xf numFmtId="0" fontId="21" fillId="14" borderId="4" xfId="0" applyFont="1" applyFill="1" applyBorder="1" applyAlignment="1">
      <alignment vertical="center"/>
    </xf>
    <xf numFmtId="0" fontId="32" fillId="0" borderId="44" xfId="0" applyFont="1" applyBorder="1" applyAlignment="1">
      <alignment vertical="center" wrapText="1"/>
    </xf>
    <xf numFmtId="44" fontId="32" fillId="29" borderId="4" xfId="1" applyFont="1" applyFill="1" applyBorder="1" applyAlignment="1">
      <alignment vertical="center"/>
    </xf>
    <xf numFmtId="165" fontId="32" fillId="29" borderId="4" xfId="0" applyNumberFormat="1" applyFont="1" applyFill="1" applyBorder="1" applyAlignment="1">
      <alignment vertical="center"/>
    </xf>
    <xf numFmtId="0" fontId="32" fillId="0" borderId="7" xfId="0" applyFont="1" applyBorder="1" applyAlignment="1">
      <alignment horizontal="center" vertical="center"/>
    </xf>
    <xf numFmtId="0" fontId="53" fillId="0" borderId="68" xfId="0" quotePrefix="1" applyFont="1" applyBorder="1"/>
    <xf numFmtId="44" fontId="12" fillId="29" borderId="4" xfId="1" applyFont="1" applyFill="1" applyBorder="1" applyAlignment="1">
      <alignment vertical="center" wrapText="1"/>
    </xf>
    <xf numFmtId="165" fontId="32" fillId="29" borderId="4" xfId="0" applyNumberFormat="1" applyFont="1" applyFill="1" applyBorder="1" applyAlignment="1">
      <alignment vertical="center" wrapText="1"/>
    </xf>
    <xf numFmtId="0" fontId="54" fillId="0" borderId="0" xfId="0" applyFont="1" applyAlignment="1">
      <alignment vertical="center"/>
    </xf>
    <xf numFmtId="0" fontId="0" fillId="0" borderId="0" xfId="0" applyAlignment="1">
      <alignment wrapText="1"/>
    </xf>
    <xf numFmtId="0" fontId="21" fillId="14" borderId="7" xfId="0" applyFont="1" applyFill="1" applyBorder="1" applyAlignment="1">
      <alignment vertical="center" wrapText="1"/>
    </xf>
    <xf numFmtId="0" fontId="55" fillId="0" borderId="4" xfId="0" applyFont="1" applyBorder="1" applyAlignment="1">
      <alignment vertical="center" wrapText="1"/>
    </xf>
    <xf numFmtId="44" fontId="56" fillId="34" borderId="4" xfId="1" applyFont="1" applyFill="1" applyBorder="1" applyAlignment="1">
      <alignment vertical="center" wrapText="1"/>
    </xf>
    <xf numFmtId="10" fontId="56" fillId="34" borderId="4" xfId="2" applyNumberFormat="1" applyFont="1" applyFill="1" applyBorder="1" applyAlignment="1">
      <alignment vertical="center" wrapText="1"/>
    </xf>
    <xf numFmtId="8" fontId="32" fillId="34" borderId="7" xfId="1" applyNumberFormat="1" applyFont="1" applyFill="1" applyBorder="1" applyAlignment="1">
      <alignment vertical="center" wrapText="1"/>
    </xf>
    <xf numFmtId="44" fontId="32" fillId="34" borderId="7" xfId="1" applyFont="1" applyFill="1" applyBorder="1" applyAlignment="1">
      <alignment vertical="center" wrapText="1"/>
    </xf>
    <xf numFmtId="0" fontId="57" fillId="0" borderId="4" xfId="0" applyFont="1" applyBorder="1" applyAlignment="1">
      <alignment horizontal="left"/>
    </xf>
    <xf numFmtId="43" fontId="56" fillId="34" borderId="4" xfId="5" applyFont="1" applyFill="1" applyBorder="1" applyAlignment="1">
      <alignment vertical="center" wrapText="1"/>
    </xf>
    <xf numFmtId="169" fontId="32" fillId="34" borderId="7" xfId="1" applyNumberFormat="1" applyFont="1" applyFill="1" applyBorder="1" applyAlignment="1">
      <alignment vertical="center" wrapText="1"/>
    </xf>
    <xf numFmtId="0" fontId="57" fillId="0" borderId="4" xfId="0" applyFont="1" applyBorder="1" applyAlignment="1">
      <alignment horizontal="left" vertical="center" wrapText="1"/>
    </xf>
    <xf numFmtId="10" fontId="32" fillId="33" borderId="4" xfId="2" applyNumberFormat="1" applyFont="1" applyFill="1" applyBorder="1" applyAlignment="1">
      <alignment vertical="center"/>
    </xf>
    <xf numFmtId="0" fontId="32" fillId="33" borderId="4" xfId="0" applyFont="1" applyFill="1" applyBorder="1" applyAlignment="1">
      <alignment horizontal="center" vertical="center"/>
    </xf>
    <xf numFmtId="0" fontId="39" fillId="0" borderId="0" xfId="0" applyFont="1" applyAlignment="1">
      <alignment vertical="center"/>
    </xf>
    <xf numFmtId="0" fontId="36" fillId="0" borderId="0" xfId="0" applyFont="1" applyAlignment="1">
      <alignment horizontal="center" vertical="center"/>
    </xf>
    <xf numFmtId="0" fontId="36" fillId="0" borderId="0" xfId="0" applyFont="1" applyAlignment="1">
      <alignment vertical="center"/>
    </xf>
    <xf numFmtId="10" fontId="32" fillId="33" borderId="4" xfId="2" applyNumberFormat="1" applyFont="1" applyFill="1" applyBorder="1" applyAlignment="1">
      <alignment vertical="center" wrapText="1"/>
    </xf>
    <xf numFmtId="0" fontId="32" fillId="33" borderId="4" xfId="0" applyFont="1" applyFill="1" applyBorder="1" applyAlignment="1">
      <alignment horizontal="center" vertical="center" wrapText="1"/>
    </xf>
    <xf numFmtId="0" fontId="12" fillId="0" borderId="7" xfId="0" applyFont="1" applyBorder="1" applyAlignment="1">
      <alignment vertical="center"/>
    </xf>
    <xf numFmtId="0" fontId="32" fillId="29" borderId="4" xfId="0" applyFont="1" applyFill="1" applyBorder="1" applyAlignment="1">
      <alignment horizontal="center" vertical="center"/>
    </xf>
    <xf numFmtId="0" fontId="18" fillId="16" borderId="51" xfId="0" applyFont="1" applyFill="1" applyBorder="1" applyAlignment="1">
      <alignment vertical="center" wrapText="1"/>
    </xf>
    <xf numFmtId="44" fontId="29" fillId="0" borderId="17" xfId="0" applyNumberFormat="1" applyFont="1" applyBorder="1" applyAlignment="1">
      <alignment vertical="center" wrapText="1"/>
    </xf>
    <xf numFmtId="44" fontId="29" fillId="0" borderId="20" xfId="0" applyNumberFormat="1" applyFont="1" applyBorder="1" applyAlignment="1">
      <alignment vertical="center" wrapText="1"/>
    </xf>
    <xf numFmtId="0" fontId="0" fillId="0" borderId="0" xfId="0" applyAlignment="1">
      <alignment horizontal="center"/>
    </xf>
    <xf numFmtId="0" fontId="15" fillId="0" borderId="27" xfId="0" quotePrefix="1" applyFont="1" applyBorder="1" applyAlignment="1">
      <alignment horizontal="center" vertical="center" wrapText="1"/>
    </xf>
    <xf numFmtId="0" fontId="17" fillId="0" borderId="69" xfId="0" applyFont="1" applyBorder="1" applyAlignment="1">
      <alignment horizontal="center" vertical="center" wrapText="1"/>
    </xf>
    <xf numFmtId="0" fontId="17" fillId="0" borderId="70" xfId="0" applyFont="1" applyBorder="1" applyAlignment="1">
      <alignment horizontal="center" vertical="center" wrapText="1"/>
    </xf>
    <xf numFmtId="0" fontId="8" fillId="0" borderId="55" xfId="0" applyFont="1" applyBorder="1" applyAlignment="1">
      <alignment vertical="center" wrapText="1"/>
    </xf>
    <xf numFmtId="0" fontId="28" fillId="0" borderId="72" xfId="0" applyFont="1" applyBorder="1" applyAlignment="1">
      <alignment vertical="center" wrapText="1"/>
    </xf>
    <xf numFmtId="0" fontId="27" fillId="0" borderId="64" xfId="0" applyFont="1" applyBorder="1" applyAlignment="1">
      <alignment vertical="center" wrapText="1"/>
    </xf>
    <xf numFmtId="0" fontId="15" fillId="0" borderId="35" xfId="0" applyFont="1" applyBorder="1" applyAlignment="1">
      <alignment vertical="center" wrapText="1"/>
    </xf>
    <xf numFmtId="0" fontId="15" fillId="0" borderId="62" xfId="0" applyFont="1" applyBorder="1" applyAlignment="1">
      <alignment vertical="center" wrapText="1"/>
    </xf>
    <xf numFmtId="0" fontId="16" fillId="0" borderId="42" xfId="0" applyFont="1" applyBorder="1" applyAlignment="1">
      <alignment horizontal="left" vertical="center" wrapText="1" indent="1"/>
    </xf>
    <xf numFmtId="0" fontId="16" fillId="0" borderId="46" xfId="0" applyFont="1" applyBorder="1" applyAlignment="1">
      <alignment vertical="center" wrapText="1"/>
    </xf>
    <xf numFmtId="14" fontId="0" fillId="12" borderId="0" xfId="0" applyNumberFormat="1" applyFill="1" applyAlignment="1">
      <alignment horizontal="center" vertical="center"/>
    </xf>
    <xf numFmtId="0" fontId="0" fillId="12" borderId="0" xfId="0" applyFill="1" applyAlignment="1">
      <alignment vertical="center" wrapText="1"/>
    </xf>
    <xf numFmtId="170" fontId="0" fillId="0" borderId="0" xfId="0" applyNumberFormat="1"/>
    <xf numFmtId="44" fontId="37" fillId="10" borderId="4" xfId="0" applyNumberFormat="1" applyFont="1" applyFill="1" applyBorder="1" applyAlignment="1" applyProtection="1">
      <alignment vertical="center" wrapText="1"/>
      <protection locked="0"/>
    </xf>
    <xf numFmtId="44" fontId="0" fillId="0" borderId="4" xfId="0" applyNumberFormat="1" applyBorder="1"/>
    <xf numFmtId="0" fontId="4" fillId="30" borderId="15" xfId="0" applyFont="1" applyFill="1" applyBorder="1" applyAlignment="1">
      <alignment vertical="center" wrapText="1"/>
    </xf>
    <xf numFmtId="49" fontId="4" fillId="7" borderId="4" xfId="0" applyNumberFormat="1" applyFont="1" applyFill="1" applyBorder="1" applyAlignment="1">
      <alignment horizontal="center" vertical="center" wrapText="1"/>
    </xf>
    <xf numFmtId="49" fontId="4" fillId="6" borderId="4" xfId="0" applyNumberFormat="1" applyFont="1" applyFill="1" applyBorder="1" applyAlignment="1">
      <alignment horizontal="center" vertical="center" wrapText="1"/>
    </xf>
    <xf numFmtId="49" fontId="4" fillId="5" borderId="4" xfId="0" applyNumberFormat="1" applyFont="1" applyFill="1" applyBorder="1" applyAlignment="1">
      <alignment horizontal="center" vertical="center" wrapText="1"/>
    </xf>
    <xf numFmtId="0" fontId="4" fillId="35" borderId="4" xfId="0" applyFont="1" applyFill="1" applyBorder="1" applyAlignment="1">
      <alignment horizontal="center" vertical="center" wrapText="1"/>
    </xf>
    <xf numFmtId="49" fontId="4" fillId="35" borderId="4" xfId="0" applyNumberFormat="1" applyFont="1" applyFill="1" applyBorder="1" applyAlignment="1">
      <alignment horizontal="center" vertical="center" wrapText="1"/>
    </xf>
    <xf numFmtId="49" fontId="4" fillId="3" borderId="4" xfId="0" applyNumberFormat="1" applyFont="1" applyFill="1" applyBorder="1" applyAlignment="1">
      <alignment horizontal="center" vertical="center" wrapText="1"/>
    </xf>
    <xf numFmtId="0" fontId="26" fillId="0" borderId="0" xfId="0" applyFont="1"/>
    <xf numFmtId="0" fontId="59" fillId="14" borderId="5" xfId="0" applyFont="1" applyFill="1" applyBorder="1" applyAlignment="1">
      <alignment vertical="center" wrapText="1"/>
    </xf>
    <xf numFmtId="0" fontId="24" fillId="15" borderId="54" xfId="0" applyFont="1" applyFill="1" applyBorder="1" applyAlignment="1" applyProtection="1">
      <alignment horizontal="center" vertical="top" wrapText="1"/>
      <protection locked="0"/>
    </xf>
    <xf numFmtId="0" fontId="24" fillId="15" borderId="54" xfId="0" applyFont="1" applyFill="1" applyBorder="1" applyAlignment="1" applyProtection="1">
      <alignment horizontal="left" vertical="top" wrapText="1"/>
      <protection locked="0"/>
    </xf>
    <xf numFmtId="9" fontId="0" fillId="0" borderId="0" xfId="0" applyNumberFormat="1"/>
    <xf numFmtId="0" fontId="24" fillId="15" borderId="0" xfId="0" applyFont="1" applyFill="1" applyAlignment="1" applyProtection="1">
      <alignment horizontal="center" vertical="top"/>
      <protection locked="0"/>
    </xf>
    <xf numFmtId="0" fontId="25" fillId="15" borderId="0" xfId="0" applyFont="1" applyFill="1" applyAlignment="1" applyProtection="1">
      <alignment horizontal="left" vertical="top"/>
      <protection locked="0"/>
    </xf>
    <xf numFmtId="0" fontId="24" fillId="15" borderId="0" xfId="0" applyFont="1" applyFill="1" applyAlignment="1" applyProtection="1">
      <alignment horizontal="left" vertical="top"/>
      <protection locked="0"/>
    </xf>
    <xf numFmtId="0" fontId="60" fillId="15" borderId="54" xfId="0" applyFont="1" applyFill="1" applyBorder="1" applyAlignment="1" applyProtection="1">
      <alignment horizontal="left" vertical="top"/>
      <protection locked="0"/>
    </xf>
    <xf numFmtId="4" fontId="2" fillId="0" borderId="0" xfId="7" applyNumberFormat="1" applyFont="1" applyFill="1" applyAlignment="1" applyProtection="1">
      <alignment horizontal="right"/>
    </xf>
    <xf numFmtId="171" fontId="2" fillId="0" borderId="0" xfId="7" applyFont="1" applyFill="1" applyAlignment="1" applyProtection="1">
      <alignment horizontal="right"/>
    </xf>
    <xf numFmtId="171" fontId="2" fillId="0" borderId="0" xfId="7" applyFont="1" applyFill="1" applyAlignment="1" applyProtection="1">
      <alignment horizontal="center"/>
    </xf>
    <xf numFmtId="0" fontId="62" fillId="0" borderId="0" xfId="8" applyFont="1" applyAlignment="1">
      <alignment horizontal="center"/>
    </xf>
    <xf numFmtId="0" fontId="62" fillId="0" borderId="0" xfId="8" applyFont="1"/>
    <xf numFmtId="44" fontId="2" fillId="0" borderId="4" xfId="7" applyNumberFormat="1" applyFont="1" applyFill="1" applyBorder="1" applyAlignment="1" applyProtection="1">
      <alignment horizontal="right"/>
    </xf>
    <xf numFmtId="172" fontId="9" fillId="23" borderId="4" xfId="7" applyNumberFormat="1" applyFont="1" applyFill="1" applyBorder="1" applyAlignment="1" applyProtection="1">
      <alignment horizontal="right"/>
    </xf>
    <xf numFmtId="173" fontId="9" fillId="36" borderId="4" xfId="9" applyNumberFormat="1" applyFont="1" applyFill="1" applyBorder="1" applyAlignment="1" applyProtection="1">
      <alignment horizontal="center"/>
      <protection locked="0"/>
    </xf>
    <xf numFmtId="0" fontId="62" fillId="0" borderId="4" xfId="8" applyFont="1" applyBorder="1" applyAlignment="1">
      <alignment horizontal="center"/>
    </xf>
    <xf numFmtId="0" fontId="62" fillId="0" borderId="4" xfId="8" applyFont="1" applyBorder="1"/>
    <xf numFmtId="44" fontId="2" fillId="0" borderId="0" xfId="7" applyNumberFormat="1" applyFont="1" applyFill="1" applyBorder="1" applyAlignment="1" applyProtection="1">
      <alignment horizontal="right"/>
    </xf>
    <xf numFmtId="172" fontId="9" fillId="0" borderId="0" xfId="7" applyNumberFormat="1" applyFont="1" applyFill="1" applyBorder="1" applyAlignment="1" applyProtection="1">
      <alignment horizontal="right"/>
    </xf>
    <xf numFmtId="172" fontId="9" fillId="0" borderId="0" xfId="9" applyNumberFormat="1" applyFont="1" applyAlignment="1" applyProtection="1">
      <alignment horizontal="center"/>
      <protection locked="0"/>
    </xf>
    <xf numFmtId="0" fontId="63" fillId="0" borderId="0" xfId="8" applyFont="1"/>
    <xf numFmtId="0" fontId="63" fillId="0" borderId="0" xfId="8" applyFont="1" applyAlignment="1">
      <alignment horizontal="center"/>
    </xf>
    <xf numFmtId="172" fontId="9" fillId="0" borderId="4" xfId="7" applyNumberFormat="1" applyFont="1" applyFill="1" applyBorder="1" applyProtection="1"/>
    <xf numFmtId="172" fontId="9" fillId="36" borderId="4" xfId="9" applyNumberFormat="1" applyFont="1" applyFill="1" applyBorder="1" applyAlignment="1" applyProtection="1">
      <alignment horizontal="center"/>
      <protection locked="0"/>
    </xf>
    <xf numFmtId="0" fontId="62" fillId="12" borderId="4" xfId="8" applyFont="1" applyFill="1" applyBorder="1" applyAlignment="1">
      <alignment horizontal="center"/>
    </xf>
    <xf numFmtId="0" fontId="62" fillId="0" borderId="4" xfId="8" applyFont="1" applyBorder="1" applyAlignment="1">
      <alignment wrapText="1"/>
    </xf>
    <xf numFmtId="172" fontId="9" fillId="0" borderId="4" xfId="7" applyNumberFormat="1" applyFont="1" applyFill="1" applyBorder="1" applyAlignment="1" applyProtection="1">
      <alignment horizontal="center"/>
    </xf>
    <xf numFmtId="0" fontId="62" fillId="0" borderId="0" xfId="9" applyFont="1" applyAlignment="1">
      <alignment horizontal="center"/>
    </xf>
    <xf numFmtId="4" fontId="2" fillId="0" borderId="0" xfId="7" applyNumberFormat="1" applyFont="1" applyFill="1" applyBorder="1" applyAlignment="1" applyProtection="1">
      <alignment horizontal="right"/>
    </xf>
    <xf numFmtId="0" fontId="12" fillId="0" borderId="4" xfId="8" applyFont="1" applyBorder="1"/>
    <xf numFmtId="171" fontId="2" fillId="0" borderId="0" xfId="7" applyFont="1" applyFill="1" applyAlignment="1" applyProtection="1">
      <alignment horizontal="right"/>
      <protection locked="0"/>
    </xf>
    <xf numFmtId="172" fontId="9" fillId="0" borderId="0" xfId="7" applyNumberFormat="1" applyFont="1" applyFill="1" applyBorder="1" applyProtection="1"/>
    <xf numFmtId="172" fontId="9" fillId="0" borderId="0" xfId="7" applyNumberFormat="1" applyFont="1" applyFill="1" applyBorder="1" applyAlignment="1" applyProtection="1">
      <alignment horizontal="right"/>
      <protection locked="0"/>
    </xf>
    <xf numFmtId="172" fontId="9" fillId="0" borderId="0" xfId="9" applyNumberFormat="1" applyFont="1" applyAlignment="1">
      <alignment horizontal="center"/>
    </xf>
    <xf numFmtId="0" fontId="9" fillId="0" borderId="0" xfId="9" applyFont="1" applyAlignment="1">
      <alignment horizontal="center"/>
    </xf>
    <xf numFmtId="174" fontId="9" fillId="0" borderId="0" xfId="8" applyNumberFormat="1" applyFont="1" applyAlignment="1">
      <alignment horizontal="left" wrapText="1"/>
    </xf>
    <xf numFmtId="0" fontId="9" fillId="0" borderId="0" xfId="9" applyFont="1"/>
    <xf numFmtId="172" fontId="9" fillId="0" borderId="4" xfId="7" applyNumberFormat="1" applyFont="1" applyFill="1" applyBorder="1" applyAlignment="1" applyProtection="1">
      <alignment horizontal="right"/>
    </xf>
    <xf numFmtId="0" fontId="9" fillId="0" borderId="4" xfId="9" applyFont="1" applyBorder="1" applyAlignment="1">
      <alignment horizontal="center"/>
    </xf>
    <xf numFmtId="174" fontId="9" fillId="0" borderId="4" xfId="8" applyNumberFormat="1" applyFont="1" applyBorder="1" applyAlignment="1">
      <alignment horizontal="left" wrapText="1"/>
    </xf>
    <xf numFmtId="0" fontId="9" fillId="0" borderId="4" xfId="9" applyFont="1" applyBorder="1"/>
    <xf numFmtId="171" fontId="2" fillId="0" borderId="0" xfId="7" applyFont="1" applyFill="1" applyBorder="1" applyAlignment="1" applyProtection="1">
      <alignment horizontal="right"/>
    </xf>
    <xf numFmtId="171" fontId="2" fillId="0" borderId="0" xfId="7" applyFont="1" applyFill="1" applyBorder="1" applyAlignment="1" applyProtection="1">
      <alignment horizontal="right"/>
      <protection locked="0"/>
    </xf>
    <xf numFmtId="171" fontId="2" fillId="0" borderId="0" xfId="7" applyFont="1" applyFill="1" applyBorder="1" applyAlignment="1" applyProtection="1">
      <alignment horizontal="center"/>
    </xf>
    <xf numFmtId="172" fontId="64" fillId="0" borderId="0" xfId="9" applyNumberFormat="1" applyFont="1"/>
    <xf numFmtId="0" fontId="65" fillId="0" borderId="0" xfId="8" applyFont="1"/>
    <xf numFmtId="3" fontId="4" fillId="0" borderId="0" xfId="9" applyNumberFormat="1" applyFont="1" applyAlignment="1">
      <alignment horizontal="center"/>
    </xf>
    <xf numFmtId="0" fontId="0" fillId="37" borderId="0" xfId="0" applyFill="1"/>
    <xf numFmtId="0" fontId="66" fillId="0" borderId="0" xfId="0" applyFont="1" applyAlignment="1">
      <alignment wrapText="1"/>
    </xf>
    <xf numFmtId="172" fontId="9" fillId="12" borderId="4" xfId="9" applyNumberFormat="1" applyFont="1" applyFill="1" applyBorder="1" applyAlignment="1" applyProtection="1">
      <alignment horizontal="center"/>
      <protection locked="0"/>
    </xf>
    <xf numFmtId="0" fontId="9" fillId="0" borderId="4" xfId="9" applyFont="1" applyBorder="1" applyAlignment="1">
      <alignment vertical="top" wrapText="1"/>
    </xf>
    <xf numFmtId="0" fontId="9" fillId="38" borderId="4" xfId="9" applyFont="1" applyFill="1" applyBorder="1" applyAlignment="1">
      <alignment vertical="top"/>
    </xf>
    <xf numFmtId="172" fontId="9" fillId="12" borderId="4" xfId="7" applyNumberFormat="1" applyFont="1" applyFill="1" applyBorder="1" applyProtection="1"/>
    <xf numFmtId="0" fontId="9" fillId="0" borderId="4" xfId="9" applyFont="1" applyBorder="1" applyAlignment="1">
      <alignment horizontal="left" wrapText="1"/>
    </xf>
    <xf numFmtId="0" fontId="9" fillId="38" borderId="4" xfId="9" applyFont="1" applyFill="1" applyBorder="1"/>
    <xf numFmtId="0" fontId="66" fillId="0" borderId="0" xfId="0" applyFont="1"/>
    <xf numFmtId="172" fontId="9" fillId="12" borderId="4" xfId="9" applyNumberFormat="1" applyFont="1" applyFill="1" applyBorder="1" applyAlignment="1" applyProtection="1">
      <alignment horizontal="center" vertical="center"/>
      <protection locked="0"/>
    </xf>
    <xf numFmtId="174" fontId="9" fillId="0" borderId="4" xfId="8" applyNumberFormat="1" applyFont="1" applyBorder="1" applyAlignment="1">
      <alignment horizontal="left" wrapText="1" indent="1"/>
    </xf>
    <xf numFmtId="172" fontId="9" fillId="23" borderId="4" xfId="7" applyNumberFormat="1" applyFont="1" applyFill="1" applyBorder="1" applyProtection="1"/>
    <xf numFmtId="174" fontId="67" fillId="0" borderId="4" xfId="8" applyNumberFormat="1" applyFont="1" applyBorder="1" applyAlignment="1">
      <alignment horizontal="left" wrapText="1"/>
    </xf>
    <xf numFmtId="0" fontId="67" fillId="0" borderId="4" xfId="9" applyFont="1" applyBorder="1"/>
    <xf numFmtId="0" fontId="9" fillId="0" borderId="4" xfId="9" applyFont="1" applyBorder="1" applyAlignment="1">
      <alignment horizontal="left"/>
    </xf>
    <xf numFmtId="172" fontId="9" fillId="0" borderId="0" xfId="7" applyNumberFormat="1" applyFont="1" applyFill="1" applyProtection="1"/>
    <xf numFmtId="172" fontId="4" fillId="0" borderId="0" xfId="7" applyNumberFormat="1" applyFont="1" applyFill="1" applyAlignment="1" applyProtection="1">
      <alignment horizontal="right"/>
    </xf>
    <xf numFmtId="171" fontId="9" fillId="0" borderId="0" xfId="7" applyFont="1" applyFill="1" applyAlignment="1" applyProtection="1">
      <alignment horizontal="right"/>
    </xf>
    <xf numFmtId="0" fontId="9" fillId="0" borderId="0" xfId="8" applyFont="1" applyAlignment="1">
      <alignment horizontal="center"/>
    </xf>
    <xf numFmtId="0" fontId="4" fillId="0" borderId="0" xfId="8" applyFont="1" applyAlignment="1">
      <alignment horizontal="left"/>
    </xf>
    <xf numFmtId="172" fontId="9" fillId="23" borderId="7" xfId="7" applyNumberFormat="1" applyFont="1" applyFill="1" applyBorder="1" applyProtection="1"/>
    <xf numFmtId="0" fontId="9" fillId="0" borderId="7" xfId="9" applyFont="1" applyBorder="1" applyAlignment="1">
      <alignment horizontal="center"/>
    </xf>
    <xf numFmtId="174" fontId="4" fillId="0" borderId="0" xfId="8" applyNumberFormat="1" applyFont="1" applyAlignment="1">
      <alignment horizontal="left" wrapText="1"/>
    </xf>
    <xf numFmtId="0" fontId="4" fillId="0" borderId="0" xfId="9" applyFont="1"/>
    <xf numFmtId="0" fontId="9" fillId="12" borderId="4" xfId="9" applyFont="1" applyFill="1" applyBorder="1"/>
    <xf numFmtId="172" fontId="9" fillId="0" borderId="4" xfId="9" applyNumberFormat="1" applyFont="1" applyBorder="1" applyAlignment="1" applyProtection="1">
      <alignment horizontal="center"/>
      <protection locked="0"/>
    </xf>
    <xf numFmtId="172" fontId="9" fillId="23" borderId="7" xfId="7" applyNumberFormat="1" applyFont="1" applyFill="1" applyBorder="1" applyAlignment="1" applyProtection="1">
      <alignment horizontal="right"/>
    </xf>
    <xf numFmtId="175" fontId="9" fillId="23" borderId="4" xfId="7" applyNumberFormat="1" applyFont="1" applyFill="1" applyBorder="1" applyAlignment="1" applyProtection="1">
      <alignment horizontal="right"/>
    </xf>
    <xf numFmtId="172" fontId="9" fillId="0" borderId="0" xfId="7" applyNumberFormat="1" applyFont="1" applyFill="1" applyAlignment="1" applyProtection="1">
      <alignment horizontal="right"/>
    </xf>
    <xf numFmtId="171" fontId="9" fillId="0" borderId="0" xfId="7" applyFont="1" applyFill="1" applyProtection="1"/>
    <xf numFmtId="171" fontId="9" fillId="0" borderId="0" xfId="7" applyFont="1" applyFill="1" applyBorder="1" applyAlignment="1" applyProtection="1">
      <alignment horizontal="center"/>
    </xf>
    <xf numFmtId="0" fontId="9" fillId="18" borderId="4" xfId="8" applyFont="1" applyFill="1" applyBorder="1" applyAlignment="1">
      <alignment horizontal="center"/>
    </xf>
    <xf numFmtId="0" fontId="9" fillId="0" borderId="4" xfId="8" applyFont="1" applyBorder="1" applyAlignment="1">
      <alignment horizontal="center"/>
    </xf>
    <xf numFmtId="0" fontId="9" fillId="23" borderId="4" xfId="8" applyFont="1" applyFill="1" applyBorder="1" applyAlignment="1">
      <alignment horizontal="center"/>
    </xf>
    <xf numFmtId="172" fontId="9" fillId="0" borderId="0" xfId="7" applyNumberFormat="1" applyFont="1" applyFill="1" applyAlignment="1" applyProtection="1">
      <alignment horizontal="center"/>
    </xf>
    <xf numFmtId="172" fontId="9" fillId="0" borderId="0" xfId="7" applyNumberFormat="1" applyFont="1" applyFill="1" applyBorder="1" applyAlignment="1" applyProtection="1">
      <alignment horizontal="center"/>
    </xf>
    <xf numFmtId="0" fontId="9" fillId="0" borderId="0" xfId="8" applyFont="1"/>
    <xf numFmtId="0" fontId="9" fillId="0" borderId="0" xfId="9" applyFont="1" applyAlignment="1">
      <alignment horizontal="left"/>
    </xf>
    <xf numFmtId="0" fontId="9" fillId="0" borderId="4" xfId="8" applyFont="1" applyBorder="1"/>
    <xf numFmtId="172" fontId="9" fillId="39" borderId="0" xfId="9" applyNumberFormat="1" applyFont="1" applyFill="1" applyAlignment="1" applyProtection="1">
      <alignment horizontal="center"/>
      <protection locked="0"/>
    </xf>
    <xf numFmtId="0" fontId="4" fillId="0" borderId="0" xfId="8" applyFont="1"/>
    <xf numFmtId="0" fontId="4" fillId="0" borderId="0" xfId="9" applyFont="1" applyAlignment="1">
      <alignment horizontal="left"/>
    </xf>
    <xf numFmtId="176" fontId="9" fillId="0" borderId="4" xfId="8" applyNumberFormat="1" applyFont="1" applyBorder="1"/>
    <xf numFmtId="0" fontId="46" fillId="0" borderId="4" xfId="8" applyFont="1" applyBorder="1" applyAlignment="1" applyProtection="1">
      <alignment vertical="center"/>
      <protection locked="0"/>
    </xf>
    <xf numFmtId="0" fontId="9" fillId="12" borderId="4" xfId="9" applyFont="1" applyFill="1" applyBorder="1" applyAlignment="1">
      <alignment horizontal="left"/>
    </xf>
    <xf numFmtId="0" fontId="46" fillId="0" borderId="4" xfId="0" applyFont="1" applyBorder="1"/>
    <xf numFmtId="172" fontId="9" fillId="0" borderId="0" xfId="1" applyNumberFormat="1" applyFont="1" applyFill="1" applyBorder="1" applyAlignment="1" applyProtection="1">
      <alignment horizontal="right"/>
      <protection locked="0"/>
    </xf>
    <xf numFmtId="0" fontId="9" fillId="13" borderId="4" xfId="9" applyFont="1" applyFill="1" applyBorder="1" applyAlignment="1" applyProtection="1">
      <alignment horizontal="center" vertical="center"/>
      <protection locked="0"/>
    </xf>
    <xf numFmtId="0" fontId="9" fillId="0" borderId="4" xfId="8" applyFont="1" applyBorder="1" applyAlignment="1" applyProtection="1">
      <alignment vertical="center"/>
      <protection locked="0"/>
    </xf>
    <xf numFmtId="0" fontId="9" fillId="13" borderId="4" xfId="8" applyFont="1" applyFill="1" applyBorder="1" applyAlignment="1" applyProtection="1">
      <alignment vertical="center"/>
      <protection locked="0"/>
    </xf>
    <xf numFmtId="0" fontId="9" fillId="13" borderId="4" xfId="9" applyFont="1" applyFill="1" applyBorder="1" applyAlignment="1" applyProtection="1">
      <alignment horizontal="center"/>
      <protection locked="0"/>
    </xf>
    <xf numFmtId="0" fontId="9" fillId="13" borderId="4" xfId="8" applyFont="1" applyFill="1" applyBorder="1" applyProtection="1">
      <protection locked="0"/>
    </xf>
    <xf numFmtId="0" fontId="67" fillId="16" borderId="4" xfId="9" applyFont="1" applyFill="1" applyBorder="1" applyAlignment="1" applyProtection="1">
      <alignment horizontal="center"/>
      <protection locked="0"/>
    </xf>
    <xf numFmtId="174" fontId="67" fillId="16" borderId="4" xfId="8" applyNumberFormat="1" applyFont="1" applyFill="1" applyBorder="1" applyAlignment="1">
      <alignment horizontal="left" wrapText="1"/>
    </xf>
    <xf numFmtId="0" fontId="9" fillId="23" borderId="4" xfId="9" applyFont="1" applyFill="1" applyBorder="1" applyAlignment="1">
      <alignment horizontal="center"/>
    </xf>
    <xf numFmtId="172" fontId="9" fillId="0" borderId="4" xfId="1" applyNumberFormat="1" applyFont="1" applyFill="1" applyBorder="1" applyAlignment="1" applyProtection="1">
      <alignment horizontal="right"/>
    </xf>
    <xf numFmtId="171" fontId="9" fillId="0" borderId="0" xfId="7" applyFont="1" applyFill="1" applyBorder="1" applyAlignment="1" applyProtection="1">
      <alignment horizontal="right"/>
    </xf>
    <xf numFmtId="0" fontId="9" fillId="0" borderId="0" xfId="8" applyFont="1" applyAlignment="1">
      <alignment horizontal="left"/>
    </xf>
    <xf numFmtId="0" fontId="9" fillId="0" borderId="4" xfId="8" applyFont="1" applyBorder="1" applyProtection="1">
      <protection locked="0"/>
    </xf>
    <xf numFmtId="0" fontId="9" fillId="12" borderId="4" xfId="8" applyFont="1" applyFill="1" applyBorder="1" applyAlignment="1">
      <alignment horizontal="left"/>
    </xf>
    <xf numFmtId="0" fontId="9" fillId="0" borderId="4" xfId="8" applyFont="1" applyBorder="1" applyAlignment="1">
      <alignment horizontal="left"/>
    </xf>
    <xf numFmtId="172" fontId="9" fillId="23" borderId="4" xfId="7" applyNumberFormat="1" applyFont="1" applyFill="1" applyBorder="1" applyAlignment="1" applyProtection="1">
      <alignment horizontal="center"/>
    </xf>
    <xf numFmtId="4" fontId="9" fillId="0" borderId="0" xfId="7" applyNumberFormat="1" applyFont="1" applyFill="1" applyProtection="1"/>
    <xf numFmtId="171" fontId="4" fillId="0" borderId="0" xfId="7" applyFont="1" applyFill="1" applyBorder="1" applyAlignment="1" applyProtection="1">
      <alignment horizontal="right" vertical="center" wrapText="1"/>
    </xf>
    <xf numFmtId="171" fontId="4" fillId="0" borderId="0" xfId="7" applyFont="1" applyFill="1" applyBorder="1" applyAlignment="1" applyProtection="1">
      <alignment horizontal="right" vertical="center"/>
    </xf>
    <xf numFmtId="174" fontId="4" fillId="0" borderId="0" xfId="8" applyNumberFormat="1" applyFont="1" applyAlignment="1">
      <alignment horizontal="center" vertical="center"/>
    </xf>
    <xf numFmtId="14" fontId="5" fillId="0" borderId="0" xfId="8" applyNumberFormat="1" applyFont="1" applyAlignment="1">
      <alignment horizontal="right"/>
    </xf>
    <xf numFmtId="4" fontId="9" fillId="0" borderId="0" xfId="7" applyNumberFormat="1" applyFont="1" applyFill="1" applyBorder="1" applyProtection="1"/>
    <xf numFmtId="171" fontId="4" fillId="0" borderId="0" xfId="7" applyFont="1" applyFill="1" applyBorder="1" applyProtection="1"/>
    <xf numFmtId="171" fontId="4" fillId="0" borderId="0" xfId="7" applyFont="1" applyFill="1" applyBorder="1" applyAlignment="1" applyProtection="1">
      <alignment horizontal="center" vertical="center" wrapText="1"/>
    </xf>
    <xf numFmtId="171" fontId="5" fillId="0" borderId="0" xfId="7" applyFont="1" applyFill="1" applyBorder="1" applyAlignment="1" applyProtection="1">
      <alignment horizontal="right" vertical="center"/>
    </xf>
    <xf numFmtId="4" fontId="4" fillId="0" borderId="74" xfId="7" applyNumberFormat="1" applyFont="1" applyFill="1" applyBorder="1" applyAlignment="1" applyProtection="1">
      <alignment vertical="center"/>
    </xf>
    <xf numFmtId="171" fontId="4" fillId="0" borderId="74" xfId="7" applyFont="1" applyFill="1" applyBorder="1" applyAlignment="1" applyProtection="1">
      <alignment horizontal="center" vertical="center" wrapText="1"/>
    </xf>
    <xf numFmtId="171" fontId="4" fillId="0" borderId="75" xfId="7" applyFont="1" applyFill="1" applyBorder="1" applyAlignment="1" applyProtection="1">
      <alignment horizontal="center" vertical="center" wrapText="1"/>
    </xf>
    <xf numFmtId="171" fontId="4" fillId="0" borderId="76" xfId="7" applyFont="1" applyFill="1" applyBorder="1" applyAlignment="1" applyProtection="1">
      <alignment horizontal="center" vertical="center" wrapText="1"/>
    </xf>
    <xf numFmtId="171" fontId="5" fillId="0" borderId="77" xfId="7" applyFont="1" applyFill="1" applyBorder="1" applyAlignment="1" applyProtection="1">
      <alignment horizontal="right" vertical="center"/>
    </xf>
    <xf numFmtId="174" fontId="4" fillId="0" borderId="30" xfId="8" applyNumberFormat="1" applyFont="1" applyBorder="1" applyAlignment="1">
      <alignment horizontal="center" vertical="center"/>
    </xf>
    <xf numFmtId="174" fontId="4" fillId="0" borderId="3" xfId="8" applyNumberFormat="1" applyFont="1" applyBorder="1" applyAlignment="1">
      <alignment horizontal="center" vertical="center"/>
    </xf>
    <xf numFmtId="0" fontId="9" fillId="0" borderId="3" xfId="8" applyFont="1" applyBorder="1" applyAlignment="1">
      <alignment horizontal="center"/>
    </xf>
    <xf numFmtId="4" fontId="4" fillId="0" borderId="72" xfId="7" applyNumberFormat="1" applyFont="1" applyFill="1" applyBorder="1" applyAlignment="1" applyProtection="1">
      <alignment horizontal="center"/>
    </xf>
    <xf numFmtId="171" fontId="4" fillId="0" borderId="78" xfId="7" applyFont="1" applyFill="1" applyBorder="1" applyAlignment="1" applyProtection="1">
      <alignment horizontal="center"/>
    </xf>
    <xf numFmtId="171" fontId="4" fillId="0" borderId="56" xfId="7" applyFont="1" applyFill="1" applyBorder="1" applyAlignment="1" applyProtection="1">
      <alignment horizontal="center" vertical="center" wrapText="1"/>
    </xf>
    <xf numFmtId="171" fontId="4" fillId="0" borderId="79" xfId="7" applyFont="1" applyFill="1" applyBorder="1" applyAlignment="1" applyProtection="1">
      <alignment horizontal="center" vertical="center" wrapText="1"/>
    </xf>
    <xf numFmtId="171" fontId="4" fillId="0" borderId="80" xfId="7" applyFont="1" applyFill="1" applyBorder="1" applyAlignment="1" applyProtection="1">
      <alignment horizontal="center" vertical="center"/>
    </xf>
    <xf numFmtId="0" fontId="4" fillId="0" borderId="50" xfId="8" applyFont="1" applyBorder="1" applyAlignment="1">
      <alignment horizontal="center" vertical="center"/>
    </xf>
    <xf numFmtId="0" fontId="4" fillId="0" borderId="2" xfId="8" applyFont="1" applyBorder="1" applyAlignment="1">
      <alignment horizontal="center" vertical="center"/>
    </xf>
    <xf numFmtId="174" fontId="4" fillId="0" borderId="2" xfId="8" applyNumberFormat="1" applyFont="1" applyBorder="1" applyAlignment="1">
      <alignment horizontal="center" vertical="center"/>
    </xf>
    <xf numFmtId="174" fontId="4" fillId="0" borderId="2" xfId="8" applyNumberFormat="1" applyFont="1" applyBorder="1" applyAlignment="1">
      <alignment horizontal="center" vertical="center" wrapText="1"/>
    </xf>
    <xf numFmtId="4" fontId="4" fillId="0" borderId="67" xfId="7" applyNumberFormat="1" applyFont="1" applyFill="1" applyBorder="1" applyAlignment="1" applyProtection="1">
      <alignment horizontal="center"/>
    </xf>
    <xf numFmtId="0" fontId="9" fillId="0" borderId="83" xfId="8" applyFont="1" applyBorder="1"/>
    <xf numFmtId="0" fontId="9" fillId="0" borderId="1" xfId="8" applyFont="1" applyBorder="1" applyAlignment="1">
      <alignment horizontal="center"/>
    </xf>
    <xf numFmtId="0" fontId="9" fillId="0" borderId="1" xfId="8" applyFont="1" applyBorder="1"/>
    <xf numFmtId="174" fontId="4" fillId="0" borderId="1" xfId="8" applyNumberFormat="1" applyFont="1" applyBorder="1" applyAlignment="1">
      <alignment horizontal="center" vertical="center" wrapText="1"/>
    </xf>
    <xf numFmtId="4" fontId="7" fillId="0" borderId="0" xfId="7" applyNumberFormat="1" applyFont="1" applyFill="1" applyProtection="1"/>
    <xf numFmtId="171" fontId="7" fillId="0" borderId="0" xfId="7" applyFont="1" applyFill="1" applyAlignment="1" applyProtection="1">
      <alignment horizontal="right"/>
    </xf>
    <xf numFmtId="171" fontId="7" fillId="0" borderId="0" xfId="7" applyFont="1" applyFill="1" applyProtection="1"/>
    <xf numFmtId="171" fontId="5" fillId="0" borderId="0" xfId="7" applyFont="1" applyFill="1" applyAlignment="1" applyProtection="1">
      <alignment horizontal="right"/>
    </xf>
    <xf numFmtId="0" fontId="12" fillId="0" borderId="0" xfId="8" applyFont="1" applyAlignment="1">
      <alignment horizontal="center"/>
    </xf>
    <xf numFmtId="0" fontId="12" fillId="0" borderId="0" xfId="8" applyFont="1"/>
    <xf numFmtId="0" fontId="70" fillId="0" borderId="26" xfId="9" applyFont="1" applyBorder="1" applyAlignment="1">
      <alignment horizontal="centerContinuous" vertical="center"/>
    </xf>
    <xf numFmtId="0" fontId="70" fillId="0" borderId="4" xfId="9" applyFont="1" applyBorder="1" applyAlignment="1">
      <alignment horizontal="center" vertical="center"/>
    </xf>
    <xf numFmtId="0" fontId="70" fillId="0" borderId="41" xfId="9" applyFont="1" applyBorder="1" applyAlignment="1">
      <alignment horizontal="center" vertical="center"/>
    </xf>
    <xf numFmtId="9" fontId="9" fillId="10" borderId="4" xfId="0" applyNumberFormat="1" applyFont="1" applyFill="1" applyBorder="1" applyAlignment="1" applyProtection="1">
      <alignment horizontal="center" vertical="center"/>
      <protection locked="0"/>
    </xf>
    <xf numFmtId="0" fontId="9" fillId="0" borderId="48" xfId="0" applyFont="1" applyBorder="1" applyAlignment="1">
      <alignment horizontal="left" vertical="center" wrapText="1"/>
    </xf>
    <xf numFmtId="0" fontId="4" fillId="0" borderId="48" xfId="0" applyFont="1" applyBorder="1" applyAlignment="1">
      <alignment horizontal="center" vertical="center"/>
    </xf>
    <xf numFmtId="0" fontId="9" fillId="0" borderId="19" xfId="0" applyFont="1" applyBorder="1" applyAlignment="1">
      <alignment horizontal="left" vertical="center"/>
    </xf>
    <xf numFmtId="0" fontId="4" fillId="0" borderId="19" xfId="0" applyFont="1" applyBorder="1" applyAlignment="1">
      <alignment horizontal="center" vertical="center"/>
    </xf>
    <xf numFmtId="0" fontId="70" fillId="30" borderId="16" xfId="0" applyFont="1" applyFill="1" applyBorder="1" applyAlignment="1">
      <alignment horizontal="right" vertical="center"/>
    </xf>
    <xf numFmtId="0" fontId="70" fillId="30" borderId="17" xfId="0" applyFont="1" applyFill="1" applyBorder="1" applyAlignment="1">
      <alignment horizontal="left" vertical="center"/>
    </xf>
    <xf numFmtId="0" fontId="70" fillId="30" borderId="17" xfId="0" applyFont="1" applyFill="1" applyBorder="1" applyAlignment="1">
      <alignment horizontal="center" vertical="center"/>
    </xf>
    <xf numFmtId="0" fontId="7" fillId="0" borderId="49" xfId="0" applyFont="1" applyBorder="1" applyAlignment="1">
      <alignment horizontal="left" vertical="center"/>
    </xf>
    <xf numFmtId="0" fontId="5" fillId="0" borderId="30" xfId="0" applyFont="1" applyBorder="1" applyAlignment="1">
      <alignment horizontal="center" vertical="center"/>
    </xf>
    <xf numFmtId="0" fontId="7" fillId="0" borderId="24" xfId="0" applyFont="1" applyBorder="1" applyAlignment="1">
      <alignment vertical="center"/>
    </xf>
    <xf numFmtId="0" fontId="5" fillId="0" borderId="50" xfId="0" applyFont="1" applyBorder="1" applyAlignment="1">
      <alignment horizontal="center" vertical="center"/>
    </xf>
    <xf numFmtId="0" fontId="12" fillId="0" borderId="24" xfId="0" applyFont="1" applyBorder="1" applyAlignment="1">
      <alignment horizontal="left" vertical="center"/>
    </xf>
    <xf numFmtId="0" fontId="12" fillId="0" borderId="24" xfId="0" applyFont="1" applyBorder="1" applyAlignment="1">
      <alignment horizontal="left" vertical="center" wrapText="1"/>
    </xf>
    <xf numFmtId="0" fontId="71" fillId="0" borderId="24" xfId="0" applyFont="1" applyBorder="1" applyAlignment="1">
      <alignment vertical="center"/>
    </xf>
    <xf numFmtId="0" fontId="6" fillId="0" borderId="24" xfId="0" applyFont="1" applyBorder="1" applyAlignment="1">
      <alignment horizontal="left" vertical="center"/>
    </xf>
    <xf numFmtId="0" fontId="7" fillId="0" borderId="24" xfId="0" applyFont="1" applyBorder="1" applyAlignment="1">
      <alignment horizontal="left" vertical="center"/>
    </xf>
    <xf numFmtId="0" fontId="7" fillId="0" borderId="84" xfId="0" applyFont="1" applyBorder="1" applyAlignment="1">
      <alignment horizontal="left" vertical="center"/>
    </xf>
    <xf numFmtId="0" fontId="5" fillId="0" borderId="83" xfId="0" applyFont="1" applyBorder="1" applyAlignment="1">
      <alignment horizontal="center" vertical="center"/>
    </xf>
    <xf numFmtId="0" fontId="7" fillId="0" borderId="6" xfId="0" applyFont="1" applyBorder="1" applyAlignment="1">
      <alignment horizontal="left" vertical="center"/>
    </xf>
    <xf numFmtId="0" fontId="5" fillId="0" borderId="6" xfId="0" applyFont="1" applyBorder="1" applyAlignment="1">
      <alignment vertical="center"/>
    </xf>
    <xf numFmtId="0" fontId="9" fillId="11" borderId="22" xfId="0" applyFont="1" applyFill="1" applyBorder="1" applyAlignment="1">
      <alignment horizontal="left" vertical="center" wrapText="1"/>
    </xf>
    <xf numFmtId="0" fontId="3" fillId="2" borderId="5" xfId="0" applyFont="1" applyFill="1" applyBorder="1" applyAlignment="1">
      <alignment horizontal="center" vertical="center" wrapText="1"/>
    </xf>
    <xf numFmtId="0" fontId="3" fillId="2" borderId="6" xfId="0" applyFont="1" applyFill="1" applyBorder="1" applyAlignment="1">
      <alignment horizontal="center" vertical="center" wrapText="1"/>
    </xf>
    <xf numFmtId="0" fontId="3" fillId="2" borderId="14" xfId="0" applyFont="1" applyFill="1" applyBorder="1" applyAlignment="1">
      <alignment horizontal="center" vertical="center" wrapText="1"/>
    </xf>
    <xf numFmtId="0" fontId="73" fillId="16" borderId="0" xfId="0" applyFont="1" applyFill="1"/>
    <xf numFmtId="0" fontId="0" fillId="0" borderId="47" xfId="0" applyBorder="1"/>
    <xf numFmtId="44" fontId="4" fillId="0" borderId="24" xfId="1" applyFont="1" applyFill="1" applyBorder="1" applyAlignment="1">
      <alignment horizontal="left" vertical="center" wrapText="1"/>
    </xf>
    <xf numFmtId="0" fontId="0" fillId="0" borderId="24" xfId="0" applyBorder="1"/>
    <xf numFmtId="44" fontId="4" fillId="0" borderId="84" xfId="1" applyFont="1" applyFill="1" applyBorder="1" applyAlignment="1">
      <alignment vertical="center" wrapText="1"/>
    </xf>
    <xf numFmtId="0" fontId="0" fillId="0" borderId="30" xfId="0" applyBorder="1"/>
    <xf numFmtId="0" fontId="0" fillId="0" borderId="31" xfId="0" applyBorder="1"/>
    <xf numFmtId="0" fontId="3" fillId="40" borderId="5" xfId="0" applyFont="1" applyFill="1" applyBorder="1" applyAlignment="1">
      <alignment horizontal="center" vertical="center" wrapText="1"/>
    </xf>
    <xf numFmtId="0" fontId="3" fillId="40" borderId="14" xfId="0" applyFont="1" applyFill="1" applyBorder="1" applyAlignment="1">
      <alignment horizontal="center" vertical="center" wrapText="1"/>
    </xf>
    <xf numFmtId="0" fontId="3" fillId="41" borderId="5" xfId="0" applyFont="1" applyFill="1" applyBorder="1" applyAlignment="1">
      <alignment horizontal="center" vertical="center" wrapText="1"/>
    </xf>
    <xf numFmtId="0" fontId="3" fillId="41" borderId="6" xfId="0" applyFont="1" applyFill="1" applyBorder="1" applyAlignment="1">
      <alignment horizontal="center" vertical="center" wrapText="1"/>
    </xf>
    <xf numFmtId="0" fontId="3" fillId="41" borderId="14" xfId="0" applyFont="1" applyFill="1" applyBorder="1" applyAlignment="1">
      <alignment horizontal="center" vertical="center" wrapText="1"/>
    </xf>
    <xf numFmtId="0" fontId="3" fillId="41" borderId="3" xfId="0" applyFont="1" applyFill="1" applyBorder="1" applyAlignment="1">
      <alignment horizontal="center" vertical="center" wrapText="1"/>
    </xf>
    <xf numFmtId="0" fontId="19" fillId="41" borderId="48" xfId="0" applyFont="1" applyFill="1" applyBorder="1" applyAlignment="1">
      <alignment horizontal="center" vertical="center"/>
    </xf>
    <xf numFmtId="0" fontId="19" fillId="41" borderId="52" xfId="0" applyFont="1" applyFill="1" applyBorder="1" applyAlignment="1">
      <alignment horizontal="center" vertical="center"/>
    </xf>
    <xf numFmtId="0" fontId="3" fillId="41" borderId="49" xfId="0" applyFont="1" applyFill="1" applyBorder="1" applyAlignment="1">
      <alignment horizontal="center" vertical="center" wrapText="1"/>
    </xf>
    <xf numFmtId="0" fontId="3" fillId="41" borderId="5" xfId="0" applyFont="1" applyFill="1" applyBorder="1" applyAlignment="1">
      <alignment vertical="center" wrapText="1"/>
    </xf>
    <xf numFmtId="0" fontId="3" fillId="41" borderId="15" xfId="0" applyFont="1" applyFill="1" applyBorder="1" applyAlignment="1">
      <alignment vertical="center" wrapText="1"/>
    </xf>
    <xf numFmtId="0" fontId="74" fillId="41" borderId="5" xfId="0" applyFont="1" applyFill="1" applyBorder="1" applyAlignment="1">
      <alignment horizontal="center" vertical="center" wrapText="1"/>
    </xf>
    <xf numFmtId="0" fontId="75" fillId="41" borderId="5" xfId="0" applyFont="1" applyFill="1" applyBorder="1" applyAlignment="1">
      <alignment horizontal="center" vertical="center" wrapText="1"/>
    </xf>
    <xf numFmtId="0" fontId="75" fillId="41" borderId="6" xfId="0" applyFont="1" applyFill="1" applyBorder="1" applyAlignment="1">
      <alignment horizontal="center" vertical="top" wrapText="1"/>
    </xf>
    <xf numFmtId="0" fontId="75" fillId="2" borderId="6" xfId="0" applyFont="1" applyFill="1" applyBorder="1" applyAlignment="1">
      <alignment horizontal="center" vertical="top" wrapText="1"/>
    </xf>
    <xf numFmtId="0" fontId="30" fillId="0" borderId="71" xfId="0" applyFont="1" applyBorder="1" applyAlignment="1">
      <alignment vertical="center" wrapText="1"/>
    </xf>
    <xf numFmtId="44" fontId="30" fillId="0" borderId="48" xfId="0" applyNumberFormat="1" applyFont="1" applyBorder="1" applyAlignment="1">
      <alignment vertical="center" wrapText="1"/>
    </xf>
    <xf numFmtId="0" fontId="3" fillId="40" borderId="6" xfId="0" applyFont="1" applyFill="1" applyBorder="1" applyAlignment="1">
      <alignment horizontal="center" vertical="center" wrapText="1"/>
    </xf>
    <xf numFmtId="0" fontId="9" fillId="0" borderId="88" xfId="0" applyFont="1" applyBorder="1" applyAlignment="1">
      <alignment horizontal="left" vertical="center" wrapText="1"/>
    </xf>
    <xf numFmtId="49" fontId="9" fillId="16" borderId="2" xfId="0" applyNumberFormat="1" applyFont="1" applyFill="1" applyBorder="1" applyAlignment="1">
      <alignment horizontal="center" vertical="center"/>
    </xf>
    <xf numFmtId="0" fontId="9" fillId="42" borderId="20" xfId="0" applyFont="1" applyFill="1" applyBorder="1" applyAlignment="1">
      <alignment horizontal="left" vertical="center" wrapText="1"/>
    </xf>
    <xf numFmtId="0" fontId="9" fillId="42" borderId="22" xfId="0" applyFont="1" applyFill="1" applyBorder="1" applyAlignment="1">
      <alignment horizontal="center" vertical="center"/>
    </xf>
    <xf numFmtId="0" fontId="3" fillId="43" borderId="3" xfId="0" applyFont="1" applyFill="1" applyBorder="1" applyAlignment="1">
      <alignment horizontal="center" vertical="center" wrapText="1"/>
    </xf>
    <xf numFmtId="0" fontId="3" fillId="43" borderId="30" xfId="0" applyFont="1" applyFill="1" applyBorder="1" applyAlignment="1">
      <alignment horizontal="center" vertical="center" wrapText="1"/>
    </xf>
    <xf numFmtId="0" fontId="3" fillId="43" borderId="49" xfId="0" applyFont="1" applyFill="1" applyBorder="1" applyAlignment="1">
      <alignment horizontal="center" vertical="center" wrapText="1"/>
    </xf>
    <xf numFmtId="177" fontId="76" fillId="0" borderId="85" xfId="0" applyNumberFormat="1" applyFont="1" applyBorder="1" applyAlignment="1">
      <alignment horizontal="center"/>
    </xf>
    <xf numFmtId="177" fontId="76" fillId="0" borderId="86" xfId="0" applyNumberFormat="1" applyFont="1" applyBorder="1" applyAlignment="1">
      <alignment horizontal="center"/>
    </xf>
    <xf numFmtId="177" fontId="76" fillId="0" borderId="87" xfId="0" applyNumberFormat="1" applyFont="1" applyBorder="1" applyAlignment="1">
      <alignment horizontal="center"/>
    </xf>
    <xf numFmtId="0" fontId="4" fillId="40" borderId="3" xfId="0" applyFont="1" applyFill="1" applyBorder="1" applyAlignment="1">
      <alignment horizontal="center" vertical="center" wrapText="1"/>
    </xf>
    <xf numFmtId="0" fontId="75" fillId="41" borderId="5" xfId="0" applyFont="1" applyFill="1" applyBorder="1" applyAlignment="1">
      <alignment horizontal="center" vertical="top" wrapText="1"/>
    </xf>
    <xf numFmtId="0" fontId="74" fillId="41" borderId="6" xfId="0" applyFont="1" applyFill="1" applyBorder="1" applyAlignment="1">
      <alignment horizontal="center" vertical="top" wrapText="1"/>
    </xf>
    <xf numFmtId="44" fontId="29" fillId="16" borderId="20" xfId="0" applyNumberFormat="1" applyFont="1" applyFill="1" applyBorder="1" applyAlignment="1">
      <alignment vertical="center" wrapText="1"/>
    </xf>
    <xf numFmtId="0" fontId="18" fillId="0" borderId="4" xfId="0" applyFont="1" applyBorder="1" applyAlignment="1">
      <alignment horizontal="center" vertical="center"/>
    </xf>
    <xf numFmtId="0" fontId="32" fillId="33" borderId="7" xfId="0" applyFont="1" applyFill="1" applyBorder="1" applyAlignment="1">
      <alignment horizontal="left" vertical="center" wrapText="1"/>
    </xf>
    <xf numFmtId="0" fontId="32" fillId="33" borderId="9" xfId="0" applyFont="1" applyFill="1" applyBorder="1" applyAlignment="1">
      <alignment horizontal="left" vertical="center" wrapText="1"/>
    </xf>
    <xf numFmtId="178" fontId="21" fillId="14" borderId="27" xfId="0" applyNumberFormat="1" applyFont="1" applyFill="1" applyBorder="1" applyAlignment="1">
      <alignment horizontal="center" vertical="center" wrapText="1"/>
    </xf>
    <xf numFmtId="178" fontId="22" fillId="15" borderId="53" xfId="1" applyNumberFormat="1" applyFont="1" applyFill="1" applyBorder="1" applyAlignment="1" applyProtection="1">
      <alignment horizontal="right" vertical="top"/>
      <protection locked="0"/>
    </xf>
    <xf numFmtId="178" fontId="24" fillId="15" borderId="54" xfId="1" applyNumberFormat="1" applyFont="1" applyFill="1" applyBorder="1" applyAlignment="1" applyProtection="1">
      <alignment horizontal="right" vertical="top"/>
      <protection locked="0"/>
    </xf>
    <xf numFmtId="178" fontId="22" fillId="15" borderId="54" xfId="1" applyNumberFormat="1" applyFont="1" applyFill="1" applyBorder="1" applyAlignment="1" applyProtection="1">
      <alignment horizontal="right" vertical="top"/>
      <protection locked="0"/>
    </xf>
    <xf numFmtId="178" fontId="24" fillId="15" borderId="53" xfId="1" applyNumberFormat="1" applyFont="1" applyFill="1" applyBorder="1" applyAlignment="1" applyProtection="1">
      <alignment horizontal="right" vertical="top"/>
      <protection locked="0"/>
    </xf>
    <xf numFmtId="178" fontId="24" fillId="15" borderId="53" xfId="0" applyNumberFormat="1" applyFont="1" applyFill="1" applyBorder="1" applyAlignment="1" applyProtection="1">
      <alignment horizontal="right" vertical="top"/>
      <protection locked="0"/>
    </xf>
    <xf numFmtId="178" fontId="24" fillId="15" borderId="54" xfId="0" applyNumberFormat="1" applyFont="1" applyFill="1" applyBorder="1" applyAlignment="1" applyProtection="1">
      <alignment horizontal="right" vertical="top"/>
      <protection locked="0"/>
    </xf>
    <xf numFmtId="178" fontId="22" fillId="15" borderId="54" xfId="0" applyNumberFormat="1" applyFont="1" applyFill="1" applyBorder="1" applyAlignment="1" applyProtection="1">
      <alignment horizontal="right" vertical="top"/>
      <protection locked="0"/>
    </xf>
    <xf numFmtId="178" fontId="22" fillId="15" borderId="53" xfId="0" applyNumberFormat="1" applyFont="1" applyFill="1" applyBorder="1" applyAlignment="1" applyProtection="1">
      <alignment horizontal="right" vertical="top"/>
      <protection locked="0"/>
    </xf>
    <xf numFmtId="178" fontId="22" fillId="15" borderId="0" xfId="0" applyNumberFormat="1" applyFont="1" applyFill="1" applyAlignment="1" applyProtection="1">
      <alignment horizontal="right" vertical="top"/>
      <protection locked="0"/>
    </xf>
    <xf numFmtId="178" fontId="24" fillId="15" borderId="0" xfId="0" applyNumberFormat="1" applyFont="1" applyFill="1" applyAlignment="1" applyProtection="1">
      <alignment horizontal="right" vertical="top"/>
      <protection locked="0"/>
    </xf>
    <xf numFmtId="178" fontId="0" fillId="0" borderId="0" xfId="0" applyNumberFormat="1"/>
    <xf numFmtId="0" fontId="77" fillId="40" borderId="5" xfId="0" applyFont="1" applyFill="1" applyBorder="1" applyAlignment="1">
      <alignment horizontal="center" vertical="top" wrapText="1"/>
    </xf>
    <xf numFmtId="0" fontId="77" fillId="40" borderId="6" xfId="0" applyFont="1" applyFill="1" applyBorder="1" applyAlignment="1">
      <alignment horizontal="center" vertical="top" wrapText="1"/>
    </xf>
    <xf numFmtId="0" fontId="77" fillId="40" borderId="14" xfId="0" applyFont="1" applyFill="1" applyBorder="1" applyAlignment="1">
      <alignment horizontal="center" vertical="top" wrapText="1"/>
    </xf>
    <xf numFmtId="0" fontId="4" fillId="40" borderId="5" xfId="0" applyFont="1" applyFill="1" applyBorder="1" applyAlignment="1">
      <alignment horizontal="center" vertical="center" wrapText="1"/>
    </xf>
    <xf numFmtId="0" fontId="4" fillId="40" borderId="14" xfId="0" applyFont="1" applyFill="1" applyBorder="1" applyAlignment="1">
      <alignment horizontal="center" vertical="center" wrapText="1"/>
    </xf>
    <xf numFmtId="0" fontId="3" fillId="43" borderId="5" xfId="0" applyFont="1" applyFill="1" applyBorder="1" applyAlignment="1">
      <alignment horizontal="center" vertical="center" wrapText="1"/>
    </xf>
    <xf numFmtId="0" fontId="3" fillId="43" borderId="6" xfId="0" applyFont="1" applyFill="1" applyBorder="1" applyAlignment="1">
      <alignment horizontal="center" vertical="center" wrapText="1"/>
    </xf>
    <xf numFmtId="0" fontId="75" fillId="43" borderId="5" xfId="0" applyFont="1" applyFill="1" applyBorder="1" applyAlignment="1">
      <alignment horizontal="center" vertical="top" wrapText="1"/>
    </xf>
    <xf numFmtId="0" fontId="75" fillId="43" borderId="6" xfId="0" applyFont="1" applyFill="1" applyBorder="1" applyAlignment="1">
      <alignment horizontal="center" vertical="top" wrapText="1"/>
    </xf>
    <xf numFmtId="0" fontId="75" fillId="43" borderId="14" xfId="0" applyFont="1" applyFill="1" applyBorder="1" applyAlignment="1">
      <alignment horizontal="center" vertical="top" wrapText="1"/>
    </xf>
    <xf numFmtId="0" fontId="72" fillId="43" borderId="5" xfId="0" applyFont="1" applyFill="1" applyBorder="1" applyAlignment="1">
      <alignment horizontal="center" vertical="center" wrapText="1"/>
    </xf>
    <xf numFmtId="0" fontId="72" fillId="43" borderId="6" xfId="0" applyFont="1" applyFill="1" applyBorder="1" applyAlignment="1">
      <alignment horizontal="center" vertical="center" wrapText="1"/>
    </xf>
    <xf numFmtId="0" fontId="72" fillId="43" borderId="14" xfId="0" applyFont="1" applyFill="1" applyBorder="1" applyAlignment="1">
      <alignment horizontal="center" vertical="center" wrapText="1"/>
    </xf>
    <xf numFmtId="0" fontId="43" fillId="0" borderId="32" xfId="0" applyFont="1" applyBorder="1" applyAlignment="1">
      <alignment horizontal="center" vertical="center"/>
    </xf>
    <xf numFmtId="0" fontId="43" fillId="0" borderId="61" xfId="0" applyFont="1" applyBorder="1" applyAlignment="1">
      <alignment horizontal="center" vertical="center"/>
    </xf>
    <xf numFmtId="0" fontId="18" fillId="0" borderId="4" xfId="0" applyFont="1" applyBorder="1" applyAlignment="1">
      <alignment horizontal="center" vertical="center"/>
    </xf>
    <xf numFmtId="0" fontId="30" fillId="18" borderId="7" xfId="0" applyFont="1" applyFill="1" applyBorder="1" applyAlignment="1">
      <alignment horizontal="center" vertical="center"/>
    </xf>
    <xf numFmtId="0" fontId="30" fillId="18" borderId="8" xfId="0" applyFont="1" applyFill="1" applyBorder="1" applyAlignment="1">
      <alignment horizontal="center" vertical="center"/>
    </xf>
    <xf numFmtId="0" fontId="30" fillId="18" borderId="9" xfId="0" applyFont="1" applyFill="1" applyBorder="1" applyAlignment="1">
      <alignment horizontal="center" vertical="center"/>
    </xf>
    <xf numFmtId="0" fontId="10" fillId="9" borderId="4" xfId="0" applyFont="1" applyFill="1" applyBorder="1" applyAlignment="1">
      <alignment horizontal="center" vertical="center"/>
    </xf>
    <xf numFmtId="0" fontId="11" fillId="22" borderId="7" xfId="0" applyFont="1" applyFill="1" applyBorder="1" applyAlignment="1">
      <alignment horizontal="center" vertical="center"/>
    </xf>
    <xf numFmtId="0" fontId="11" fillId="22" borderId="8" xfId="0" applyFont="1" applyFill="1" applyBorder="1" applyAlignment="1">
      <alignment horizontal="center" vertical="center"/>
    </xf>
    <xf numFmtId="0" fontId="11" fillId="22" borderId="9" xfId="0" applyFont="1" applyFill="1" applyBorder="1" applyAlignment="1">
      <alignment horizontal="center" vertical="center"/>
    </xf>
    <xf numFmtId="0" fontId="41" fillId="18" borderId="4" xfId="0" applyFont="1" applyFill="1" applyBorder="1" applyAlignment="1">
      <alignment horizontal="center" vertical="center"/>
    </xf>
    <xf numFmtId="0" fontId="10" fillId="19" borderId="4" xfId="0" applyFont="1" applyFill="1" applyBorder="1" applyAlignment="1">
      <alignment horizontal="center" vertical="center"/>
    </xf>
    <xf numFmtId="0" fontId="10" fillId="20" borderId="4" xfId="0" applyFont="1" applyFill="1" applyBorder="1" applyAlignment="1">
      <alignment horizontal="center" vertical="center"/>
    </xf>
    <xf numFmtId="0" fontId="10" fillId="21" borderId="4" xfId="0" applyFont="1" applyFill="1" applyBorder="1" applyAlignment="1">
      <alignment horizontal="center" vertical="center"/>
    </xf>
    <xf numFmtId="0" fontId="3" fillId="2" borderId="30" xfId="0" applyFont="1" applyFill="1" applyBorder="1" applyAlignment="1">
      <alignment horizontal="center" vertical="center" wrapText="1"/>
    </xf>
    <xf numFmtId="0" fontId="3" fillId="2" borderId="31" xfId="0" applyFont="1" applyFill="1" applyBorder="1" applyAlignment="1">
      <alignment horizontal="center" vertical="center" wrapText="1"/>
    </xf>
    <xf numFmtId="0" fontId="3" fillId="2" borderId="50" xfId="0" applyFont="1" applyFill="1" applyBorder="1" applyAlignment="1">
      <alignment horizontal="center" vertical="center" wrapText="1"/>
    </xf>
    <xf numFmtId="0" fontId="3" fillId="2" borderId="0" xfId="0" applyFont="1" applyFill="1" applyAlignment="1">
      <alignment horizontal="center" vertical="center" wrapText="1"/>
    </xf>
    <xf numFmtId="0" fontId="3" fillId="2" borderId="73" xfId="0" applyFont="1" applyFill="1" applyBorder="1" applyAlignment="1">
      <alignment horizontal="center" vertical="center" wrapText="1"/>
    </xf>
    <xf numFmtId="0" fontId="3" fillId="2" borderId="60" xfId="0" applyFont="1" applyFill="1" applyBorder="1" applyAlignment="1">
      <alignment horizontal="center" vertical="center" wrapText="1"/>
    </xf>
    <xf numFmtId="0" fontId="3" fillId="2" borderId="5" xfId="0" applyFont="1" applyFill="1" applyBorder="1" applyAlignment="1">
      <alignment horizontal="center" vertical="center" wrapText="1"/>
    </xf>
    <xf numFmtId="0" fontId="3" fillId="2" borderId="6" xfId="0" applyFont="1" applyFill="1" applyBorder="1" applyAlignment="1">
      <alignment horizontal="center" vertical="center" wrapText="1"/>
    </xf>
    <xf numFmtId="0" fontId="32" fillId="29" borderId="4" xfId="0" applyFont="1" applyFill="1" applyBorder="1" applyAlignment="1">
      <alignment horizontal="center" vertical="center"/>
    </xf>
    <xf numFmtId="0" fontId="21" fillId="14" borderId="4" xfId="0" applyFont="1" applyFill="1" applyBorder="1" applyAlignment="1">
      <alignment horizontal="center" vertical="center" wrapText="1"/>
    </xf>
    <xf numFmtId="0" fontId="20" fillId="0" borderId="7" xfId="0" applyFont="1" applyBorder="1" applyAlignment="1">
      <alignment horizontal="left" vertical="center" wrapText="1"/>
    </xf>
    <xf numFmtId="0" fontId="20" fillId="0" borderId="9" xfId="0" applyFont="1" applyBorder="1" applyAlignment="1">
      <alignment horizontal="left" vertical="center" wrapText="1"/>
    </xf>
    <xf numFmtId="0" fontId="52" fillId="14" borderId="4" xfId="0" applyFont="1" applyFill="1" applyBorder="1" applyAlignment="1">
      <alignment horizontal="center" vertical="center" wrapText="1"/>
    </xf>
    <xf numFmtId="0" fontId="32" fillId="33" borderId="4" xfId="0" applyFont="1" applyFill="1" applyBorder="1" applyAlignment="1">
      <alignment horizontal="center" vertical="center"/>
    </xf>
    <xf numFmtId="0" fontId="32" fillId="33" borderId="4" xfId="0" applyFont="1" applyFill="1" applyBorder="1" applyAlignment="1">
      <alignment horizontal="center" vertical="center" wrapText="1"/>
    </xf>
    <xf numFmtId="0" fontId="52" fillId="14" borderId="7" xfId="0" applyFont="1" applyFill="1" applyBorder="1" applyAlignment="1">
      <alignment horizontal="center" vertical="center" wrapText="1"/>
    </xf>
    <xf numFmtId="0" fontId="52" fillId="14" borderId="8" xfId="0" applyFont="1" applyFill="1" applyBorder="1" applyAlignment="1">
      <alignment horizontal="center" vertical="center" wrapText="1"/>
    </xf>
    <xf numFmtId="0" fontId="52" fillId="14" borderId="9" xfId="0" applyFont="1" applyFill="1" applyBorder="1" applyAlignment="1">
      <alignment horizontal="center" vertical="center" wrapText="1"/>
    </xf>
    <xf numFmtId="0" fontId="21" fillId="14" borderId="7" xfId="0" applyFont="1" applyFill="1" applyBorder="1" applyAlignment="1">
      <alignment horizontal="center" vertical="center" wrapText="1"/>
    </xf>
    <xf numFmtId="0" fontId="21" fillId="14" borderId="9" xfId="0" applyFont="1" applyFill="1" applyBorder="1" applyAlignment="1">
      <alignment horizontal="center" vertical="center" wrapText="1"/>
    </xf>
    <xf numFmtId="0" fontId="32" fillId="33" borderId="7" xfId="0" applyFont="1" applyFill="1" applyBorder="1" applyAlignment="1">
      <alignment horizontal="center" vertical="center" wrapText="1"/>
    </xf>
    <xf numFmtId="0" fontId="32" fillId="33" borderId="9" xfId="0" applyFont="1" applyFill="1" applyBorder="1" applyAlignment="1">
      <alignment horizontal="center" vertical="center" wrapText="1"/>
    </xf>
    <xf numFmtId="0" fontId="20" fillId="0" borderId="7" xfId="0" applyFont="1" applyBorder="1" applyAlignment="1">
      <alignment horizontal="center" vertical="center" wrapText="1"/>
    </xf>
    <xf numFmtId="0" fontId="20" fillId="0" borderId="9" xfId="0" applyFont="1" applyBorder="1" applyAlignment="1">
      <alignment horizontal="center" vertical="center" wrapText="1"/>
    </xf>
    <xf numFmtId="0" fontId="21" fillId="14" borderId="8" xfId="0" applyFont="1" applyFill="1" applyBorder="1" applyAlignment="1">
      <alignment horizontal="center" vertical="center" wrapText="1"/>
    </xf>
    <xf numFmtId="0" fontId="32" fillId="29" borderId="7" xfId="0" applyFont="1" applyFill="1" applyBorder="1" applyAlignment="1">
      <alignment horizontal="center" vertical="center"/>
    </xf>
    <xf numFmtId="0" fontId="32" fillId="29" borderId="9" xfId="0" applyFont="1" applyFill="1" applyBorder="1" applyAlignment="1">
      <alignment horizontal="center" vertical="center"/>
    </xf>
    <xf numFmtId="0" fontId="32" fillId="33" borderId="7" xfId="0" applyFont="1" applyFill="1" applyBorder="1" applyAlignment="1">
      <alignment horizontal="center" vertical="center"/>
    </xf>
    <xf numFmtId="0" fontId="32" fillId="33" borderId="9" xfId="0" applyFont="1" applyFill="1" applyBorder="1" applyAlignment="1">
      <alignment horizontal="center" vertical="center"/>
    </xf>
    <xf numFmtId="0" fontId="32" fillId="33" borderId="7" xfId="0" applyFont="1" applyFill="1" applyBorder="1" applyAlignment="1">
      <alignment horizontal="left" vertical="center" wrapText="1"/>
    </xf>
    <xf numFmtId="0" fontId="32" fillId="33" borderId="9" xfId="0" applyFont="1" applyFill="1" applyBorder="1" applyAlignment="1">
      <alignment horizontal="left" vertical="center" wrapText="1"/>
    </xf>
    <xf numFmtId="0" fontId="32" fillId="33" borderId="7" xfId="0" applyFont="1" applyFill="1" applyBorder="1" applyAlignment="1">
      <alignment horizontal="left" vertical="center"/>
    </xf>
    <xf numFmtId="0" fontId="32" fillId="33" borderId="9" xfId="0" applyFont="1" applyFill="1" applyBorder="1" applyAlignment="1">
      <alignment horizontal="left" vertical="center"/>
    </xf>
    <xf numFmtId="0" fontId="20" fillId="0" borderId="5" xfId="0" applyFont="1" applyBorder="1" applyAlignment="1">
      <alignment horizontal="center" vertical="center"/>
    </xf>
    <xf numFmtId="0" fontId="20" fillId="0" borderId="6" xfId="0" applyFont="1" applyBorder="1" applyAlignment="1">
      <alignment horizontal="center" vertical="center"/>
    </xf>
    <xf numFmtId="0" fontId="48" fillId="2" borderId="7" xfId="0" applyFont="1" applyFill="1" applyBorder="1" applyAlignment="1">
      <alignment horizontal="center" vertical="center" wrapText="1"/>
    </xf>
    <xf numFmtId="0" fontId="48" fillId="2" borderId="8" xfId="0" applyFont="1" applyFill="1" applyBorder="1" applyAlignment="1">
      <alignment horizontal="center" vertical="center" wrapText="1"/>
    </xf>
    <xf numFmtId="0" fontId="51" fillId="32" borderId="5" xfId="0" applyFont="1" applyFill="1" applyBorder="1" applyAlignment="1">
      <alignment horizontal="center" vertical="center"/>
    </xf>
    <xf numFmtId="0" fontId="51" fillId="32" borderId="6" xfId="0" applyFont="1" applyFill="1" applyBorder="1" applyAlignment="1">
      <alignment horizontal="center" vertical="center"/>
    </xf>
    <xf numFmtId="0" fontId="20" fillId="0" borderId="30" xfId="0" applyFont="1" applyBorder="1" applyAlignment="1">
      <alignment horizontal="center" vertical="center"/>
    </xf>
    <xf numFmtId="0" fontId="20" fillId="0" borderId="31" xfId="0" applyFont="1" applyBorder="1" applyAlignment="1">
      <alignment horizontal="center" vertical="center"/>
    </xf>
    <xf numFmtId="0" fontId="21" fillId="14" borderId="58" xfId="0" applyFont="1" applyFill="1" applyBorder="1" applyAlignment="1">
      <alignment horizontal="center" vertical="center" wrapText="1"/>
    </xf>
    <xf numFmtId="0" fontId="70" fillId="0" borderId="82" xfId="9" applyFont="1" applyBorder="1" applyAlignment="1">
      <alignment horizontal="center" vertical="center" wrapText="1"/>
    </xf>
    <xf numFmtId="0" fontId="70" fillId="0" borderId="81" xfId="9" applyFont="1" applyBorder="1" applyAlignment="1">
      <alignment horizontal="center" vertical="center" wrapText="1"/>
    </xf>
    <xf numFmtId="0" fontId="70" fillId="0" borderId="16" xfId="9" applyFont="1" applyBorder="1" applyAlignment="1">
      <alignment horizontal="center" vertical="center" wrapText="1"/>
    </xf>
    <xf numFmtId="171" fontId="4" fillId="0" borderId="82" xfId="7" applyFont="1" applyFill="1" applyBorder="1" applyAlignment="1" applyProtection="1">
      <alignment horizontal="center"/>
    </xf>
    <xf numFmtId="171" fontId="4" fillId="0" borderId="81" xfId="7" applyFont="1" applyFill="1" applyBorder="1" applyAlignment="1" applyProtection="1">
      <alignment horizontal="center"/>
    </xf>
    <xf numFmtId="171" fontId="4" fillId="0" borderId="16" xfId="7" applyFont="1" applyFill="1" applyBorder="1" applyAlignment="1" applyProtection="1">
      <alignment horizontal="center"/>
    </xf>
    <xf numFmtId="0" fontId="4" fillId="6" borderId="4" xfId="0" applyFont="1" applyFill="1" applyBorder="1" applyAlignment="1">
      <alignment horizontal="left" vertical="center" wrapText="1"/>
    </xf>
    <xf numFmtId="0" fontId="6" fillId="7" borderId="4" xfId="0" applyFont="1" applyFill="1" applyBorder="1" applyAlignment="1">
      <alignment horizontal="left" vertical="center" wrapText="1"/>
    </xf>
    <xf numFmtId="0" fontId="4" fillId="0" borderId="7" xfId="0" applyFont="1" applyBorder="1" applyAlignment="1">
      <alignment horizontal="left" vertical="center" wrapText="1"/>
    </xf>
    <xf numFmtId="0" fontId="4" fillId="0" borderId="8" xfId="0" applyFont="1" applyBorder="1" applyAlignment="1">
      <alignment horizontal="left" vertical="center" wrapText="1"/>
    </xf>
    <xf numFmtId="0" fontId="4" fillId="0" borderId="9" xfId="0" applyFont="1" applyBorder="1" applyAlignment="1">
      <alignment horizontal="left" vertical="center" wrapText="1"/>
    </xf>
    <xf numFmtId="0" fontId="4" fillId="3" borderId="4" xfId="0" applyFont="1" applyFill="1" applyBorder="1" applyAlignment="1">
      <alignment horizontal="left" vertical="center" wrapText="1"/>
    </xf>
    <xf numFmtId="0" fontId="4" fillId="4" borderId="4" xfId="0" applyFont="1" applyFill="1" applyBorder="1" applyAlignment="1">
      <alignment horizontal="left" vertical="center" wrapText="1"/>
    </xf>
    <xf numFmtId="0" fontId="4" fillId="5" borderId="4" xfId="0" applyFont="1" applyFill="1" applyBorder="1" applyAlignment="1">
      <alignment horizontal="left" vertical="center" wrapText="1"/>
    </xf>
    <xf numFmtId="0" fontId="59" fillId="14" borderId="50" xfId="0" applyFont="1" applyFill="1" applyBorder="1" applyAlignment="1">
      <alignment horizontal="center" vertical="center" wrapText="1"/>
    </xf>
    <xf numFmtId="0" fontId="59" fillId="14" borderId="0" xfId="0" applyFont="1" applyFill="1" applyAlignment="1">
      <alignment horizontal="center" vertical="center" wrapText="1"/>
    </xf>
    <xf numFmtId="0" fontId="59" fillId="2" borderId="5" xfId="0" applyFont="1" applyFill="1" applyBorder="1" applyAlignment="1">
      <alignment horizontal="center" vertical="center" wrapText="1"/>
    </xf>
    <xf numFmtId="0" fontId="59" fillId="2" borderId="6" xfId="0" applyFont="1" applyFill="1" applyBorder="1" applyAlignment="1">
      <alignment horizontal="center" vertical="center" wrapText="1"/>
    </xf>
    <xf numFmtId="0" fontId="59" fillId="2" borderId="14" xfId="0" applyFont="1" applyFill="1" applyBorder="1" applyAlignment="1">
      <alignment horizontal="center" vertical="center" wrapText="1"/>
    </xf>
  </cellXfs>
  <cellStyles count="10">
    <cellStyle name="Milliers" xfId="5" builtinId="3"/>
    <cellStyle name="Milliers_Copie de 12-OBPXpds" xfId="7" xr:uid="{D72F004B-551D-49F7-A835-07174B9B73E4}"/>
    <cellStyle name="Monétaire" xfId="1" builtinId="4"/>
    <cellStyle name="Monétaire 2" xfId="6" xr:uid="{2C8303C3-3FC8-4A56-A332-9E57C048ACE1}"/>
    <cellStyle name="Normal" xfId="0" builtinId="0"/>
    <cellStyle name="Normal 2 4" xfId="4" xr:uid="{65B04FB4-F51A-45BE-A78F-16A8C37DF12A}"/>
    <cellStyle name="Normal_Annexe_3_BPU fournitures Tx" xfId="3" xr:uid="{7A90CFF5-ED3A-4591-ADFE-FF70085D809C}"/>
    <cellStyle name="Normal_Copie de 12-OBPXpds" xfId="9" xr:uid="{CD0A6660-F9E6-4E1F-81F9-729FB2F16329}"/>
    <cellStyle name="Normal_PU" xfId="8" xr:uid="{0841CC3F-78D4-487D-80AA-202179084A73}"/>
    <cellStyle name="Pourcentage" xfId="2" builtinId="5"/>
  </cellStyles>
  <dxfs count="2">
    <dxf>
      <fill>
        <patternFill>
          <bgColor indexed="10"/>
        </patternFill>
      </fill>
    </dxf>
    <dxf>
      <fill>
        <patternFill>
          <bgColor indexed="42"/>
        </patternFill>
      </fill>
    </dxf>
  </dxfs>
  <tableStyles count="0" defaultTableStyle="TableStyleMedium2" defaultPivotStyle="PivotStyleLight16"/>
  <colors>
    <mruColors>
      <color rgb="FFFFCCFF"/>
      <color rgb="FFFF99FF"/>
      <color rgb="FF00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590550</xdr:colOff>
          <xdr:row>3</xdr:row>
          <xdr:rowOff>31750</xdr:rowOff>
        </xdr:from>
        <xdr:to>
          <xdr:col>6</xdr:col>
          <xdr:colOff>31750</xdr:colOff>
          <xdr:row>6</xdr:row>
          <xdr:rowOff>95250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Nombres de phases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603250</xdr:colOff>
          <xdr:row>8</xdr:row>
          <xdr:rowOff>12700</xdr:rowOff>
        </xdr:from>
        <xdr:to>
          <xdr:col>6</xdr:col>
          <xdr:colOff>31750</xdr:colOff>
          <xdr:row>11</xdr:row>
          <xdr:rowOff>50800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Copie des synthèses de prix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9</xdr:row>
      <xdr:rowOff>12700</xdr:rowOff>
    </xdr:from>
    <xdr:to>
      <xdr:col>5</xdr:col>
      <xdr:colOff>0</xdr:colOff>
      <xdr:row>10</xdr:row>
      <xdr:rowOff>19051</xdr:rowOff>
    </xdr:to>
    <xdr:sp macro="" textlink="">
      <xdr:nvSpPr>
        <xdr:cNvPr id="2" name="Rectangle 1">
          <a:extLst>
            <a:ext uri="{FF2B5EF4-FFF2-40B4-BE49-F238E27FC236}">
              <a16:creationId xmlns:a16="http://schemas.microsoft.com/office/drawing/2014/main" id="{00000000-0008-0000-0100-000002000000}"/>
            </a:ext>
          </a:extLst>
        </xdr:cNvPr>
        <xdr:cNvSpPr/>
      </xdr:nvSpPr>
      <xdr:spPr>
        <a:xfrm>
          <a:off x="0" y="2952750"/>
          <a:ext cx="9144000" cy="508001"/>
        </a:xfrm>
        <a:prstGeom prst="rect">
          <a:avLst/>
        </a:prstGeom>
        <a:solidFill>
          <a:schemeClr val="accent1">
            <a:lumMod val="60000"/>
            <a:lumOff val="40000"/>
          </a:schemeClr>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xdr:col>
      <xdr:colOff>12700</xdr:colOff>
      <xdr:row>9</xdr:row>
      <xdr:rowOff>15874</xdr:rowOff>
    </xdr:from>
    <xdr:to>
      <xdr:col>16</xdr:col>
      <xdr:colOff>14513</xdr:colOff>
      <xdr:row>10</xdr:row>
      <xdr:rowOff>0</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10985500" y="2955924"/>
          <a:ext cx="12974863" cy="485776"/>
        </a:xfrm>
        <a:prstGeom prst="rect">
          <a:avLst/>
        </a:prstGeom>
        <a:solidFill>
          <a:schemeClr val="accent1">
            <a:lumMod val="60000"/>
            <a:lumOff val="40000"/>
          </a:schemeClr>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mc:AlternateContent xmlns:mc="http://schemas.openxmlformats.org/markup-compatibility/2006">
    <mc:Choice xmlns:a14="http://schemas.microsoft.com/office/drawing/2010/main" Requires="a14">
      <xdr:twoCellAnchor>
        <xdr:from>
          <xdr:col>1</xdr:col>
          <xdr:colOff>1079500</xdr:colOff>
          <xdr:row>5</xdr:row>
          <xdr:rowOff>349250</xdr:rowOff>
        </xdr:from>
        <xdr:to>
          <xdr:col>1</xdr:col>
          <xdr:colOff>2165350</xdr:colOff>
          <xdr:row>5</xdr:row>
          <xdr:rowOff>736600</xdr:rowOff>
        </xdr:to>
        <xdr:sp macro="" textlink="">
          <xdr:nvSpPr>
            <xdr:cNvPr id="87042" name="Button 2" hidden="1">
              <a:extLst>
                <a:ext uri="{63B3BB69-23CF-44E3-9099-C40C66FF867C}">
                  <a14:compatExt spid="_x0000_s87042"/>
                </a:ext>
                <a:ext uri="{FF2B5EF4-FFF2-40B4-BE49-F238E27FC236}">
                  <a16:creationId xmlns:a16="http://schemas.microsoft.com/office/drawing/2014/main" id="{00000000-0008-0000-0100-0000025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Supprimer Lignes Prestations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2190750</xdr:colOff>
          <xdr:row>5</xdr:row>
          <xdr:rowOff>336550</xdr:rowOff>
        </xdr:from>
        <xdr:to>
          <xdr:col>1</xdr:col>
          <xdr:colOff>3930650</xdr:colOff>
          <xdr:row>5</xdr:row>
          <xdr:rowOff>736600</xdr:rowOff>
        </xdr:to>
        <xdr:sp macro="" textlink="">
          <xdr:nvSpPr>
            <xdr:cNvPr id="87043" name="Button 3" hidden="1">
              <a:extLst>
                <a:ext uri="{63B3BB69-23CF-44E3-9099-C40C66FF867C}">
                  <a14:compatExt spid="_x0000_s87043"/>
                </a:ext>
                <a:ext uri="{FF2B5EF4-FFF2-40B4-BE49-F238E27FC236}">
                  <a16:creationId xmlns:a16="http://schemas.microsoft.com/office/drawing/2014/main" id="{00000000-0008-0000-0100-0000035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Ajouter Ligne precise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25400</xdr:colOff>
          <xdr:row>35</xdr:row>
          <xdr:rowOff>12700</xdr:rowOff>
        </xdr:from>
        <xdr:to>
          <xdr:col>1</xdr:col>
          <xdr:colOff>977900</xdr:colOff>
          <xdr:row>35</xdr:row>
          <xdr:rowOff>400050</xdr:rowOff>
        </xdr:to>
        <xdr:sp macro="" textlink="">
          <xdr:nvSpPr>
            <xdr:cNvPr id="87044" name="Button 4" hidden="1">
              <a:extLst>
                <a:ext uri="{63B3BB69-23CF-44E3-9099-C40C66FF867C}">
                  <a14:compatExt spid="_x0000_s87044"/>
                </a:ext>
                <a:ext uri="{FF2B5EF4-FFF2-40B4-BE49-F238E27FC236}">
                  <a16:creationId xmlns:a16="http://schemas.microsoft.com/office/drawing/2014/main" id="{00000000-0008-0000-0100-0000045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Ajouter Ligne Fourniture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1022350</xdr:colOff>
          <xdr:row>35</xdr:row>
          <xdr:rowOff>12700</xdr:rowOff>
        </xdr:from>
        <xdr:to>
          <xdr:col>1</xdr:col>
          <xdr:colOff>1822450</xdr:colOff>
          <xdr:row>35</xdr:row>
          <xdr:rowOff>381000</xdr:rowOff>
        </xdr:to>
        <xdr:sp macro="" textlink="">
          <xdr:nvSpPr>
            <xdr:cNvPr id="87045" name="Button 5" hidden="1">
              <a:extLst>
                <a:ext uri="{63B3BB69-23CF-44E3-9099-C40C66FF867C}">
                  <a14:compatExt spid="_x0000_s87045"/>
                </a:ext>
                <a:ext uri="{FF2B5EF4-FFF2-40B4-BE49-F238E27FC236}">
                  <a16:creationId xmlns:a16="http://schemas.microsoft.com/office/drawing/2014/main" id="{00000000-0008-0000-0100-0000055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Supprimer Ligne Founriture</a:t>
              </a:r>
            </a:p>
          </xdr:txBody>
        </xdr:sp>
        <xdr:clientData fPrintsWithSheet="0"/>
      </xdr:twoCellAnchor>
    </mc:Choice>
    <mc:Fallback/>
  </mc:AlternateContent>
  <xdr:twoCellAnchor>
    <xdr:from>
      <xdr:col>6</xdr:col>
      <xdr:colOff>3704</xdr:colOff>
      <xdr:row>37</xdr:row>
      <xdr:rowOff>13229</xdr:rowOff>
    </xdr:from>
    <xdr:to>
      <xdr:col>16</xdr:col>
      <xdr:colOff>12171</xdr:colOff>
      <xdr:row>37</xdr:row>
      <xdr:rowOff>396875</xdr:rowOff>
    </xdr:to>
    <xdr:sp macro="" textlink="">
      <xdr:nvSpPr>
        <xdr:cNvPr id="5" name="Rectangle 4">
          <a:extLst>
            <a:ext uri="{FF2B5EF4-FFF2-40B4-BE49-F238E27FC236}">
              <a16:creationId xmlns:a16="http://schemas.microsoft.com/office/drawing/2014/main" id="{00000000-0008-0000-0100-000005000000}"/>
            </a:ext>
          </a:extLst>
        </xdr:cNvPr>
        <xdr:cNvSpPr/>
      </xdr:nvSpPr>
      <xdr:spPr>
        <a:xfrm>
          <a:off x="10983912" y="17052396"/>
          <a:ext cx="12999509" cy="383646"/>
        </a:xfrm>
        <a:prstGeom prst="rect">
          <a:avLst/>
        </a:prstGeom>
        <a:solidFill>
          <a:schemeClr val="accent1">
            <a:lumMod val="60000"/>
            <a:lumOff val="40000"/>
          </a:schemeClr>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mc:AlternateContent xmlns:mc="http://schemas.openxmlformats.org/markup-compatibility/2006">
    <mc:Choice xmlns:a14="http://schemas.microsoft.com/office/drawing/2010/main" Requires="a14">
      <xdr:twoCellAnchor>
        <xdr:from>
          <xdr:col>1</xdr:col>
          <xdr:colOff>1841500</xdr:colOff>
          <xdr:row>35</xdr:row>
          <xdr:rowOff>12700</xdr:rowOff>
        </xdr:from>
        <xdr:to>
          <xdr:col>2</xdr:col>
          <xdr:colOff>12700</xdr:colOff>
          <xdr:row>35</xdr:row>
          <xdr:rowOff>381000</xdr:rowOff>
        </xdr:to>
        <xdr:sp macro="" textlink="">
          <xdr:nvSpPr>
            <xdr:cNvPr id="87046" name="Button 6" hidden="1">
              <a:extLst>
                <a:ext uri="{63B3BB69-23CF-44E3-9099-C40C66FF867C}">
                  <a14:compatExt spid="_x0000_s87046"/>
                </a:ext>
                <a:ext uri="{FF2B5EF4-FFF2-40B4-BE49-F238E27FC236}">
                  <a16:creationId xmlns:a16="http://schemas.microsoft.com/office/drawing/2014/main" id="{00000000-0008-0000-0100-0000065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Ajouter Ligne Precise</a:t>
              </a:r>
            </a:p>
          </xdr:txBody>
        </xdr:sp>
        <xdr:clientData fPrintsWithSheet="0"/>
      </xdr:twoCellAnchor>
    </mc:Choice>
    <mc:Fallback/>
  </mc:AlternateContent>
  <xdr:twoCellAnchor>
    <xdr:from>
      <xdr:col>0</xdr:col>
      <xdr:colOff>0</xdr:colOff>
      <xdr:row>53</xdr:row>
      <xdr:rowOff>12700</xdr:rowOff>
    </xdr:from>
    <xdr:to>
      <xdr:col>4</xdr:col>
      <xdr:colOff>0</xdr:colOff>
      <xdr:row>54</xdr:row>
      <xdr:rowOff>8164</xdr:rowOff>
    </xdr:to>
    <xdr:sp macro="" textlink="">
      <xdr:nvSpPr>
        <xdr:cNvPr id="6" name="Rectangle 5">
          <a:extLst>
            <a:ext uri="{FF2B5EF4-FFF2-40B4-BE49-F238E27FC236}">
              <a16:creationId xmlns:a16="http://schemas.microsoft.com/office/drawing/2014/main" id="{00000000-0008-0000-0100-000006000000}"/>
            </a:ext>
          </a:extLst>
        </xdr:cNvPr>
        <xdr:cNvSpPr/>
      </xdr:nvSpPr>
      <xdr:spPr>
        <a:xfrm>
          <a:off x="0" y="23729950"/>
          <a:ext cx="8137071" cy="362857"/>
        </a:xfrm>
        <a:prstGeom prst="rect">
          <a:avLst/>
        </a:prstGeom>
        <a:solidFill>
          <a:schemeClr val="accent4">
            <a:lumMod val="40000"/>
            <a:lumOff val="60000"/>
          </a:schemeClr>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xdr:col>
      <xdr:colOff>7408</xdr:colOff>
      <xdr:row>53</xdr:row>
      <xdr:rowOff>11906</xdr:rowOff>
    </xdr:from>
    <xdr:to>
      <xdr:col>7</xdr:col>
      <xdr:colOff>2721</xdr:colOff>
      <xdr:row>54</xdr:row>
      <xdr:rowOff>0</xdr:rowOff>
    </xdr:to>
    <xdr:sp macro="" textlink="">
      <xdr:nvSpPr>
        <xdr:cNvPr id="7" name="Rectangle 6">
          <a:extLst>
            <a:ext uri="{FF2B5EF4-FFF2-40B4-BE49-F238E27FC236}">
              <a16:creationId xmlns:a16="http://schemas.microsoft.com/office/drawing/2014/main" id="{00000000-0008-0000-0100-000007000000}"/>
            </a:ext>
          </a:extLst>
        </xdr:cNvPr>
        <xdr:cNvSpPr/>
      </xdr:nvSpPr>
      <xdr:spPr>
        <a:xfrm>
          <a:off x="10961158" y="26253281"/>
          <a:ext cx="2900438" cy="357188"/>
        </a:xfrm>
        <a:prstGeom prst="rect">
          <a:avLst/>
        </a:prstGeom>
        <a:solidFill>
          <a:schemeClr val="accent4">
            <a:lumMod val="40000"/>
            <a:lumOff val="60000"/>
          </a:schemeClr>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mc:AlternateContent xmlns:mc="http://schemas.openxmlformats.org/markup-compatibility/2006">
    <mc:Choice xmlns:a14="http://schemas.microsoft.com/office/drawing/2010/main" Requires="a14">
      <xdr:twoCellAnchor>
        <xdr:from>
          <xdr:col>0</xdr:col>
          <xdr:colOff>2184400</xdr:colOff>
          <xdr:row>57</xdr:row>
          <xdr:rowOff>488950</xdr:rowOff>
        </xdr:from>
        <xdr:to>
          <xdr:col>1</xdr:col>
          <xdr:colOff>1104900</xdr:colOff>
          <xdr:row>57</xdr:row>
          <xdr:rowOff>876300</xdr:rowOff>
        </xdr:to>
        <xdr:sp macro="" textlink="">
          <xdr:nvSpPr>
            <xdr:cNvPr id="87049" name="Button 9" hidden="1">
              <a:extLst>
                <a:ext uri="{63B3BB69-23CF-44E3-9099-C40C66FF867C}">
                  <a14:compatExt spid="_x0000_s87049"/>
                </a:ext>
                <a:ext uri="{FF2B5EF4-FFF2-40B4-BE49-F238E27FC236}">
                  <a16:creationId xmlns:a16="http://schemas.microsoft.com/office/drawing/2014/main" id="{00000000-0008-0000-0100-0000095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Ajouter Ligne</a:t>
              </a:r>
            </a:p>
            <a:p>
              <a:pPr algn="ctr" rtl="0">
                <a:defRPr sz="1000"/>
              </a:pPr>
              <a:endParaRPr lang="fr-FR" sz="1100" b="0" i="0" u="none" strike="noStrike" baseline="0">
                <a:solidFill>
                  <a:srgbClr val="000000"/>
                </a:solidFill>
                <a:latin typeface="Calibri"/>
                <a:cs typeface="Calibri"/>
              </a:endParaRPr>
            </a:p>
          </xdr:txBody>
        </xdr:sp>
        <xdr:clientData fPrintsWithSheet="0"/>
      </xdr:twoCellAnchor>
    </mc:Choice>
    <mc:Fallback/>
  </mc:AlternateContent>
  <xdr:twoCellAnchor>
    <xdr:from>
      <xdr:col>8</xdr:col>
      <xdr:colOff>231322</xdr:colOff>
      <xdr:row>5</xdr:row>
      <xdr:rowOff>95250</xdr:rowOff>
    </xdr:from>
    <xdr:to>
      <xdr:col>8</xdr:col>
      <xdr:colOff>952499</xdr:colOff>
      <xdr:row>5</xdr:row>
      <xdr:rowOff>689428</xdr:rowOff>
    </xdr:to>
    <xdr:sp macro="" textlink="">
      <xdr:nvSpPr>
        <xdr:cNvPr id="8" name="Rectangle 7">
          <a:extLst>
            <a:ext uri="{FF2B5EF4-FFF2-40B4-BE49-F238E27FC236}">
              <a16:creationId xmlns:a16="http://schemas.microsoft.com/office/drawing/2014/main" id="{00000000-0008-0000-0100-000008000000}"/>
            </a:ext>
          </a:extLst>
        </xdr:cNvPr>
        <xdr:cNvSpPr/>
      </xdr:nvSpPr>
      <xdr:spPr>
        <a:xfrm>
          <a:off x="14001751" y="1229179"/>
          <a:ext cx="721177" cy="594178"/>
        </a:xfrm>
        <a:prstGeom prst="rect">
          <a:avLst/>
        </a:prstGeom>
        <a:solidFill>
          <a:schemeClr val="accent1">
            <a:lumMod val="60000"/>
            <a:lumOff val="40000"/>
          </a:schemeClr>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solidFill>
              <a:schemeClr val="accent1">
                <a:lumMod val="60000"/>
                <a:lumOff val="40000"/>
              </a:schemeClr>
            </a:solidFill>
          </a:endParaRPr>
        </a:p>
      </xdr:txBody>
    </xdr:sp>
    <xdr:clientData/>
  </xdr:twoCellAnchor>
  <xdr:twoCellAnchor>
    <xdr:from>
      <xdr:col>8</xdr:col>
      <xdr:colOff>258535</xdr:colOff>
      <xdr:row>5</xdr:row>
      <xdr:rowOff>47627</xdr:rowOff>
    </xdr:from>
    <xdr:to>
      <xdr:col>8</xdr:col>
      <xdr:colOff>972910</xdr:colOff>
      <xdr:row>5</xdr:row>
      <xdr:rowOff>682627</xdr:rowOff>
    </xdr:to>
    <xdr:sp macro="" textlink="">
      <xdr:nvSpPr>
        <xdr:cNvPr id="9" name="ZoneTexte 8">
          <a:extLst>
            <a:ext uri="{FF2B5EF4-FFF2-40B4-BE49-F238E27FC236}">
              <a16:creationId xmlns:a16="http://schemas.microsoft.com/office/drawing/2014/main" id="{00000000-0008-0000-0100-000009000000}"/>
            </a:ext>
          </a:extLst>
        </xdr:cNvPr>
        <xdr:cNvSpPr txBox="1"/>
      </xdr:nvSpPr>
      <xdr:spPr>
        <a:xfrm>
          <a:off x="14028964" y="1181556"/>
          <a:ext cx="714375" cy="635000"/>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600">
              <a:solidFill>
                <a:schemeClr val="bg1"/>
              </a:solidFill>
            </a:rPr>
            <a:t>ERI</a:t>
          </a:r>
        </a:p>
      </xdr:txBody>
    </xdr:sp>
    <xdr:clientData/>
  </xdr:twoCellAnchor>
  <mc:AlternateContent xmlns:mc="http://schemas.openxmlformats.org/markup-compatibility/2006">
    <mc:Choice xmlns:a14="http://schemas.microsoft.com/office/drawing/2010/main" Requires="a14">
      <xdr:twoCellAnchor>
        <xdr:from>
          <xdr:col>1</xdr:col>
          <xdr:colOff>1143000</xdr:colOff>
          <xdr:row>57</xdr:row>
          <xdr:rowOff>495300</xdr:rowOff>
        </xdr:from>
        <xdr:to>
          <xdr:col>1</xdr:col>
          <xdr:colOff>2451100</xdr:colOff>
          <xdr:row>57</xdr:row>
          <xdr:rowOff>876300</xdr:rowOff>
        </xdr:to>
        <xdr:sp macro="" textlink="">
          <xdr:nvSpPr>
            <xdr:cNvPr id="87054" name="Button 14" hidden="1">
              <a:extLst>
                <a:ext uri="{63B3BB69-23CF-44E3-9099-C40C66FF867C}">
                  <a14:compatExt spid="_x0000_s87054"/>
                </a:ext>
                <a:ext uri="{FF2B5EF4-FFF2-40B4-BE49-F238E27FC236}">
                  <a16:creationId xmlns:a16="http://schemas.microsoft.com/office/drawing/2014/main" id="{00000000-0008-0000-0100-00000E5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Supprimer ligne</a:t>
              </a:r>
            </a:p>
          </xdr:txBody>
        </xdr:sp>
        <xdr:clientData fPrintsWithSheet="0"/>
      </xdr:twoCellAnchor>
    </mc:Choice>
    <mc:Fallback/>
  </mc:AlternateContent>
  <xdr:twoCellAnchor>
    <xdr:from>
      <xdr:col>0</xdr:col>
      <xdr:colOff>0</xdr:colOff>
      <xdr:row>60</xdr:row>
      <xdr:rowOff>20637</xdr:rowOff>
    </xdr:from>
    <xdr:to>
      <xdr:col>4</xdr:col>
      <xdr:colOff>1000124</xdr:colOff>
      <xdr:row>60</xdr:row>
      <xdr:rowOff>447901</xdr:rowOff>
    </xdr:to>
    <xdr:sp macro="" textlink="">
      <xdr:nvSpPr>
        <xdr:cNvPr id="10" name="Rectangle 9">
          <a:extLst>
            <a:ext uri="{FF2B5EF4-FFF2-40B4-BE49-F238E27FC236}">
              <a16:creationId xmlns:a16="http://schemas.microsoft.com/office/drawing/2014/main" id="{00000000-0008-0000-0100-00000A000000}"/>
            </a:ext>
          </a:extLst>
        </xdr:cNvPr>
        <xdr:cNvSpPr/>
      </xdr:nvSpPr>
      <xdr:spPr>
        <a:xfrm>
          <a:off x="0" y="28698825"/>
          <a:ext cx="9136062" cy="427264"/>
        </a:xfrm>
        <a:prstGeom prst="rect">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xdr:col>
      <xdr:colOff>15875</xdr:colOff>
      <xdr:row>60</xdr:row>
      <xdr:rowOff>23812</xdr:rowOff>
    </xdr:from>
    <xdr:to>
      <xdr:col>7</xdr:col>
      <xdr:colOff>1702102</xdr:colOff>
      <xdr:row>60</xdr:row>
      <xdr:rowOff>452437</xdr:rowOff>
    </xdr:to>
    <xdr:sp macro="" textlink="">
      <xdr:nvSpPr>
        <xdr:cNvPr id="13" name="Rectangle 12">
          <a:extLst>
            <a:ext uri="{FF2B5EF4-FFF2-40B4-BE49-F238E27FC236}">
              <a16:creationId xmlns:a16="http://schemas.microsoft.com/office/drawing/2014/main" id="{00000000-0008-0000-0100-00000D000000}"/>
            </a:ext>
          </a:extLst>
        </xdr:cNvPr>
        <xdr:cNvSpPr/>
      </xdr:nvSpPr>
      <xdr:spPr>
        <a:xfrm>
          <a:off x="10985500" y="28702000"/>
          <a:ext cx="2765727" cy="428625"/>
        </a:xfrm>
        <a:prstGeom prst="rect">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mc:AlternateContent xmlns:mc="http://schemas.openxmlformats.org/markup-compatibility/2006">
    <mc:Choice xmlns:a14="http://schemas.microsoft.com/office/drawing/2010/main" Requires="a14">
      <xdr:twoCellAnchor>
        <xdr:from>
          <xdr:col>1</xdr:col>
          <xdr:colOff>50800</xdr:colOff>
          <xdr:row>50</xdr:row>
          <xdr:rowOff>304800</xdr:rowOff>
        </xdr:from>
        <xdr:to>
          <xdr:col>1</xdr:col>
          <xdr:colOff>1035050</xdr:colOff>
          <xdr:row>50</xdr:row>
          <xdr:rowOff>844550</xdr:rowOff>
        </xdr:to>
        <xdr:sp macro="" textlink="">
          <xdr:nvSpPr>
            <xdr:cNvPr id="87055" name="Button 15" hidden="1">
              <a:extLst>
                <a:ext uri="{63B3BB69-23CF-44E3-9099-C40C66FF867C}">
                  <a14:compatExt spid="_x0000_s87055"/>
                </a:ext>
                <a:ext uri="{FF2B5EF4-FFF2-40B4-BE49-F238E27FC236}">
                  <a16:creationId xmlns:a16="http://schemas.microsoft.com/office/drawing/2014/main" id="{00000000-0008-0000-0100-00000F5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Ajouter ligne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1047750</xdr:colOff>
          <xdr:row>50</xdr:row>
          <xdr:rowOff>311150</xdr:rowOff>
        </xdr:from>
        <xdr:to>
          <xdr:col>1</xdr:col>
          <xdr:colOff>2133600</xdr:colOff>
          <xdr:row>50</xdr:row>
          <xdr:rowOff>844550</xdr:rowOff>
        </xdr:to>
        <xdr:sp macro="" textlink="">
          <xdr:nvSpPr>
            <xdr:cNvPr id="87056" name="Button 16" hidden="1">
              <a:extLst>
                <a:ext uri="{63B3BB69-23CF-44E3-9099-C40C66FF867C}">
                  <a14:compatExt spid="_x0000_s87056"/>
                </a:ext>
                <a:ext uri="{FF2B5EF4-FFF2-40B4-BE49-F238E27FC236}">
                  <a16:creationId xmlns:a16="http://schemas.microsoft.com/office/drawing/2014/main" id="{00000000-0008-0000-0100-0000105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Supprimer Ligne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2139950</xdr:colOff>
          <xdr:row>50</xdr:row>
          <xdr:rowOff>311150</xdr:rowOff>
        </xdr:from>
        <xdr:to>
          <xdr:col>1</xdr:col>
          <xdr:colOff>3181350</xdr:colOff>
          <xdr:row>50</xdr:row>
          <xdr:rowOff>844550</xdr:rowOff>
        </xdr:to>
        <xdr:sp macro="" textlink="">
          <xdr:nvSpPr>
            <xdr:cNvPr id="87057" name="Button 17" hidden="1">
              <a:extLst>
                <a:ext uri="{63B3BB69-23CF-44E3-9099-C40C66FF867C}">
                  <a14:compatExt spid="_x0000_s87057"/>
                </a:ext>
                <a:ext uri="{FF2B5EF4-FFF2-40B4-BE49-F238E27FC236}">
                  <a16:creationId xmlns:a16="http://schemas.microsoft.com/office/drawing/2014/main" id="{00000000-0008-0000-0100-0000115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Ligne Precise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2463800</xdr:colOff>
          <xdr:row>57</xdr:row>
          <xdr:rowOff>488950</xdr:rowOff>
        </xdr:from>
        <xdr:to>
          <xdr:col>1</xdr:col>
          <xdr:colOff>3511550</xdr:colOff>
          <xdr:row>57</xdr:row>
          <xdr:rowOff>857250</xdr:rowOff>
        </xdr:to>
        <xdr:sp macro="" textlink="">
          <xdr:nvSpPr>
            <xdr:cNvPr id="87058" name="Button 18" hidden="1">
              <a:extLst>
                <a:ext uri="{63B3BB69-23CF-44E3-9099-C40C66FF867C}">
                  <a14:compatExt spid="_x0000_s87058"/>
                </a:ext>
                <a:ext uri="{FF2B5EF4-FFF2-40B4-BE49-F238E27FC236}">
                  <a16:creationId xmlns:a16="http://schemas.microsoft.com/office/drawing/2014/main" id="{00000000-0008-0000-0100-0000125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Ligne precise</a:t>
              </a:r>
            </a:p>
          </xdr:txBody>
        </xdr:sp>
        <xdr:clientData fPrintsWithSheet="0"/>
      </xdr:twoCellAnchor>
    </mc:Choice>
    <mc:Fallback/>
  </mc:AlternateContent>
  <xdr:twoCellAnchor>
    <xdr:from>
      <xdr:col>0</xdr:col>
      <xdr:colOff>0</xdr:colOff>
      <xdr:row>37</xdr:row>
      <xdr:rowOff>11981</xdr:rowOff>
    </xdr:from>
    <xdr:to>
      <xdr:col>4</xdr:col>
      <xdr:colOff>995982</xdr:colOff>
      <xdr:row>37</xdr:row>
      <xdr:rowOff>385136</xdr:rowOff>
    </xdr:to>
    <xdr:sp macro="" textlink="">
      <xdr:nvSpPr>
        <xdr:cNvPr id="87040" name="Rectangle 87039">
          <a:extLst>
            <a:ext uri="{FF2B5EF4-FFF2-40B4-BE49-F238E27FC236}">
              <a16:creationId xmlns:a16="http://schemas.microsoft.com/office/drawing/2014/main" id="{00000000-0008-0000-0100-000000540100}"/>
            </a:ext>
          </a:extLst>
        </xdr:cNvPr>
        <xdr:cNvSpPr/>
      </xdr:nvSpPr>
      <xdr:spPr>
        <a:xfrm>
          <a:off x="0" y="17168962"/>
          <a:ext cx="10640793" cy="373155"/>
        </a:xfrm>
        <a:prstGeom prst="rect">
          <a:avLst/>
        </a:prstGeom>
        <a:solidFill>
          <a:schemeClr val="accent1">
            <a:lumMod val="60000"/>
            <a:lumOff val="40000"/>
          </a:schemeClr>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mc:AlternateContent xmlns:mc="http://schemas.openxmlformats.org/markup-compatibility/2006">
    <mc:Choice xmlns:a14="http://schemas.microsoft.com/office/drawing/2010/main" Requires="a14">
      <xdr:twoCellAnchor>
        <xdr:from>
          <xdr:col>1</xdr:col>
          <xdr:colOff>25400</xdr:colOff>
          <xdr:row>5</xdr:row>
          <xdr:rowOff>361950</xdr:rowOff>
        </xdr:from>
        <xdr:to>
          <xdr:col>1</xdr:col>
          <xdr:colOff>1054100</xdr:colOff>
          <xdr:row>5</xdr:row>
          <xdr:rowOff>723900</xdr:rowOff>
        </xdr:to>
        <xdr:sp macro="" textlink="">
          <xdr:nvSpPr>
            <xdr:cNvPr id="87063" name="Button 23" hidden="1">
              <a:extLst>
                <a:ext uri="{63B3BB69-23CF-44E3-9099-C40C66FF867C}">
                  <a14:compatExt spid="_x0000_s87063"/>
                </a:ext>
                <a:ext uri="{FF2B5EF4-FFF2-40B4-BE49-F238E27FC236}">
                  <a16:creationId xmlns:a16="http://schemas.microsoft.com/office/drawing/2014/main" id="{00000000-0008-0000-0100-0000175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Ajouter ligne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25400</xdr:colOff>
          <xdr:row>64</xdr:row>
          <xdr:rowOff>577850</xdr:rowOff>
        </xdr:from>
        <xdr:to>
          <xdr:col>1</xdr:col>
          <xdr:colOff>1162050</xdr:colOff>
          <xdr:row>64</xdr:row>
          <xdr:rowOff>996950</xdr:rowOff>
        </xdr:to>
        <xdr:sp macro="" textlink="">
          <xdr:nvSpPr>
            <xdr:cNvPr id="87066" name="Button 26" hidden="1">
              <a:extLst>
                <a:ext uri="{63B3BB69-23CF-44E3-9099-C40C66FF867C}">
                  <a14:compatExt spid="_x0000_s87066"/>
                </a:ext>
                <a:ext uri="{FF2B5EF4-FFF2-40B4-BE49-F238E27FC236}">
                  <a16:creationId xmlns:a16="http://schemas.microsoft.com/office/drawing/2014/main" id="{00000000-0008-0000-0100-00001A5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Ajouter lignes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1174750</xdr:colOff>
          <xdr:row>64</xdr:row>
          <xdr:rowOff>577850</xdr:rowOff>
        </xdr:from>
        <xdr:to>
          <xdr:col>1</xdr:col>
          <xdr:colOff>2774950</xdr:colOff>
          <xdr:row>64</xdr:row>
          <xdr:rowOff>984250</xdr:rowOff>
        </xdr:to>
        <xdr:sp macro="" textlink="">
          <xdr:nvSpPr>
            <xdr:cNvPr id="87067" name="Button 27" hidden="1">
              <a:extLst>
                <a:ext uri="{63B3BB69-23CF-44E3-9099-C40C66FF867C}">
                  <a14:compatExt spid="_x0000_s87067"/>
                </a:ext>
                <a:ext uri="{FF2B5EF4-FFF2-40B4-BE49-F238E27FC236}">
                  <a16:creationId xmlns:a16="http://schemas.microsoft.com/office/drawing/2014/main" id="{00000000-0008-0000-0100-00001B5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Supprimer ligne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2794000</xdr:colOff>
          <xdr:row>64</xdr:row>
          <xdr:rowOff>552450</xdr:rowOff>
        </xdr:from>
        <xdr:to>
          <xdr:col>2</xdr:col>
          <xdr:colOff>158750</xdr:colOff>
          <xdr:row>64</xdr:row>
          <xdr:rowOff>984250</xdr:rowOff>
        </xdr:to>
        <xdr:sp macro="" textlink="">
          <xdr:nvSpPr>
            <xdr:cNvPr id="87068" name="Button 28" hidden="1">
              <a:extLst>
                <a:ext uri="{63B3BB69-23CF-44E3-9099-C40C66FF867C}">
                  <a14:compatExt spid="_x0000_s87068"/>
                </a:ext>
                <a:ext uri="{FF2B5EF4-FFF2-40B4-BE49-F238E27FC236}">
                  <a16:creationId xmlns:a16="http://schemas.microsoft.com/office/drawing/2014/main" id="{00000000-0008-0000-0100-00001C5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Ligne Precise</a:t>
              </a:r>
            </a:p>
          </xdr:txBody>
        </xdr:sp>
        <xdr:clientData fPrintsWithSheet="0"/>
      </xdr:twoCellAnchor>
    </mc:Choice>
    <mc:Fallback/>
  </mc:AlternateContent>
  <xdr:twoCellAnchor>
    <xdr:from>
      <xdr:col>0</xdr:col>
      <xdr:colOff>0</xdr:colOff>
      <xdr:row>67</xdr:row>
      <xdr:rowOff>14118</xdr:rowOff>
    </xdr:from>
    <xdr:to>
      <xdr:col>4</xdr:col>
      <xdr:colOff>1009649</xdr:colOff>
      <xdr:row>68</xdr:row>
      <xdr:rowOff>7631</xdr:rowOff>
    </xdr:to>
    <xdr:sp macro="" textlink="">
      <xdr:nvSpPr>
        <xdr:cNvPr id="4" name="Rectangle 3">
          <a:extLst>
            <a:ext uri="{FF2B5EF4-FFF2-40B4-BE49-F238E27FC236}">
              <a16:creationId xmlns:a16="http://schemas.microsoft.com/office/drawing/2014/main" id="{00000000-0008-0000-0100-000004000000}"/>
            </a:ext>
          </a:extLst>
        </xdr:cNvPr>
        <xdr:cNvSpPr/>
      </xdr:nvSpPr>
      <xdr:spPr>
        <a:xfrm>
          <a:off x="0" y="32839649"/>
          <a:ext cx="10951368" cy="398326"/>
        </a:xfrm>
        <a:prstGeom prst="rect">
          <a:avLst/>
        </a:prstGeom>
        <a:solidFill>
          <a:srgbClr val="FFCCFF"/>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xdr:col>
      <xdr:colOff>1807309</xdr:colOff>
      <xdr:row>67</xdr:row>
      <xdr:rowOff>9769</xdr:rowOff>
    </xdr:from>
    <xdr:to>
      <xdr:col>11</xdr:col>
      <xdr:colOff>1367692</xdr:colOff>
      <xdr:row>67</xdr:row>
      <xdr:rowOff>398325</xdr:rowOff>
    </xdr:to>
    <xdr:sp macro="" textlink="">
      <xdr:nvSpPr>
        <xdr:cNvPr id="11" name="Rectangle 10">
          <a:extLst>
            <a:ext uri="{FF2B5EF4-FFF2-40B4-BE49-F238E27FC236}">
              <a16:creationId xmlns:a16="http://schemas.microsoft.com/office/drawing/2014/main" id="{00000000-0008-0000-0100-00000B000000}"/>
            </a:ext>
          </a:extLst>
        </xdr:cNvPr>
        <xdr:cNvSpPr/>
      </xdr:nvSpPr>
      <xdr:spPr>
        <a:xfrm>
          <a:off x="12436232" y="30978231"/>
          <a:ext cx="8010768" cy="388556"/>
        </a:xfrm>
        <a:prstGeom prst="rect">
          <a:avLst/>
        </a:prstGeom>
        <a:solidFill>
          <a:srgbClr val="FFCCFF"/>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mc:AlternateContent xmlns:mc="http://schemas.openxmlformats.org/markup-compatibility/2006">
    <mc:Choice xmlns:a14="http://schemas.microsoft.com/office/drawing/2010/main" Requires="a14">
      <xdr:twoCellAnchor>
        <xdr:from>
          <xdr:col>1</xdr:col>
          <xdr:colOff>57150</xdr:colOff>
          <xdr:row>38</xdr:row>
          <xdr:rowOff>533400</xdr:rowOff>
        </xdr:from>
        <xdr:to>
          <xdr:col>1</xdr:col>
          <xdr:colOff>1009650</xdr:colOff>
          <xdr:row>38</xdr:row>
          <xdr:rowOff>920750</xdr:rowOff>
        </xdr:to>
        <xdr:sp macro="" textlink="">
          <xdr:nvSpPr>
            <xdr:cNvPr id="87070" name="Button 30" hidden="1">
              <a:extLst>
                <a:ext uri="{63B3BB69-23CF-44E3-9099-C40C66FF867C}">
                  <a14:compatExt spid="_x0000_s87070"/>
                </a:ext>
                <a:ext uri="{FF2B5EF4-FFF2-40B4-BE49-F238E27FC236}">
                  <a16:creationId xmlns:a16="http://schemas.microsoft.com/office/drawing/2014/main" id="{00000000-0008-0000-0100-00001E5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Ajouter Ligne Fourniture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1035050</xdr:colOff>
          <xdr:row>38</xdr:row>
          <xdr:rowOff>533400</xdr:rowOff>
        </xdr:from>
        <xdr:to>
          <xdr:col>1</xdr:col>
          <xdr:colOff>1835150</xdr:colOff>
          <xdr:row>38</xdr:row>
          <xdr:rowOff>901700</xdr:rowOff>
        </xdr:to>
        <xdr:sp macro="" textlink="">
          <xdr:nvSpPr>
            <xdr:cNvPr id="87071" name="Button 31" hidden="1">
              <a:extLst>
                <a:ext uri="{63B3BB69-23CF-44E3-9099-C40C66FF867C}">
                  <a14:compatExt spid="_x0000_s87071"/>
                </a:ext>
                <a:ext uri="{FF2B5EF4-FFF2-40B4-BE49-F238E27FC236}">
                  <a16:creationId xmlns:a16="http://schemas.microsoft.com/office/drawing/2014/main" id="{00000000-0008-0000-0100-00001F5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Supprimer Ligne Founriture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1866900</xdr:colOff>
          <xdr:row>38</xdr:row>
          <xdr:rowOff>533400</xdr:rowOff>
        </xdr:from>
        <xdr:to>
          <xdr:col>2</xdr:col>
          <xdr:colOff>38100</xdr:colOff>
          <xdr:row>38</xdr:row>
          <xdr:rowOff>901700</xdr:rowOff>
        </xdr:to>
        <xdr:sp macro="" textlink="">
          <xdr:nvSpPr>
            <xdr:cNvPr id="87072" name="Button 32" hidden="1">
              <a:extLst>
                <a:ext uri="{63B3BB69-23CF-44E3-9099-C40C66FF867C}">
                  <a14:compatExt spid="_x0000_s87072"/>
                </a:ext>
                <a:ext uri="{FF2B5EF4-FFF2-40B4-BE49-F238E27FC236}">
                  <a16:creationId xmlns:a16="http://schemas.microsoft.com/office/drawing/2014/main" id="{00000000-0008-0000-0100-0000205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Ajouter Ligne Precise</a:t>
              </a:r>
            </a:p>
          </xdr:txBody>
        </xdr:sp>
        <xdr:clientData fPrintsWithSheet="0"/>
      </xdr:twoCellAnchor>
    </mc:Choice>
    <mc:Fallback/>
  </mc:AlternateContent>
  <xdr:twoCellAnchor>
    <xdr:from>
      <xdr:col>0</xdr:col>
      <xdr:colOff>0</xdr:colOff>
      <xdr:row>41</xdr:row>
      <xdr:rowOff>22679</xdr:rowOff>
    </xdr:from>
    <xdr:to>
      <xdr:col>4</xdr:col>
      <xdr:colOff>995982</xdr:colOff>
      <xdr:row>42</xdr:row>
      <xdr:rowOff>0</xdr:rowOff>
    </xdr:to>
    <xdr:sp macro="" textlink="">
      <xdr:nvSpPr>
        <xdr:cNvPr id="14" name="Rectangle 13">
          <a:extLst>
            <a:ext uri="{FF2B5EF4-FFF2-40B4-BE49-F238E27FC236}">
              <a16:creationId xmlns:a16="http://schemas.microsoft.com/office/drawing/2014/main" id="{00000000-0008-0000-0100-00000E000000}"/>
            </a:ext>
          </a:extLst>
        </xdr:cNvPr>
        <xdr:cNvSpPr/>
      </xdr:nvSpPr>
      <xdr:spPr>
        <a:xfrm>
          <a:off x="0" y="19273205"/>
          <a:ext cx="10629600" cy="395084"/>
        </a:xfrm>
        <a:prstGeom prst="rect">
          <a:avLst/>
        </a:prstGeom>
        <a:solidFill>
          <a:srgbClr val="5B9BD5">
            <a:lumMod val="60000"/>
            <a:lumOff val="40000"/>
          </a:srgbClr>
        </a:solidFill>
        <a:ln w="12700" cap="flat" cmpd="sng" algn="ctr">
          <a:solidFill>
            <a:srgbClr val="009999"/>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fr-FR"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6</xdr:col>
      <xdr:colOff>0</xdr:colOff>
      <xdr:row>41</xdr:row>
      <xdr:rowOff>0</xdr:rowOff>
    </xdr:from>
    <xdr:to>
      <xdr:col>16</xdr:col>
      <xdr:colOff>8467</xdr:colOff>
      <xdr:row>42</xdr:row>
      <xdr:rowOff>1</xdr:rowOff>
    </xdr:to>
    <xdr:sp macro="" textlink="">
      <xdr:nvSpPr>
        <xdr:cNvPr id="15" name="Rectangle 14">
          <a:extLst>
            <a:ext uri="{FF2B5EF4-FFF2-40B4-BE49-F238E27FC236}">
              <a16:creationId xmlns:a16="http://schemas.microsoft.com/office/drawing/2014/main" id="{00000000-0008-0000-0100-00000F000000}"/>
            </a:ext>
          </a:extLst>
        </xdr:cNvPr>
        <xdr:cNvSpPr/>
      </xdr:nvSpPr>
      <xdr:spPr>
        <a:xfrm>
          <a:off x="12474408" y="19250526"/>
          <a:ext cx="12984191" cy="417764"/>
        </a:xfrm>
        <a:prstGeom prst="rect">
          <a:avLst/>
        </a:prstGeom>
        <a:solidFill>
          <a:schemeClr val="accent1">
            <a:lumMod val="60000"/>
            <a:lumOff val="40000"/>
          </a:schemeClr>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mc:AlternateContent xmlns:mc="http://schemas.openxmlformats.org/markup-compatibility/2006">
    <mc:Choice xmlns:a14="http://schemas.microsoft.com/office/drawing/2010/main" Requires="a14">
      <xdr:twoCellAnchor>
        <xdr:from>
          <xdr:col>1</xdr:col>
          <xdr:colOff>25400</xdr:colOff>
          <xdr:row>10</xdr:row>
          <xdr:rowOff>361950</xdr:rowOff>
        </xdr:from>
        <xdr:to>
          <xdr:col>1</xdr:col>
          <xdr:colOff>1054100</xdr:colOff>
          <xdr:row>10</xdr:row>
          <xdr:rowOff>723900</xdr:rowOff>
        </xdr:to>
        <xdr:sp macro="" textlink="">
          <xdr:nvSpPr>
            <xdr:cNvPr id="87074" name="Button 34" hidden="1">
              <a:extLst>
                <a:ext uri="{63B3BB69-23CF-44E3-9099-C40C66FF867C}">
                  <a14:compatExt spid="_x0000_s87074"/>
                </a:ext>
                <a:ext uri="{FF2B5EF4-FFF2-40B4-BE49-F238E27FC236}">
                  <a16:creationId xmlns:a16="http://schemas.microsoft.com/office/drawing/2014/main" id="{00000000-0008-0000-0100-0000225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Ajouter ligne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1079500</xdr:colOff>
          <xdr:row>10</xdr:row>
          <xdr:rowOff>349250</xdr:rowOff>
        </xdr:from>
        <xdr:to>
          <xdr:col>1</xdr:col>
          <xdr:colOff>2165350</xdr:colOff>
          <xdr:row>10</xdr:row>
          <xdr:rowOff>736600</xdr:rowOff>
        </xdr:to>
        <xdr:sp macro="" textlink="">
          <xdr:nvSpPr>
            <xdr:cNvPr id="87075" name="Button 35" hidden="1">
              <a:extLst>
                <a:ext uri="{63B3BB69-23CF-44E3-9099-C40C66FF867C}">
                  <a14:compatExt spid="_x0000_s87075"/>
                </a:ext>
                <a:ext uri="{FF2B5EF4-FFF2-40B4-BE49-F238E27FC236}">
                  <a16:creationId xmlns:a16="http://schemas.microsoft.com/office/drawing/2014/main" id="{00000000-0008-0000-0100-0000235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Supprimer Lignes Prestations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2190750</xdr:colOff>
          <xdr:row>10</xdr:row>
          <xdr:rowOff>336550</xdr:rowOff>
        </xdr:from>
        <xdr:to>
          <xdr:col>1</xdr:col>
          <xdr:colOff>3930650</xdr:colOff>
          <xdr:row>10</xdr:row>
          <xdr:rowOff>736600</xdr:rowOff>
        </xdr:to>
        <xdr:sp macro="" textlink="">
          <xdr:nvSpPr>
            <xdr:cNvPr id="87076" name="Button 36" hidden="1">
              <a:extLst>
                <a:ext uri="{63B3BB69-23CF-44E3-9099-C40C66FF867C}">
                  <a14:compatExt spid="_x0000_s87076"/>
                </a:ext>
                <a:ext uri="{FF2B5EF4-FFF2-40B4-BE49-F238E27FC236}">
                  <a16:creationId xmlns:a16="http://schemas.microsoft.com/office/drawing/2014/main" id="{00000000-0008-0000-0100-0000245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Ajouter Ligne precise </a:t>
              </a:r>
            </a:p>
          </xdr:txBody>
        </xdr:sp>
        <xdr:clientData fPrintsWithSheet="0"/>
      </xdr:twoCellAnchor>
    </mc:Choice>
    <mc:Fallback/>
  </mc:AlternateContent>
  <xdr:twoCellAnchor>
    <xdr:from>
      <xdr:col>0</xdr:col>
      <xdr:colOff>0</xdr:colOff>
      <xdr:row>13</xdr:row>
      <xdr:rowOff>0</xdr:rowOff>
    </xdr:from>
    <xdr:to>
      <xdr:col>5</xdr:col>
      <xdr:colOff>0</xdr:colOff>
      <xdr:row>14</xdr:row>
      <xdr:rowOff>50144</xdr:rowOff>
    </xdr:to>
    <xdr:sp macro="" textlink="">
      <xdr:nvSpPr>
        <xdr:cNvPr id="16" name="Rectangle 15">
          <a:extLst>
            <a:ext uri="{FF2B5EF4-FFF2-40B4-BE49-F238E27FC236}">
              <a16:creationId xmlns:a16="http://schemas.microsoft.com/office/drawing/2014/main" id="{00000000-0008-0000-0100-000010000000}"/>
            </a:ext>
          </a:extLst>
        </xdr:cNvPr>
        <xdr:cNvSpPr/>
      </xdr:nvSpPr>
      <xdr:spPr>
        <a:xfrm>
          <a:off x="0" y="6306207"/>
          <a:ext cx="10937328" cy="652299"/>
        </a:xfrm>
        <a:prstGeom prst="rect">
          <a:avLst/>
        </a:prstGeom>
        <a:solidFill>
          <a:schemeClr val="accent1">
            <a:lumMod val="60000"/>
            <a:lumOff val="40000"/>
          </a:schemeClr>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xdr:col>
      <xdr:colOff>-1</xdr:colOff>
      <xdr:row>13</xdr:row>
      <xdr:rowOff>0</xdr:rowOff>
    </xdr:from>
    <xdr:to>
      <xdr:col>15</xdr:col>
      <xdr:colOff>1291896</xdr:colOff>
      <xdr:row>14</xdr:row>
      <xdr:rowOff>10948</xdr:rowOff>
    </xdr:to>
    <xdr:sp macro="" textlink="">
      <xdr:nvSpPr>
        <xdr:cNvPr id="18" name="Rectangle 17">
          <a:extLst>
            <a:ext uri="{FF2B5EF4-FFF2-40B4-BE49-F238E27FC236}">
              <a16:creationId xmlns:a16="http://schemas.microsoft.com/office/drawing/2014/main" id="{00000000-0008-0000-0100-000012000000}"/>
            </a:ext>
          </a:extLst>
        </xdr:cNvPr>
        <xdr:cNvSpPr/>
      </xdr:nvSpPr>
      <xdr:spPr>
        <a:xfrm>
          <a:off x="12765689" y="6306207"/>
          <a:ext cx="12973707" cy="613103"/>
        </a:xfrm>
        <a:prstGeom prst="rect">
          <a:avLst/>
        </a:prstGeom>
        <a:solidFill>
          <a:schemeClr val="accent1">
            <a:lumMod val="60000"/>
            <a:lumOff val="40000"/>
          </a:schemeClr>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0</xdr:colOff>
      <xdr:row>255</xdr:row>
      <xdr:rowOff>164059</xdr:rowOff>
    </xdr:from>
    <xdr:to>
      <xdr:col>3</xdr:col>
      <xdr:colOff>0</xdr:colOff>
      <xdr:row>255</xdr:row>
      <xdr:rowOff>164060</xdr:rowOff>
    </xdr:to>
    <xdr:cxnSp macro="">
      <xdr:nvCxnSpPr>
        <xdr:cNvPr id="2" name="Connecteur droit 1">
          <a:extLst>
            <a:ext uri="{FF2B5EF4-FFF2-40B4-BE49-F238E27FC236}">
              <a16:creationId xmlns:a16="http://schemas.microsoft.com/office/drawing/2014/main" id="{00000000-0008-0000-0500-000002000000}"/>
            </a:ext>
          </a:extLst>
        </xdr:cNvPr>
        <xdr:cNvCxnSpPr/>
      </xdr:nvCxnSpPr>
      <xdr:spPr>
        <a:xfrm flipV="1">
          <a:off x="2400300" y="46309509"/>
          <a:ext cx="0" cy="1"/>
        </a:xfrm>
        <a:prstGeom prst="line">
          <a:avLst/>
        </a:prstGeom>
        <a:ln>
          <a:prstDash val="sysDot"/>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9</xdr:row>
      <xdr:rowOff>12700</xdr:rowOff>
    </xdr:from>
    <xdr:to>
      <xdr:col>5</xdr:col>
      <xdr:colOff>0</xdr:colOff>
      <xdr:row>10</xdr:row>
      <xdr:rowOff>19051</xdr:rowOff>
    </xdr:to>
    <xdr:sp macro="" textlink="">
      <xdr:nvSpPr>
        <xdr:cNvPr id="2" name="Rectangle 1">
          <a:extLst>
            <a:ext uri="{FF2B5EF4-FFF2-40B4-BE49-F238E27FC236}">
              <a16:creationId xmlns:a16="http://schemas.microsoft.com/office/drawing/2014/main" id="{00000000-0008-0000-0D00-000002000000}"/>
            </a:ext>
          </a:extLst>
        </xdr:cNvPr>
        <xdr:cNvSpPr/>
      </xdr:nvSpPr>
      <xdr:spPr>
        <a:xfrm>
          <a:off x="0" y="3581400"/>
          <a:ext cx="10944225" cy="657226"/>
        </a:xfrm>
        <a:prstGeom prst="rect">
          <a:avLst/>
        </a:prstGeom>
        <a:solidFill>
          <a:schemeClr val="accent1">
            <a:lumMod val="60000"/>
            <a:lumOff val="40000"/>
          </a:schemeClr>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xdr:col>
      <xdr:colOff>12700</xdr:colOff>
      <xdr:row>9</xdr:row>
      <xdr:rowOff>15874</xdr:rowOff>
    </xdr:from>
    <xdr:to>
      <xdr:col>16</xdr:col>
      <xdr:colOff>14513</xdr:colOff>
      <xdr:row>10</xdr:row>
      <xdr:rowOff>0</xdr:rowOff>
    </xdr:to>
    <xdr:sp macro="" textlink="">
      <xdr:nvSpPr>
        <xdr:cNvPr id="3" name="Rectangle 2">
          <a:extLst>
            <a:ext uri="{FF2B5EF4-FFF2-40B4-BE49-F238E27FC236}">
              <a16:creationId xmlns:a16="http://schemas.microsoft.com/office/drawing/2014/main" id="{00000000-0008-0000-0D00-000003000000}"/>
            </a:ext>
          </a:extLst>
        </xdr:cNvPr>
        <xdr:cNvSpPr/>
      </xdr:nvSpPr>
      <xdr:spPr>
        <a:xfrm>
          <a:off x="12782550" y="3584574"/>
          <a:ext cx="12965338" cy="635001"/>
        </a:xfrm>
        <a:prstGeom prst="rect">
          <a:avLst/>
        </a:prstGeom>
        <a:solidFill>
          <a:schemeClr val="accent1">
            <a:lumMod val="60000"/>
            <a:lumOff val="40000"/>
          </a:schemeClr>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mc:AlternateContent xmlns:mc="http://schemas.openxmlformats.org/markup-compatibility/2006">
    <mc:Choice xmlns:a14="http://schemas.microsoft.com/office/drawing/2010/main" Requires="a14">
      <xdr:twoCellAnchor>
        <xdr:from>
          <xdr:col>1</xdr:col>
          <xdr:colOff>1079500</xdr:colOff>
          <xdr:row>5</xdr:row>
          <xdr:rowOff>349250</xdr:rowOff>
        </xdr:from>
        <xdr:to>
          <xdr:col>1</xdr:col>
          <xdr:colOff>2165350</xdr:colOff>
          <xdr:row>5</xdr:row>
          <xdr:rowOff>736600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0D00-0000016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Supprimer Lignes Prestations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2190750</xdr:colOff>
          <xdr:row>5</xdr:row>
          <xdr:rowOff>336550</xdr:rowOff>
        </xdr:from>
        <xdr:to>
          <xdr:col>1</xdr:col>
          <xdr:colOff>3930650</xdr:colOff>
          <xdr:row>5</xdr:row>
          <xdr:rowOff>736600</xdr:rowOff>
        </xdr:to>
        <xdr:sp macro="" textlink="">
          <xdr:nvSpPr>
            <xdr:cNvPr id="90114" name="Button 2" hidden="1">
              <a:extLst>
                <a:ext uri="{63B3BB69-23CF-44E3-9099-C40C66FF867C}">
                  <a14:compatExt spid="_x0000_s90114"/>
                </a:ext>
                <a:ext uri="{FF2B5EF4-FFF2-40B4-BE49-F238E27FC236}">
                  <a16:creationId xmlns:a16="http://schemas.microsoft.com/office/drawing/2014/main" id="{00000000-0008-0000-0D00-0000026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Ajouter Ligne precise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25400</xdr:colOff>
          <xdr:row>35</xdr:row>
          <xdr:rowOff>12700</xdr:rowOff>
        </xdr:from>
        <xdr:to>
          <xdr:col>1</xdr:col>
          <xdr:colOff>977900</xdr:colOff>
          <xdr:row>35</xdr:row>
          <xdr:rowOff>400050</xdr:rowOff>
        </xdr:to>
        <xdr:sp macro="" textlink="">
          <xdr:nvSpPr>
            <xdr:cNvPr id="90115" name="Button 3" hidden="1">
              <a:extLst>
                <a:ext uri="{63B3BB69-23CF-44E3-9099-C40C66FF867C}">
                  <a14:compatExt spid="_x0000_s90115"/>
                </a:ext>
                <a:ext uri="{FF2B5EF4-FFF2-40B4-BE49-F238E27FC236}">
                  <a16:creationId xmlns:a16="http://schemas.microsoft.com/office/drawing/2014/main" id="{00000000-0008-0000-0D00-0000036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Ajouter Ligne Fourniture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1022350</xdr:colOff>
          <xdr:row>35</xdr:row>
          <xdr:rowOff>12700</xdr:rowOff>
        </xdr:from>
        <xdr:to>
          <xdr:col>1</xdr:col>
          <xdr:colOff>1822450</xdr:colOff>
          <xdr:row>35</xdr:row>
          <xdr:rowOff>381000</xdr:rowOff>
        </xdr:to>
        <xdr:sp macro="" textlink="">
          <xdr:nvSpPr>
            <xdr:cNvPr id="90116" name="Button 4" hidden="1">
              <a:extLst>
                <a:ext uri="{63B3BB69-23CF-44E3-9099-C40C66FF867C}">
                  <a14:compatExt spid="_x0000_s90116"/>
                </a:ext>
                <a:ext uri="{FF2B5EF4-FFF2-40B4-BE49-F238E27FC236}">
                  <a16:creationId xmlns:a16="http://schemas.microsoft.com/office/drawing/2014/main" id="{00000000-0008-0000-0D00-0000046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Supprimer Ligne Founriture</a:t>
              </a:r>
            </a:p>
          </xdr:txBody>
        </xdr:sp>
        <xdr:clientData fPrintsWithSheet="0"/>
      </xdr:twoCellAnchor>
    </mc:Choice>
    <mc:Fallback/>
  </mc:AlternateContent>
  <xdr:twoCellAnchor>
    <xdr:from>
      <xdr:col>6</xdr:col>
      <xdr:colOff>3704</xdr:colOff>
      <xdr:row>37</xdr:row>
      <xdr:rowOff>13229</xdr:rowOff>
    </xdr:from>
    <xdr:to>
      <xdr:col>16</xdr:col>
      <xdr:colOff>12171</xdr:colOff>
      <xdr:row>37</xdr:row>
      <xdr:rowOff>396875</xdr:rowOff>
    </xdr:to>
    <xdr:sp macro="" textlink="">
      <xdr:nvSpPr>
        <xdr:cNvPr id="4" name="Rectangle 3">
          <a:extLst>
            <a:ext uri="{FF2B5EF4-FFF2-40B4-BE49-F238E27FC236}">
              <a16:creationId xmlns:a16="http://schemas.microsoft.com/office/drawing/2014/main" id="{00000000-0008-0000-0D00-000004000000}"/>
            </a:ext>
          </a:extLst>
        </xdr:cNvPr>
        <xdr:cNvSpPr/>
      </xdr:nvSpPr>
      <xdr:spPr>
        <a:xfrm>
          <a:off x="12779904" y="17888479"/>
          <a:ext cx="12965642" cy="386821"/>
        </a:xfrm>
        <a:prstGeom prst="rect">
          <a:avLst/>
        </a:prstGeom>
        <a:solidFill>
          <a:schemeClr val="accent1">
            <a:lumMod val="60000"/>
            <a:lumOff val="40000"/>
          </a:schemeClr>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mc:AlternateContent xmlns:mc="http://schemas.openxmlformats.org/markup-compatibility/2006">
    <mc:Choice xmlns:a14="http://schemas.microsoft.com/office/drawing/2010/main" Requires="a14">
      <xdr:twoCellAnchor>
        <xdr:from>
          <xdr:col>1</xdr:col>
          <xdr:colOff>1841500</xdr:colOff>
          <xdr:row>35</xdr:row>
          <xdr:rowOff>12700</xdr:rowOff>
        </xdr:from>
        <xdr:to>
          <xdr:col>2</xdr:col>
          <xdr:colOff>12700</xdr:colOff>
          <xdr:row>35</xdr:row>
          <xdr:rowOff>381000</xdr:rowOff>
        </xdr:to>
        <xdr:sp macro="" textlink="">
          <xdr:nvSpPr>
            <xdr:cNvPr id="90117" name="Button 5" hidden="1">
              <a:extLst>
                <a:ext uri="{63B3BB69-23CF-44E3-9099-C40C66FF867C}">
                  <a14:compatExt spid="_x0000_s90117"/>
                </a:ext>
                <a:ext uri="{FF2B5EF4-FFF2-40B4-BE49-F238E27FC236}">
                  <a16:creationId xmlns:a16="http://schemas.microsoft.com/office/drawing/2014/main" id="{00000000-0008-0000-0D00-0000056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Ajouter Ligne Precise</a:t>
              </a:r>
            </a:p>
          </xdr:txBody>
        </xdr:sp>
        <xdr:clientData fPrintsWithSheet="0"/>
      </xdr:twoCellAnchor>
    </mc:Choice>
    <mc:Fallback/>
  </mc:AlternateContent>
  <xdr:twoCellAnchor>
    <xdr:from>
      <xdr:col>0</xdr:col>
      <xdr:colOff>0</xdr:colOff>
      <xdr:row>53</xdr:row>
      <xdr:rowOff>12700</xdr:rowOff>
    </xdr:from>
    <xdr:to>
      <xdr:col>4</xdr:col>
      <xdr:colOff>0</xdr:colOff>
      <xdr:row>54</xdr:row>
      <xdr:rowOff>8164</xdr:rowOff>
    </xdr:to>
    <xdr:sp macro="" textlink="">
      <xdr:nvSpPr>
        <xdr:cNvPr id="5" name="Rectangle 4">
          <a:extLst>
            <a:ext uri="{FF2B5EF4-FFF2-40B4-BE49-F238E27FC236}">
              <a16:creationId xmlns:a16="http://schemas.microsoft.com/office/drawing/2014/main" id="{00000000-0008-0000-0D00-000005000000}"/>
            </a:ext>
          </a:extLst>
        </xdr:cNvPr>
        <xdr:cNvSpPr/>
      </xdr:nvSpPr>
      <xdr:spPr>
        <a:xfrm>
          <a:off x="0" y="26317575"/>
          <a:ext cx="9934575" cy="373289"/>
        </a:xfrm>
        <a:prstGeom prst="rect">
          <a:avLst/>
        </a:prstGeom>
        <a:solidFill>
          <a:schemeClr val="accent4">
            <a:lumMod val="40000"/>
            <a:lumOff val="60000"/>
          </a:schemeClr>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xdr:col>
      <xdr:colOff>7408</xdr:colOff>
      <xdr:row>53</xdr:row>
      <xdr:rowOff>11906</xdr:rowOff>
    </xdr:from>
    <xdr:to>
      <xdr:col>7</xdr:col>
      <xdr:colOff>2721</xdr:colOff>
      <xdr:row>54</xdr:row>
      <xdr:rowOff>0</xdr:rowOff>
    </xdr:to>
    <xdr:sp macro="" textlink="">
      <xdr:nvSpPr>
        <xdr:cNvPr id="6" name="Rectangle 5">
          <a:extLst>
            <a:ext uri="{FF2B5EF4-FFF2-40B4-BE49-F238E27FC236}">
              <a16:creationId xmlns:a16="http://schemas.microsoft.com/office/drawing/2014/main" id="{00000000-0008-0000-0D00-000006000000}"/>
            </a:ext>
          </a:extLst>
        </xdr:cNvPr>
        <xdr:cNvSpPr/>
      </xdr:nvSpPr>
      <xdr:spPr>
        <a:xfrm>
          <a:off x="10954808" y="26316781"/>
          <a:ext cx="2897263" cy="362744"/>
        </a:xfrm>
        <a:prstGeom prst="rect">
          <a:avLst/>
        </a:prstGeom>
        <a:solidFill>
          <a:schemeClr val="accent4">
            <a:lumMod val="40000"/>
            <a:lumOff val="60000"/>
          </a:schemeClr>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mc:AlternateContent xmlns:mc="http://schemas.openxmlformats.org/markup-compatibility/2006">
    <mc:Choice xmlns:a14="http://schemas.microsoft.com/office/drawing/2010/main" Requires="a14">
      <xdr:twoCellAnchor>
        <xdr:from>
          <xdr:col>0</xdr:col>
          <xdr:colOff>2184400</xdr:colOff>
          <xdr:row>57</xdr:row>
          <xdr:rowOff>488950</xdr:rowOff>
        </xdr:from>
        <xdr:to>
          <xdr:col>1</xdr:col>
          <xdr:colOff>1104900</xdr:colOff>
          <xdr:row>57</xdr:row>
          <xdr:rowOff>876300</xdr:rowOff>
        </xdr:to>
        <xdr:sp macro="" textlink="">
          <xdr:nvSpPr>
            <xdr:cNvPr id="90118" name="Button 6" hidden="1">
              <a:extLst>
                <a:ext uri="{63B3BB69-23CF-44E3-9099-C40C66FF867C}">
                  <a14:compatExt spid="_x0000_s90118"/>
                </a:ext>
                <a:ext uri="{FF2B5EF4-FFF2-40B4-BE49-F238E27FC236}">
                  <a16:creationId xmlns:a16="http://schemas.microsoft.com/office/drawing/2014/main" id="{00000000-0008-0000-0D00-0000066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Ajouter Ligne</a:t>
              </a:r>
            </a:p>
            <a:p>
              <a:pPr algn="ctr" rtl="0">
                <a:defRPr sz="1000"/>
              </a:pPr>
              <a:endParaRPr lang="fr-FR" sz="1100" b="0" i="0" u="none" strike="noStrike" baseline="0">
                <a:solidFill>
                  <a:srgbClr val="000000"/>
                </a:solidFill>
                <a:latin typeface="Calibri"/>
                <a:cs typeface="Calibri"/>
              </a:endParaRPr>
            </a:p>
          </xdr:txBody>
        </xdr:sp>
        <xdr:clientData fPrintsWithSheet="0"/>
      </xdr:twoCellAnchor>
    </mc:Choice>
    <mc:Fallback/>
  </mc:AlternateContent>
  <xdr:twoCellAnchor>
    <xdr:from>
      <xdr:col>8</xdr:col>
      <xdr:colOff>231322</xdr:colOff>
      <xdr:row>5</xdr:row>
      <xdr:rowOff>95250</xdr:rowOff>
    </xdr:from>
    <xdr:to>
      <xdr:col>8</xdr:col>
      <xdr:colOff>952499</xdr:colOff>
      <xdr:row>5</xdr:row>
      <xdr:rowOff>689428</xdr:rowOff>
    </xdr:to>
    <xdr:sp macro="" textlink="">
      <xdr:nvSpPr>
        <xdr:cNvPr id="7" name="Rectangle 6">
          <a:extLst>
            <a:ext uri="{FF2B5EF4-FFF2-40B4-BE49-F238E27FC236}">
              <a16:creationId xmlns:a16="http://schemas.microsoft.com/office/drawing/2014/main" id="{00000000-0008-0000-0D00-000007000000}"/>
            </a:ext>
          </a:extLst>
        </xdr:cNvPr>
        <xdr:cNvSpPr/>
      </xdr:nvSpPr>
      <xdr:spPr>
        <a:xfrm>
          <a:off x="15795172" y="1228725"/>
          <a:ext cx="721177" cy="597353"/>
        </a:xfrm>
        <a:prstGeom prst="rect">
          <a:avLst/>
        </a:prstGeom>
        <a:solidFill>
          <a:schemeClr val="accent1">
            <a:lumMod val="60000"/>
            <a:lumOff val="40000"/>
          </a:schemeClr>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solidFill>
              <a:schemeClr val="accent1">
                <a:lumMod val="60000"/>
                <a:lumOff val="40000"/>
              </a:schemeClr>
            </a:solidFill>
          </a:endParaRPr>
        </a:p>
      </xdr:txBody>
    </xdr:sp>
    <xdr:clientData/>
  </xdr:twoCellAnchor>
  <xdr:twoCellAnchor>
    <xdr:from>
      <xdr:col>8</xdr:col>
      <xdr:colOff>258535</xdr:colOff>
      <xdr:row>5</xdr:row>
      <xdr:rowOff>47627</xdr:rowOff>
    </xdr:from>
    <xdr:to>
      <xdr:col>8</xdr:col>
      <xdr:colOff>972910</xdr:colOff>
      <xdr:row>5</xdr:row>
      <xdr:rowOff>682627</xdr:rowOff>
    </xdr:to>
    <xdr:sp macro="" textlink="">
      <xdr:nvSpPr>
        <xdr:cNvPr id="8" name="ZoneTexte 7">
          <a:extLst>
            <a:ext uri="{FF2B5EF4-FFF2-40B4-BE49-F238E27FC236}">
              <a16:creationId xmlns:a16="http://schemas.microsoft.com/office/drawing/2014/main" id="{00000000-0008-0000-0D00-000008000000}"/>
            </a:ext>
          </a:extLst>
        </xdr:cNvPr>
        <xdr:cNvSpPr txBox="1"/>
      </xdr:nvSpPr>
      <xdr:spPr>
        <a:xfrm>
          <a:off x="15819210" y="1177927"/>
          <a:ext cx="717550" cy="638175"/>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600">
              <a:solidFill>
                <a:schemeClr val="bg1"/>
              </a:solidFill>
            </a:rPr>
            <a:t>ERI</a:t>
          </a:r>
        </a:p>
      </xdr:txBody>
    </xdr:sp>
    <xdr:clientData/>
  </xdr:twoCellAnchor>
  <mc:AlternateContent xmlns:mc="http://schemas.openxmlformats.org/markup-compatibility/2006">
    <mc:Choice xmlns:a14="http://schemas.microsoft.com/office/drawing/2010/main" Requires="a14">
      <xdr:twoCellAnchor>
        <xdr:from>
          <xdr:col>1</xdr:col>
          <xdr:colOff>1143000</xdr:colOff>
          <xdr:row>57</xdr:row>
          <xdr:rowOff>495300</xdr:rowOff>
        </xdr:from>
        <xdr:to>
          <xdr:col>1</xdr:col>
          <xdr:colOff>2451100</xdr:colOff>
          <xdr:row>57</xdr:row>
          <xdr:rowOff>876300</xdr:rowOff>
        </xdr:to>
        <xdr:sp macro="" textlink="">
          <xdr:nvSpPr>
            <xdr:cNvPr id="90119" name="Button 7" hidden="1">
              <a:extLst>
                <a:ext uri="{63B3BB69-23CF-44E3-9099-C40C66FF867C}">
                  <a14:compatExt spid="_x0000_s90119"/>
                </a:ext>
                <a:ext uri="{FF2B5EF4-FFF2-40B4-BE49-F238E27FC236}">
                  <a16:creationId xmlns:a16="http://schemas.microsoft.com/office/drawing/2014/main" id="{00000000-0008-0000-0D00-0000076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Supprimer ligne</a:t>
              </a:r>
            </a:p>
          </xdr:txBody>
        </xdr:sp>
        <xdr:clientData fPrintsWithSheet="0"/>
      </xdr:twoCellAnchor>
    </mc:Choice>
    <mc:Fallback/>
  </mc:AlternateContent>
  <xdr:twoCellAnchor>
    <xdr:from>
      <xdr:col>0</xdr:col>
      <xdr:colOff>0</xdr:colOff>
      <xdr:row>60</xdr:row>
      <xdr:rowOff>20637</xdr:rowOff>
    </xdr:from>
    <xdr:to>
      <xdr:col>4</xdr:col>
      <xdr:colOff>1000124</xdr:colOff>
      <xdr:row>60</xdr:row>
      <xdr:rowOff>447901</xdr:rowOff>
    </xdr:to>
    <xdr:sp macro="" textlink="">
      <xdr:nvSpPr>
        <xdr:cNvPr id="9" name="Rectangle 8">
          <a:extLst>
            <a:ext uri="{FF2B5EF4-FFF2-40B4-BE49-F238E27FC236}">
              <a16:creationId xmlns:a16="http://schemas.microsoft.com/office/drawing/2014/main" id="{00000000-0008-0000-0D00-000009000000}"/>
            </a:ext>
          </a:extLst>
        </xdr:cNvPr>
        <xdr:cNvSpPr/>
      </xdr:nvSpPr>
      <xdr:spPr>
        <a:xfrm>
          <a:off x="0" y="29719587"/>
          <a:ext cx="10937874" cy="328839"/>
        </a:xfrm>
        <a:prstGeom prst="rect">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xdr:col>
      <xdr:colOff>15875</xdr:colOff>
      <xdr:row>60</xdr:row>
      <xdr:rowOff>23812</xdr:rowOff>
    </xdr:from>
    <xdr:to>
      <xdr:col>7</xdr:col>
      <xdr:colOff>1702102</xdr:colOff>
      <xdr:row>60</xdr:row>
      <xdr:rowOff>452437</xdr:rowOff>
    </xdr:to>
    <xdr:sp macro="" textlink="">
      <xdr:nvSpPr>
        <xdr:cNvPr id="10" name="Rectangle 9">
          <a:extLst>
            <a:ext uri="{FF2B5EF4-FFF2-40B4-BE49-F238E27FC236}">
              <a16:creationId xmlns:a16="http://schemas.microsoft.com/office/drawing/2014/main" id="{00000000-0008-0000-0D00-00000A000000}"/>
            </a:ext>
          </a:extLst>
        </xdr:cNvPr>
        <xdr:cNvSpPr/>
      </xdr:nvSpPr>
      <xdr:spPr>
        <a:xfrm>
          <a:off x="12788900" y="29725937"/>
          <a:ext cx="2765727" cy="327025"/>
        </a:xfrm>
        <a:prstGeom prst="rect">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mc:AlternateContent xmlns:mc="http://schemas.openxmlformats.org/markup-compatibility/2006">
    <mc:Choice xmlns:a14="http://schemas.microsoft.com/office/drawing/2010/main" Requires="a14">
      <xdr:twoCellAnchor>
        <xdr:from>
          <xdr:col>1</xdr:col>
          <xdr:colOff>50800</xdr:colOff>
          <xdr:row>50</xdr:row>
          <xdr:rowOff>304800</xdr:rowOff>
        </xdr:from>
        <xdr:to>
          <xdr:col>1</xdr:col>
          <xdr:colOff>1035050</xdr:colOff>
          <xdr:row>50</xdr:row>
          <xdr:rowOff>844550</xdr:rowOff>
        </xdr:to>
        <xdr:sp macro="" textlink="">
          <xdr:nvSpPr>
            <xdr:cNvPr id="90120" name="Button 8" hidden="1">
              <a:extLst>
                <a:ext uri="{63B3BB69-23CF-44E3-9099-C40C66FF867C}">
                  <a14:compatExt spid="_x0000_s90120"/>
                </a:ext>
                <a:ext uri="{FF2B5EF4-FFF2-40B4-BE49-F238E27FC236}">
                  <a16:creationId xmlns:a16="http://schemas.microsoft.com/office/drawing/2014/main" id="{00000000-0008-0000-0D00-0000086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Ajouter ligne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1047750</xdr:colOff>
          <xdr:row>50</xdr:row>
          <xdr:rowOff>311150</xdr:rowOff>
        </xdr:from>
        <xdr:to>
          <xdr:col>1</xdr:col>
          <xdr:colOff>2133600</xdr:colOff>
          <xdr:row>50</xdr:row>
          <xdr:rowOff>844550</xdr:rowOff>
        </xdr:to>
        <xdr:sp macro="" textlink="">
          <xdr:nvSpPr>
            <xdr:cNvPr id="90121" name="Button 9" hidden="1">
              <a:extLst>
                <a:ext uri="{63B3BB69-23CF-44E3-9099-C40C66FF867C}">
                  <a14:compatExt spid="_x0000_s90121"/>
                </a:ext>
                <a:ext uri="{FF2B5EF4-FFF2-40B4-BE49-F238E27FC236}">
                  <a16:creationId xmlns:a16="http://schemas.microsoft.com/office/drawing/2014/main" id="{00000000-0008-0000-0D00-0000096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Supprimer Ligne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2139950</xdr:colOff>
          <xdr:row>50</xdr:row>
          <xdr:rowOff>311150</xdr:rowOff>
        </xdr:from>
        <xdr:to>
          <xdr:col>1</xdr:col>
          <xdr:colOff>3181350</xdr:colOff>
          <xdr:row>50</xdr:row>
          <xdr:rowOff>844550</xdr:rowOff>
        </xdr:to>
        <xdr:sp macro="" textlink="">
          <xdr:nvSpPr>
            <xdr:cNvPr id="90122" name="Button 10" hidden="1">
              <a:extLst>
                <a:ext uri="{63B3BB69-23CF-44E3-9099-C40C66FF867C}">
                  <a14:compatExt spid="_x0000_s90122"/>
                </a:ext>
                <a:ext uri="{FF2B5EF4-FFF2-40B4-BE49-F238E27FC236}">
                  <a16:creationId xmlns:a16="http://schemas.microsoft.com/office/drawing/2014/main" id="{00000000-0008-0000-0D00-00000A6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Ligne Precise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2463800</xdr:colOff>
          <xdr:row>57</xdr:row>
          <xdr:rowOff>488950</xdr:rowOff>
        </xdr:from>
        <xdr:to>
          <xdr:col>1</xdr:col>
          <xdr:colOff>3511550</xdr:colOff>
          <xdr:row>57</xdr:row>
          <xdr:rowOff>857250</xdr:rowOff>
        </xdr:to>
        <xdr:sp macro="" textlink="">
          <xdr:nvSpPr>
            <xdr:cNvPr id="90123" name="Button 11" hidden="1">
              <a:extLst>
                <a:ext uri="{63B3BB69-23CF-44E3-9099-C40C66FF867C}">
                  <a14:compatExt spid="_x0000_s90123"/>
                </a:ext>
                <a:ext uri="{FF2B5EF4-FFF2-40B4-BE49-F238E27FC236}">
                  <a16:creationId xmlns:a16="http://schemas.microsoft.com/office/drawing/2014/main" id="{00000000-0008-0000-0D00-00000B6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Ligne precise</a:t>
              </a:r>
            </a:p>
          </xdr:txBody>
        </xdr:sp>
        <xdr:clientData fPrintsWithSheet="0"/>
      </xdr:twoCellAnchor>
    </mc:Choice>
    <mc:Fallback/>
  </mc:AlternateContent>
  <xdr:twoCellAnchor>
    <xdr:from>
      <xdr:col>0</xdr:col>
      <xdr:colOff>0</xdr:colOff>
      <xdr:row>37</xdr:row>
      <xdr:rowOff>11981</xdr:rowOff>
    </xdr:from>
    <xdr:to>
      <xdr:col>4</xdr:col>
      <xdr:colOff>995982</xdr:colOff>
      <xdr:row>37</xdr:row>
      <xdr:rowOff>385136</xdr:rowOff>
    </xdr:to>
    <xdr:sp macro="" textlink="">
      <xdr:nvSpPr>
        <xdr:cNvPr id="11" name="Rectangle 10">
          <a:extLst>
            <a:ext uri="{FF2B5EF4-FFF2-40B4-BE49-F238E27FC236}">
              <a16:creationId xmlns:a16="http://schemas.microsoft.com/office/drawing/2014/main" id="{00000000-0008-0000-0D00-00000B000000}"/>
            </a:ext>
          </a:extLst>
        </xdr:cNvPr>
        <xdr:cNvSpPr/>
      </xdr:nvSpPr>
      <xdr:spPr>
        <a:xfrm>
          <a:off x="0" y="17887231"/>
          <a:ext cx="10933732" cy="379505"/>
        </a:xfrm>
        <a:prstGeom prst="rect">
          <a:avLst/>
        </a:prstGeom>
        <a:solidFill>
          <a:schemeClr val="accent1">
            <a:lumMod val="60000"/>
            <a:lumOff val="40000"/>
          </a:schemeClr>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mc:AlternateContent xmlns:mc="http://schemas.openxmlformats.org/markup-compatibility/2006">
    <mc:Choice xmlns:a14="http://schemas.microsoft.com/office/drawing/2010/main" Requires="a14">
      <xdr:twoCellAnchor>
        <xdr:from>
          <xdr:col>1</xdr:col>
          <xdr:colOff>25400</xdr:colOff>
          <xdr:row>5</xdr:row>
          <xdr:rowOff>361950</xdr:rowOff>
        </xdr:from>
        <xdr:to>
          <xdr:col>1</xdr:col>
          <xdr:colOff>1054100</xdr:colOff>
          <xdr:row>5</xdr:row>
          <xdr:rowOff>723900</xdr:rowOff>
        </xdr:to>
        <xdr:sp macro="" textlink="">
          <xdr:nvSpPr>
            <xdr:cNvPr id="90124" name="Button 12" hidden="1">
              <a:extLst>
                <a:ext uri="{63B3BB69-23CF-44E3-9099-C40C66FF867C}">
                  <a14:compatExt spid="_x0000_s90124"/>
                </a:ext>
                <a:ext uri="{FF2B5EF4-FFF2-40B4-BE49-F238E27FC236}">
                  <a16:creationId xmlns:a16="http://schemas.microsoft.com/office/drawing/2014/main" id="{00000000-0008-0000-0D00-00000C6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Ajouter ligne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25400</xdr:colOff>
          <xdr:row>64</xdr:row>
          <xdr:rowOff>577850</xdr:rowOff>
        </xdr:from>
        <xdr:to>
          <xdr:col>1</xdr:col>
          <xdr:colOff>1162050</xdr:colOff>
          <xdr:row>64</xdr:row>
          <xdr:rowOff>996950</xdr:rowOff>
        </xdr:to>
        <xdr:sp macro="" textlink="">
          <xdr:nvSpPr>
            <xdr:cNvPr id="90125" name="Button 13" hidden="1">
              <a:extLst>
                <a:ext uri="{63B3BB69-23CF-44E3-9099-C40C66FF867C}">
                  <a14:compatExt spid="_x0000_s90125"/>
                </a:ext>
                <a:ext uri="{FF2B5EF4-FFF2-40B4-BE49-F238E27FC236}">
                  <a16:creationId xmlns:a16="http://schemas.microsoft.com/office/drawing/2014/main" id="{00000000-0008-0000-0D00-00000D6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Ajouter lignes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1174750</xdr:colOff>
          <xdr:row>64</xdr:row>
          <xdr:rowOff>577850</xdr:rowOff>
        </xdr:from>
        <xdr:to>
          <xdr:col>1</xdr:col>
          <xdr:colOff>2774950</xdr:colOff>
          <xdr:row>64</xdr:row>
          <xdr:rowOff>984250</xdr:rowOff>
        </xdr:to>
        <xdr:sp macro="" textlink="">
          <xdr:nvSpPr>
            <xdr:cNvPr id="90126" name="Button 14" hidden="1">
              <a:extLst>
                <a:ext uri="{63B3BB69-23CF-44E3-9099-C40C66FF867C}">
                  <a14:compatExt spid="_x0000_s90126"/>
                </a:ext>
                <a:ext uri="{FF2B5EF4-FFF2-40B4-BE49-F238E27FC236}">
                  <a16:creationId xmlns:a16="http://schemas.microsoft.com/office/drawing/2014/main" id="{00000000-0008-0000-0D00-00000E6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Supprimer ligne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2794000</xdr:colOff>
          <xdr:row>64</xdr:row>
          <xdr:rowOff>552450</xdr:rowOff>
        </xdr:from>
        <xdr:to>
          <xdr:col>2</xdr:col>
          <xdr:colOff>158750</xdr:colOff>
          <xdr:row>64</xdr:row>
          <xdr:rowOff>984250</xdr:rowOff>
        </xdr:to>
        <xdr:sp macro="" textlink="">
          <xdr:nvSpPr>
            <xdr:cNvPr id="90127" name="Button 15" hidden="1">
              <a:extLst>
                <a:ext uri="{63B3BB69-23CF-44E3-9099-C40C66FF867C}">
                  <a14:compatExt spid="_x0000_s90127"/>
                </a:ext>
                <a:ext uri="{FF2B5EF4-FFF2-40B4-BE49-F238E27FC236}">
                  <a16:creationId xmlns:a16="http://schemas.microsoft.com/office/drawing/2014/main" id="{00000000-0008-0000-0D00-00000F6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Ligne Precise</a:t>
              </a:r>
            </a:p>
          </xdr:txBody>
        </xdr:sp>
        <xdr:clientData fPrintsWithSheet="0"/>
      </xdr:twoCellAnchor>
    </mc:Choice>
    <mc:Fallback/>
  </mc:AlternateContent>
  <xdr:twoCellAnchor>
    <xdr:from>
      <xdr:col>0</xdr:col>
      <xdr:colOff>0</xdr:colOff>
      <xdr:row>67</xdr:row>
      <xdr:rowOff>14118</xdr:rowOff>
    </xdr:from>
    <xdr:to>
      <xdr:col>4</xdr:col>
      <xdr:colOff>1009649</xdr:colOff>
      <xdr:row>68</xdr:row>
      <xdr:rowOff>7631</xdr:rowOff>
    </xdr:to>
    <xdr:sp macro="" textlink="">
      <xdr:nvSpPr>
        <xdr:cNvPr id="12" name="Rectangle 11">
          <a:extLst>
            <a:ext uri="{FF2B5EF4-FFF2-40B4-BE49-F238E27FC236}">
              <a16:creationId xmlns:a16="http://schemas.microsoft.com/office/drawing/2014/main" id="{00000000-0008-0000-0D00-00000C000000}"/>
            </a:ext>
          </a:extLst>
        </xdr:cNvPr>
        <xdr:cNvSpPr/>
      </xdr:nvSpPr>
      <xdr:spPr>
        <a:xfrm>
          <a:off x="0" y="32900768"/>
          <a:ext cx="10944224" cy="409438"/>
        </a:xfrm>
        <a:prstGeom prst="rect">
          <a:avLst/>
        </a:prstGeom>
        <a:solidFill>
          <a:srgbClr val="FFCCFF"/>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xdr:col>
      <xdr:colOff>1807309</xdr:colOff>
      <xdr:row>67</xdr:row>
      <xdr:rowOff>9769</xdr:rowOff>
    </xdr:from>
    <xdr:to>
      <xdr:col>11</xdr:col>
      <xdr:colOff>1367692</xdr:colOff>
      <xdr:row>67</xdr:row>
      <xdr:rowOff>398325</xdr:rowOff>
    </xdr:to>
    <xdr:sp macro="" textlink="">
      <xdr:nvSpPr>
        <xdr:cNvPr id="13" name="Rectangle 12">
          <a:extLst>
            <a:ext uri="{FF2B5EF4-FFF2-40B4-BE49-F238E27FC236}">
              <a16:creationId xmlns:a16="http://schemas.microsoft.com/office/drawing/2014/main" id="{00000000-0008-0000-0D00-00000D000000}"/>
            </a:ext>
          </a:extLst>
        </xdr:cNvPr>
        <xdr:cNvSpPr/>
      </xdr:nvSpPr>
      <xdr:spPr>
        <a:xfrm>
          <a:off x="12751534" y="32896419"/>
          <a:ext cx="7996358" cy="391731"/>
        </a:xfrm>
        <a:prstGeom prst="rect">
          <a:avLst/>
        </a:prstGeom>
        <a:solidFill>
          <a:srgbClr val="FFCCFF"/>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mc:AlternateContent xmlns:mc="http://schemas.openxmlformats.org/markup-compatibility/2006">
    <mc:Choice xmlns:a14="http://schemas.microsoft.com/office/drawing/2010/main" Requires="a14">
      <xdr:twoCellAnchor>
        <xdr:from>
          <xdr:col>1</xdr:col>
          <xdr:colOff>57150</xdr:colOff>
          <xdr:row>38</xdr:row>
          <xdr:rowOff>533400</xdr:rowOff>
        </xdr:from>
        <xdr:to>
          <xdr:col>1</xdr:col>
          <xdr:colOff>1009650</xdr:colOff>
          <xdr:row>38</xdr:row>
          <xdr:rowOff>920750</xdr:rowOff>
        </xdr:to>
        <xdr:sp macro="" textlink="">
          <xdr:nvSpPr>
            <xdr:cNvPr id="90128" name="Button 16" hidden="1">
              <a:extLst>
                <a:ext uri="{63B3BB69-23CF-44E3-9099-C40C66FF867C}">
                  <a14:compatExt spid="_x0000_s90128"/>
                </a:ext>
                <a:ext uri="{FF2B5EF4-FFF2-40B4-BE49-F238E27FC236}">
                  <a16:creationId xmlns:a16="http://schemas.microsoft.com/office/drawing/2014/main" id="{00000000-0008-0000-0D00-0000106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Ajouter Ligne Fourniture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1035050</xdr:colOff>
          <xdr:row>38</xdr:row>
          <xdr:rowOff>533400</xdr:rowOff>
        </xdr:from>
        <xdr:to>
          <xdr:col>1</xdr:col>
          <xdr:colOff>1835150</xdr:colOff>
          <xdr:row>38</xdr:row>
          <xdr:rowOff>901700</xdr:rowOff>
        </xdr:to>
        <xdr:sp macro="" textlink="">
          <xdr:nvSpPr>
            <xdr:cNvPr id="90129" name="Button 17" hidden="1">
              <a:extLst>
                <a:ext uri="{63B3BB69-23CF-44E3-9099-C40C66FF867C}">
                  <a14:compatExt spid="_x0000_s90129"/>
                </a:ext>
                <a:ext uri="{FF2B5EF4-FFF2-40B4-BE49-F238E27FC236}">
                  <a16:creationId xmlns:a16="http://schemas.microsoft.com/office/drawing/2014/main" id="{00000000-0008-0000-0D00-0000116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Supprimer Ligne Founriture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1866900</xdr:colOff>
          <xdr:row>38</xdr:row>
          <xdr:rowOff>533400</xdr:rowOff>
        </xdr:from>
        <xdr:to>
          <xdr:col>2</xdr:col>
          <xdr:colOff>38100</xdr:colOff>
          <xdr:row>38</xdr:row>
          <xdr:rowOff>901700</xdr:rowOff>
        </xdr:to>
        <xdr:sp macro="" textlink="">
          <xdr:nvSpPr>
            <xdr:cNvPr id="90130" name="Button 18" hidden="1">
              <a:extLst>
                <a:ext uri="{63B3BB69-23CF-44E3-9099-C40C66FF867C}">
                  <a14:compatExt spid="_x0000_s90130"/>
                </a:ext>
                <a:ext uri="{FF2B5EF4-FFF2-40B4-BE49-F238E27FC236}">
                  <a16:creationId xmlns:a16="http://schemas.microsoft.com/office/drawing/2014/main" id="{00000000-0008-0000-0D00-0000126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Ajouter Ligne Precise</a:t>
              </a:r>
            </a:p>
          </xdr:txBody>
        </xdr:sp>
        <xdr:clientData fPrintsWithSheet="0"/>
      </xdr:twoCellAnchor>
    </mc:Choice>
    <mc:Fallback/>
  </mc:AlternateContent>
  <xdr:twoCellAnchor>
    <xdr:from>
      <xdr:col>0</xdr:col>
      <xdr:colOff>0</xdr:colOff>
      <xdr:row>41</xdr:row>
      <xdr:rowOff>22679</xdr:rowOff>
    </xdr:from>
    <xdr:to>
      <xdr:col>4</xdr:col>
      <xdr:colOff>995982</xdr:colOff>
      <xdr:row>42</xdr:row>
      <xdr:rowOff>0</xdr:rowOff>
    </xdr:to>
    <xdr:sp macro="" textlink="">
      <xdr:nvSpPr>
        <xdr:cNvPr id="14" name="Rectangle 13">
          <a:extLst>
            <a:ext uri="{FF2B5EF4-FFF2-40B4-BE49-F238E27FC236}">
              <a16:creationId xmlns:a16="http://schemas.microsoft.com/office/drawing/2014/main" id="{00000000-0008-0000-0D00-00000E000000}"/>
            </a:ext>
          </a:extLst>
        </xdr:cNvPr>
        <xdr:cNvSpPr/>
      </xdr:nvSpPr>
      <xdr:spPr>
        <a:xfrm>
          <a:off x="0" y="20542704"/>
          <a:ext cx="10933732" cy="545646"/>
        </a:xfrm>
        <a:prstGeom prst="rect">
          <a:avLst/>
        </a:prstGeom>
        <a:solidFill>
          <a:srgbClr val="5B9BD5">
            <a:lumMod val="60000"/>
            <a:lumOff val="40000"/>
          </a:srgbClr>
        </a:solidFill>
        <a:ln w="12700" cap="flat" cmpd="sng" algn="ctr">
          <a:solidFill>
            <a:srgbClr val="009999"/>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fr-FR"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6</xdr:col>
      <xdr:colOff>0</xdr:colOff>
      <xdr:row>41</xdr:row>
      <xdr:rowOff>0</xdr:rowOff>
    </xdr:from>
    <xdr:to>
      <xdr:col>16</xdr:col>
      <xdr:colOff>8467</xdr:colOff>
      <xdr:row>42</xdr:row>
      <xdr:rowOff>1</xdr:rowOff>
    </xdr:to>
    <xdr:sp macro="" textlink="">
      <xdr:nvSpPr>
        <xdr:cNvPr id="15" name="Rectangle 14">
          <a:extLst>
            <a:ext uri="{FF2B5EF4-FFF2-40B4-BE49-F238E27FC236}">
              <a16:creationId xmlns:a16="http://schemas.microsoft.com/office/drawing/2014/main" id="{00000000-0008-0000-0D00-00000F000000}"/>
            </a:ext>
          </a:extLst>
        </xdr:cNvPr>
        <xdr:cNvSpPr/>
      </xdr:nvSpPr>
      <xdr:spPr>
        <a:xfrm>
          <a:off x="12773025" y="20516850"/>
          <a:ext cx="12975167" cy="571501"/>
        </a:xfrm>
        <a:prstGeom prst="rect">
          <a:avLst/>
        </a:prstGeom>
        <a:solidFill>
          <a:schemeClr val="accent1">
            <a:lumMod val="60000"/>
            <a:lumOff val="40000"/>
          </a:schemeClr>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mc:AlternateContent xmlns:mc="http://schemas.openxmlformats.org/markup-compatibility/2006">
    <mc:Choice xmlns:a14="http://schemas.microsoft.com/office/drawing/2010/main" Requires="a14">
      <xdr:twoCellAnchor>
        <xdr:from>
          <xdr:col>1</xdr:col>
          <xdr:colOff>25400</xdr:colOff>
          <xdr:row>10</xdr:row>
          <xdr:rowOff>361950</xdr:rowOff>
        </xdr:from>
        <xdr:to>
          <xdr:col>1</xdr:col>
          <xdr:colOff>1054100</xdr:colOff>
          <xdr:row>10</xdr:row>
          <xdr:rowOff>723900</xdr:rowOff>
        </xdr:to>
        <xdr:sp macro="" textlink="">
          <xdr:nvSpPr>
            <xdr:cNvPr id="90131" name="Button 19" hidden="1">
              <a:extLst>
                <a:ext uri="{63B3BB69-23CF-44E3-9099-C40C66FF867C}">
                  <a14:compatExt spid="_x0000_s90131"/>
                </a:ext>
                <a:ext uri="{FF2B5EF4-FFF2-40B4-BE49-F238E27FC236}">
                  <a16:creationId xmlns:a16="http://schemas.microsoft.com/office/drawing/2014/main" id="{00000000-0008-0000-0D00-0000136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Ajouter ligne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1079500</xdr:colOff>
          <xdr:row>10</xdr:row>
          <xdr:rowOff>349250</xdr:rowOff>
        </xdr:from>
        <xdr:to>
          <xdr:col>1</xdr:col>
          <xdr:colOff>2165350</xdr:colOff>
          <xdr:row>10</xdr:row>
          <xdr:rowOff>736600</xdr:rowOff>
        </xdr:to>
        <xdr:sp macro="" textlink="">
          <xdr:nvSpPr>
            <xdr:cNvPr id="90132" name="Button 20" hidden="1">
              <a:extLst>
                <a:ext uri="{63B3BB69-23CF-44E3-9099-C40C66FF867C}">
                  <a14:compatExt spid="_x0000_s90132"/>
                </a:ext>
                <a:ext uri="{FF2B5EF4-FFF2-40B4-BE49-F238E27FC236}">
                  <a16:creationId xmlns:a16="http://schemas.microsoft.com/office/drawing/2014/main" id="{00000000-0008-0000-0D00-0000146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Supprimer Lignes Prestations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2190750</xdr:colOff>
          <xdr:row>10</xdr:row>
          <xdr:rowOff>336550</xdr:rowOff>
        </xdr:from>
        <xdr:to>
          <xdr:col>1</xdr:col>
          <xdr:colOff>3930650</xdr:colOff>
          <xdr:row>10</xdr:row>
          <xdr:rowOff>736600</xdr:rowOff>
        </xdr:to>
        <xdr:sp macro="" textlink="">
          <xdr:nvSpPr>
            <xdr:cNvPr id="90133" name="Button 21" hidden="1">
              <a:extLst>
                <a:ext uri="{63B3BB69-23CF-44E3-9099-C40C66FF867C}">
                  <a14:compatExt spid="_x0000_s90133"/>
                </a:ext>
                <a:ext uri="{FF2B5EF4-FFF2-40B4-BE49-F238E27FC236}">
                  <a16:creationId xmlns:a16="http://schemas.microsoft.com/office/drawing/2014/main" id="{00000000-0008-0000-0D00-0000156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Ajouter Ligne precise </a:t>
              </a:r>
            </a:p>
          </xdr:txBody>
        </xdr:sp>
        <xdr:clientData fPrintsWithSheet="0"/>
      </xdr:twoCellAnchor>
    </mc:Choice>
    <mc:Fallback/>
  </mc:AlternateContent>
  <xdr:twoCellAnchor>
    <xdr:from>
      <xdr:col>0</xdr:col>
      <xdr:colOff>0</xdr:colOff>
      <xdr:row>13</xdr:row>
      <xdr:rowOff>0</xdr:rowOff>
    </xdr:from>
    <xdr:to>
      <xdr:col>5</xdr:col>
      <xdr:colOff>0</xdr:colOff>
      <xdr:row>14</xdr:row>
      <xdr:rowOff>50144</xdr:rowOff>
    </xdr:to>
    <xdr:sp macro="" textlink="">
      <xdr:nvSpPr>
        <xdr:cNvPr id="16" name="Rectangle 15">
          <a:extLst>
            <a:ext uri="{FF2B5EF4-FFF2-40B4-BE49-F238E27FC236}">
              <a16:creationId xmlns:a16="http://schemas.microsoft.com/office/drawing/2014/main" id="{00000000-0008-0000-0D00-000010000000}"/>
            </a:ext>
          </a:extLst>
        </xdr:cNvPr>
        <xdr:cNvSpPr/>
      </xdr:nvSpPr>
      <xdr:spPr>
        <a:xfrm>
          <a:off x="0" y="6315075"/>
          <a:ext cx="10944225" cy="647044"/>
        </a:xfrm>
        <a:prstGeom prst="rect">
          <a:avLst/>
        </a:prstGeom>
        <a:solidFill>
          <a:schemeClr val="accent1">
            <a:lumMod val="60000"/>
            <a:lumOff val="40000"/>
          </a:schemeClr>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xdr:col>
      <xdr:colOff>-1</xdr:colOff>
      <xdr:row>13</xdr:row>
      <xdr:rowOff>0</xdr:rowOff>
    </xdr:from>
    <xdr:to>
      <xdr:col>15</xdr:col>
      <xdr:colOff>1291896</xdr:colOff>
      <xdr:row>14</xdr:row>
      <xdr:rowOff>10948</xdr:rowOff>
    </xdr:to>
    <xdr:sp macro="" textlink="">
      <xdr:nvSpPr>
        <xdr:cNvPr id="17" name="Rectangle 16">
          <a:extLst>
            <a:ext uri="{FF2B5EF4-FFF2-40B4-BE49-F238E27FC236}">
              <a16:creationId xmlns:a16="http://schemas.microsoft.com/office/drawing/2014/main" id="{00000000-0008-0000-0D00-000011000000}"/>
            </a:ext>
          </a:extLst>
        </xdr:cNvPr>
        <xdr:cNvSpPr/>
      </xdr:nvSpPr>
      <xdr:spPr>
        <a:xfrm>
          <a:off x="12773024" y="6315075"/>
          <a:ext cx="12947322" cy="607848"/>
        </a:xfrm>
        <a:prstGeom prst="rect">
          <a:avLst/>
        </a:prstGeom>
        <a:solidFill>
          <a:schemeClr val="accent1">
            <a:lumMod val="60000"/>
            <a:lumOff val="40000"/>
          </a:schemeClr>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9</xdr:row>
      <xdr:rowOff>12700</xdr:rowOff>
    </xdr:from>
    <xdr:to>
      <xdr:col>5</xdr:col>
      <xdr:colOff>0</xdr:colOff>
      <xdr:row>10</xdr:row>
      <xdr:rowOff>19051</xdr:rowOff>
    </xdr:to>
    <xdr:sp macro="" textlink="">
      <xdr:nvSpPr>
        <xdr:cNvPr id="2" name="Rectangle 1">
          <a:extLst>
            <a:ext uri="{FF2B5EF4-FFF2-40B4-BE49-F238E27FC236}">
              <a16:creationId xmlns:a16="http://schemas.microsoft.com/office/drawing/2014/main" id="{00000000-0008-0000-0E00-000002000000}"/>
            </a:ext>
          </a:extLst>
        </xdr:cNvPr>
        <xdr:cNvSpPr/>
      </xdr:nvSpPr>
      <xdr:spPr>
        <a:xfrm>
          <a:off x="0" y="3581400"/>
          <a:ext cx="10944225" cy="657226"/>
        </a:xfrm>
        <a:prstGeom prst="rect">
          <a:avLst/>
        </a:prstGeom>
        <a:solidFill>
          <a:schemeClr val="accent1">
            <a:lumMod val="60000"/>
            <a:lumOff val="40000"/>
          </a:schemeClr>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xdr:col>
      <xdr:colOff>12700</xdr:colOff>
      <xdr:row>9</xdr:row>
      <xdr:rowOff>15874</xdr:rowOff>
    </xdr:from>
    <xdr:to>
      <xdr:col>16</xdr:col>
      <xdr:colOff>14513</xdr:colOff>
      <xdr:row>10</xdr:row>
      <xdr:rowOff>0</xdr:rowOff>
    </xdr:to>
    <xdr:sp macro="" textlink="">
      <xdr:nvSpPr>
        <xdr:cNvPr id="3" name="Rectangle 2">
          <a:extLst>
            <a:ext uri="{FF2B5EF4-FFF2-40B4-BE49-F238E27FC236}">
              <a16:creationId xmlns:a16="http://schemas.microsoft.com/office/drawing/2014/main" id="{00000000-0008-0000-0E00-000003000000}"/>
            </a:ext>
          </a:extLst>
        </xdr:cNvPr>
        <xdr:cNvSpPr/>
      </xdr:nvSpPr>
      <xdr:spPr>
        <a:xfrm>
          <a:off x="12782550" y="3584574"/>
          <a:ext cx="12965338" cy="635001"/>
        </a:xfrm>
        <a:prstGeom prst="rect">
          <a:avLst/>
        </a:prstGeom>
        <a:solidFill>
          <a:schemeClr val="accent1">
            <a:lumMod val="60000"/>
            <a:lumOff val="40000"/>
          </a:schemeClr>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mc:AlternateContent xmlns:mc="http://schemas.openxmlformats.org/markup-compatibility/2006">
    <mc:Choice xmlns:a14="http://schemas.microsoft.com/office/drawing/2010/main" Requires="a14">
      <xdr:twoCellAnchor>
        <xdr:from>
          <xdr:col>1</xdr:col>
          <xdr:colOff>1079500</xdr:colOff>
          <xdr:row>5</xdr:row>
          <xdr:rowOff>349250</xdr:rowOff>
        </xdr:from>
        <xdr:to>
          <xdr:col>1</xdr:col>
          <xdr:colOff>2165350</xdr:colOff>
          <xdr:row>5</xdr:row>
          <xdr:rowOff>736600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0E00-0000016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Supprimer Lignes Prestations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2190750</xdr:colOff>
          <xdr:row>5</xdr:row>
          <xdr:rowOff>336550</xdr:rowOff>
        </xdr:from>
        <xdr:to>
          <xdr:col>1</xdr:col>
          <xdr:colOff>3930650</xdr:colOff>
          <xdr:row>5</xdr:row>
          <xdr:rowOff>736600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0E00-0000026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Ajouter Ligne precise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25400</xdr:colOff>
          <xdr:row>35</xdr:row>
          <xdr:rowOff>12700</xdr:rowOff>
        </xdr:from>
        <xdr:to>
          <xdr:col>1</xdr:col>
          <xdr:colOff>977900</xdr:colOff>
          <xdr:row>35</xdr:row>
          <xdr:rowOff>400050</xdr:rowOff>
        </xdr:to>
        <xdr:sp macro="" textlink="">
          <xdr:nvSpPr>
            <xdr:cNvPr id="91139" name="Button 3" hidden="1">
              <a:extLst>
                <a:ext uri="{63B3BB69-23CF-44E3-9099-C40C66FF867C}">
                  <a14:compatExt spid="_x0000_s91139"/>
                </a:ext>
                <a:ext uri="{FF2B5EF4-FFF2-40B4-BE49-F238E27FC236}">
                  <a16:creationId xmlns:a16="http://schemas.microsoft.com/office/drawing/2014/main" id="{00000000-0008-0000-0E00-0000036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Ajouter Ligne Fourniture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1022350</xdr:colOff>
          <xdr:row>35</xdr:row>
          <xdr:rowOff>12700</xdr:rowOff>
        </xdr:from>
        <xdr:to>
          <xdr:col>1</xdr:col>
          <xdr:colOff>1822450</xdr:colOff>
          <xdr:row>35</xdr:row>
          <xdr:rowOff>381000</xdr:rowOff>
        </xdr:to>
        <xdr:sp macro="" textlink="">
          <xdr:nvSpPr>
            <xdr:cNvPr id="91140" name="Button 4" hidden="1">
              <a:extLst>
                <a:ext uri="{63B3BB69-23CF-44E3-9099-C40C66FF867C}">
                  <a14:compatExt spid="_x0000_s91140"/>
                </a:ext>
                <a:ext uri="{FF2B5EF4-FFF2-40B4-BE49-F238E27FC236}">
                  <a16:creationId xmlns:a16="http://schemas.microsoft.com/office/drawing/2014/main" id="{00000000-0008-0000-0E00-0000046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Supprimer Ligne Founriture</a:t>
              </a:r>
            </a:p>
          </xdr:txBody>
        </xdr:sp>
        <xdr:clientData fPrintsWithSheet="0"/>
      </xdr:twoCellAnchor>
    </mc:Choice>
    <mc:Fallback/>
  </mc:AlternateContent>
  <xdr:twoCellAnchor>
    <xdr:from>
      <xdr:col>6</xdr:col>
      <xdr:colOff>3704</xdr:colOff>
      <xdr:row>37</xdr:row>
      <xdr:rowOff>13229</xdr:rowOff>
    </xdr:from>
    <xdr:to>
      <xdr:col>16</xdr:col>
      <xdr:colOff>12171</xdr:colOff>
      <xdr:row>37</xdr:row>
      <xdr:rowOff>396875</xdr:rowOff>
    </xdr:to>
    <xdr:sp macro="" textlink="">
      <xdr:nvSpPr>
        <xdr:cNvPr id="4" name="Rectangle 3">
          <a:extLst>
            <a:ext uri="{FF2B5EF4-FFF2-40B4-BE49-F238E27FC236}">
              <a16:creationId xmlns:a16="http://schemas.microsoft.com/office/drawing/2014/main" id="{00000000-0008-0000-0E00-000004000000}"/>
            </a:ext>
          </a:extLst>
        </xdr:cNvPr>
        <xdr:cNvSpPr/>
      </xdr:nvSpPr>
      <xdr:spPr>
        <a:xfrm>
          <a:off x="12779904" y="17888479"/>
          <a:ext cx="12965642" cy="386821"/>
        </a:xfrm>
        <a:prstGeom prst="rect">
          <a:avLst/>
        </a:prstGeom>
        <a:solidFill>
          <a:schemeClr val="accent1">
            <a:lumMod val="60000"/>
            <a:lumOff val="40000"/>
          </a:schemeClr>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mc:AlternateContent xmlns:mc="http://schemas.openxmlformats.org/markup-compatibility/2006">
    <mc:Choice xmlns:a14="http://schemas.microsoft.com/office/drawing/2010/main" Requires="a14">
      <xdr:twoCellAnchor>
        <xdr:from>
          <xdr:col>1</xdr:col>
          <xdr:colOff>1841500</xdr:colOff>
          <xdr:row>35</xdr:row>
          <xdr:rowOff>12700</xdr:rowOff>
        </xdr:from>
        <xdr:to>
          <xdr:col>2</xdr:col>
          <xdr:colOff>12700</xdr:colOff>
          <xdr:row>35</xdr:row>
          <xdr:rowOff>381000</xdr:rowOff>
        </xdr:to>
        <xdr:sp macro="" textlink="">
          <xdr:nvSpPr>
            <xdr:cNvPr id="91141" name="Button 5" hidden="1">
              <a:extLst>
                <a:ext uri="{63B3BB69-23CF-44E3-9099-C40C66FF867C}">
                  <a14:compatExt spid="_x0000_s91141"/>
                </a:ext>
                <a:ext uri="{FF2B5EF4-FFF2-40B4-BE49-F238E27FC236}">
                  <a16:creationId xmlns:a16="http://schemas.microsoft.com/office/drawing/2014/main" id="{00000000-0008-0000-0E00-0000056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Ajouter Ligne Precise</a:t>
              </a:r>
            </a:p>
          </xdr:txBody>
        </xdr:sp>
        <xdr:clientData fPrintsWithSheet="0"/>
      </xdr:twoCellAnchor>
    </mc:Choice>
    <mc:Fallback/>
  </mc:AlternateContent>
  <xdr:twoCellAnchor>
    <xdr:from>
      <xdr:col>0</xdr:col>
      <xdr:colOff>0</xdr:colOff>
      <xdr:row>53</xdr:row>
      <xdr:rowOff>12700</xdr:rowOff>
    </xdr:from>
    <xdr:to>
      <xdr:col>4</xdr:col>
      <xdr:colOff>0</xdr:colOff>
      <xdr:row>54</xdr:row>
      <xdr:rowOff>8164</xdr:rowOff>
    </xdr:to>
    <xdr:sp macro="" textlink="">
      <xdr:nvSpPr>
        <xdr:cNvPr id="5" name="Rectangle 4">
          <a:extLst>
            <a:ext uri="{FF2B5EF4-FFF2-40B4-BE49-F238E27FC236}">
              <a16:creationId xmlns:a16="http://schemas.microsoft.com/office/drawing/2014/main" id="{00000000-0008-0000-0E00-000005000000}"/>
            </a:ext>
          </a:extLst>
        </xdr:cNvPr>
        <xdr:cNvSpPr/>
      </xdr:nvSpPr>
      <xdr:spPr>
        <a:xfrm>
          <a:off x="0" y="26317575"/>
          <a:ext cx="9934575" cy="373289"/>
        </a:xfrm>
        <a:prstGeom prst="rect">
          <a:avLst/>
        </a:prstGeom>
        <a:solidFill>
          <a:schemeClr val="accent4">
            <a:lumMod val="40000"/>
            <a:lumOff val="60000"/>
          </a:schemeClr>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xdr:col>
      <xdr:colOff>7408</xdr:colOff>
      <xdr:row>53</xdr:row>
      <xdr:rowOff>11906</xdr:rowOff>
    </xdr:from>
    <xdr:to>
      <xdr:col>7</xdr:col>
      <xdr:colOff>2721</xdr:colOff>
      <xdr:row>54</xdr:row>
      <xdr:rowOff>0</xdr:rowOff>
    </xdr:to>
    <xdr:sp macro="" textlink="">
      <xdr:nvSpPr>
        <xdr:cNvPr id="6" name="Rectangle 5">
          <a:extLst>
            <a:ext uri="{FF2B5EF4-FFF2-40B4-BE49-F238E27FC236}">
              <a16:creationId xmlns:a16="http://schemas.microsoft.com/office/drawing/2014/main" id="{00000000-0008-0000-0E00-000006000000}"/>
            </a:ext>
          </a:extLst>
        </xdr:cNvPr>
        <xdr:cNvSpPr/>
      </xdr:nvSpPr>
      <xdr:spPr>
        <a:xfrm>
          <a:off x="10954808" y="26316781"/>
          <a:ext cx="2897263" cy="362744"/>
        </a:xfrm>
        <a:prstGeom prst="rect">
          <a:avLst/>
        </a:prstGeom>
        <a:solidFill>
          <a:schemeClr val="accent4">
            <a:lumMod val="40000"/>
            <a:lumOff val="60000"/>
          </a:schemeClr>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mc:AlternateContent xmlns:mc="http://schemas.openxmlformats.org/markup-compatibility/2006">
    <mc:Choice xmlns:a14="http://schemas.microsoft.com/office/drawing/2010/main" Requires="a14">
      <xdr:twoCellAnchor>
        <xdr:from>
          <xdr:col>0</xdr:col>
          <xdr:colOff>2184400</xdr:colOff>
          <xdr:row>57</xdr:row>
          <xdr:rowOff>488950</xdr:rowOff>
        </xdr:from>
        <xdr:to>
          <xdr:col>1</xdr:col>
          <xdr:colOff>1104900</xdr:colOff>
          <xdr:row>57</xdr:row>
          <xdr:rowOff>876300</xdr:rowOff>
        </xdr:to>
        <xdr:sp macro="" textlink="">
          <xdr:nvSpPr>
            <xdr:cNvPr id="91142" name="Button 6" hidden="1">
              <a:extLst>
                <a:ext uri="{63B3BB69-23CF-44E3-9099-C40C66FF867C}">
                  <a14:compatExt spid="_x0000_s91142"/>
                </a:ext>
                <a:ext uri="{FF2B5EF4-FFF2-40B4-BE49-F238E27FC236}">
                  <a16:creationId xmlns:a16="http://schemas.microsoft.com/office/drawing/2014/main" id="{00000000-0008-0000-0E00-0000066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Ajouter Ligne</a:t>
              </a:r>
            </a:p>
            <a:p>
              <a:pPr algn="ctr" rtl="0">
                <a:defRPr sz="1000"/>
              </a:pPr>
              <a:endParaRPr lang="fr-FR" sz="1100" b="0" i="0" u="none" strike="noStrike" baseline="0">
                <a:solidFill>
                  <a:srgbClr val="000000"/>
                </a:solidFill>
                <a:latin typeface="Calibri"/>
                <a:cs typeface="Calibri"/>
              </a:endParaRPr>
            </a:p>
          </xdr:txBody>
        </xdr:sp>
        <xdr:clientData fPrintsWithSheet="0"/>
      </xdr:twoCellAnchor>
    </mc:Choice>
    <mc:Fallback/>
  </mc:AlternateContent>
  <xdr:twoCellAnchor>
    <xdr:from>
      <xdr:col>8</xdr:col>
      <xdr:colOff>231322</xdr:colOff>
      <xdr:row>5</xdr:row>
      <xdr:rowOff>95250</xdr:rowOff>
    </xdr:from>
    <xdr:to>
      <xdr:col>8</xdr:col>
      <xdr:colOff>952499</xdr:colOff>
      <xdr:row>5</xdr:row>
      <xdr:rowOff>689428</xdr:rowOff>
    </xdr:to>
    <xdr:sp macro="" textlink="">
      <xdr:nvSpPr>
        <xdr:cNvPr id="7" name="Rectangle 6">
          <a:extLst>
            <a:ext uri="{FF2B5EF4-FFF2-40B4-BE49-F238E27FC236}">
              <a16:creationId xmlns:a16="http://schemas.microsoft.com/office/drawing/2014/main" id="{00000000-0008-0000-0E00-000007000000}"/>
            </a:ext>
          </a:extLst>
        </xdr:cNvPr>
        <xdr:cNvSpPr/>
      </xdr:nvSpPr>
      <xdr:spPr>
        <a:xfrm>
          <a:off x="15795172" y="1228725"/>
          <a:ext cx="721177" cy="597353"/>
        </a:xfrm>
        <a:prstGeom prst="rect">
          <a:avLst/>
        </a:prstGeom>
        <a:solidFill>
          <a:schemeClr val="accent1">
            <a:lumMod val="60000"/>
            <a:lumOff val="40000"/>
          </a:schemeClr>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solidFill>
              <a:schemeClr val="accent1">
                <a:lumMod val="60000"/>
                <a:lumOff val="40000"/>
              </a:schemeClr>
            </a:solidFill>
          </a:endParaRPr>
        </a:p>
      </xdr:txBody>
    </xdr:sp>
    <xdr:clientData/>
  </xdr:twoCellAnchor>
  <xdr:twoCellAnchor>
    <xdr:from>
      <xdr:col>8</xdr:col>
      <xdr:colOff>258535</xdr:colOff>
      <xdr:row>5</xdr:row>
      <xdr:rowOff>47627</xdr:rowOff>
    </xdr:from>
    <xdr:to>
      <xdr:col>8</xdr:col>
      <xdr:colOff>972910</xdr:colOff>
      <xdr:row>5</xdr:row>
      <xdr:rowOff>682627</xdr:rowOff>
    </xdr:to>
    <xdr:sp macro="" textlink="">
      <xdr:nvSpPr>
        <xdr:cNvPr id="8" name="ZoneTexte 7">
          <a:extLst>
            <a:ext uri="{FF2B5EF4-FFF2-40B4-BE49-F238E27FC236}">
              <a16:creationId xmlns:a16="http://schemas.microsoft.com/office/drawing/2014/main" id="{00000000-0008-0000-0E00-000008000000}"/>
            </a:ext>
          </a:extLst>
        </xdr:cNvPr>
        <xdr:cNvSpPr txBox="1"/>
      </xdr:nvSpPr>
      <xdr:spPr>
        <a:xfrm>
          <a:off x="15819210" y="1177927"/>
          <a:ext cx="717550" cy="638175"/>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600">
              <a:solidFill>
                <a:schemeClr val="bg1"/>
              </a:solidFill>
            </a:rPr>
            <a:t>ERI</a:t>
          </a:r>
        </a:p>
      </xdr:txBody>
    </xdr:sp>
    <xdr:clientData/>
  </xdr:twoCellAnchor>
  <mc:AlternateContent xmlns:mc="http://schemas.openxmlformats.org/markup-compatibility/2006">
    <mc:Choice xmlns:a14="http://schemas.microsoft.com/office/drawing/2010/main" Requires="a14">
      <xdr:twoCellAnchor>
        <xdr:from>
          <xdr:col>1</xdr:col>
          <xdr:colOff>1143000</xdr:colOff>
          <xdr:row>57</xdr:row>
          <xdr:rowOff>495300</xdr:rowOff>
        </xdr:from>
        <xdr:to>
          <xdr:col>1</xdr:col>
          <xdr:colOff>2451100</xdr:colOff>
          <xdr:row>57</xdr:row>
          <xdr:rowOff>876300</xdr:rowOff>
        </xdr:to>
        <xdr:sp macro="" textlink="">
          <xdr:nvSpPr>
            <xdr:cNvPr id="91143" name="Button 7" hidden="1">
              <a:extLst>
                <a:ext uri="{63B3BB69-23CF-44E3-9099-C40C66FF867C}">
                  <a14:compatExt spid="_x0000_s91143"/>
                </a:ext>
                <a:ext uri="{FF2B5EF4-FFF2-40B4-BE49-F238E27FC236}">
                  <a16:creationId xmlns:a16="http://schemas.microsoft.com/office/drawing/2014/main" id="{00000000-0008-0000-0E00-0000076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Supprimer ligne</a:t>
              </a:r>
            </a:p>
          </xdr:txBody>
        </xdr:sp>
        <xdr:clientData fPrintsWithSheet="0"/>
      </xdr:twoCellAnchor>
    </mc:Choice>
    <mc:Fallback/>
  </mc:AlternateContent>
  <xdr:twoCellAnchor>
    <xdr:from>
      <xdr:col>0</xdr:col>
      <xdr:colOff>0</xdr:colOff>
      <xdr:row>60</xdr:row>
      <xdr:rowOff>20637</xdr:rowOff>
    </xdr:from>
    <xdr:to>
      <xdr:col>4</xdr:col>
      <xdr:colOff>1000124</xdr:colOff>
      <xdr:row>60</xdr:row>
      <xdr:rowOff>447901</xdr:rowOff>
    </xdr:to>
    <xdr:sp macro="" textlink="">
      <xdr:nvSpPr>
        <xdr:cNvPr id="9" name="Rectangle 8">
          <a:extLst>
            <a:ext uri="{FF2B5EF4-FFF2-40B4-BE49-F238E27FC236}">
              <a16:creationId xmlns:a16="http://schemas.microsoft.com/office/drawing/2014/main" id="{00000000-0008-0000-0E00-000009000000}"/>
            </a:ext>
          </a:extLst>
        </xdr:cNvPr>
        <xdr:cNvSpPr/>
      </xdr:nvSpPr>
      <xdr:spPr>
        <a:xfrm>
          <a:off x="0" y="29719587"/>
          <a:ext cx="10937874" cy="328839"/>
        </a:xfrm>
        <a:prstGeom prst="rect">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xdr:col>
      <xdr:colOff>15875</xdr:colOff>
      <xdr:row>60</xdr:row>
      <xdr:rowOff>23812</xdr:rowOff>
    </xdr:from>
    <xdr:to>
      <xdr:col>7</xdr:col>
      <xdr:colOff>1702102</xdr:colOff>
      <xdr:row>60</xdr:row>
      <xdr:rowOff>452437</xdr:rowOff>
    </xdr:to>
    <xdr:sp macro="" textlink="">
      <xdr:nvSpPr>
        <xdr:cNvPr id="10" name="Rectangle 9">
          <a:extLst>
            <a:ext uri="{FF2B5EF4-FFF2-40B4-BE49-F238E27FC236}">
              <a16:creationId xmlns:a16="http://schemas.microsoft.com/office/drawing/2014/main" id="{00000000-0008-0000-0E00-00000A000000}"/>
            </a:ext>
          </a:extLst>
        </xdr:cNvPr>
        <xdr:cNvSpPr/>
      </xdr:nvSpPr>
      <xdr:spPr>
        <a:xfrm>
          <a:off x="12788900" y="29725937"/>
          <a:ext cx="2765727" cy="327025"/>
        </a:xfrm>
        <a:prstGeom prst="rect">
          <a:avLst/>
        </a:prstGeom>
        <a:solidFill>
          <a:srgbClr val="009999"/>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mc:AlternateContent xmlns:mc="http://schemas.openxmlformats.org/markup-compatibility/2006">
    <mc:Choice xmlns:a14="http://schemas.microsoft.com/office/drawing/2010/main" Requires="a14">
      <xdr:twoCellAnchor>
        <xdr:from>
          <xdr:col>1</xdr:col>
          <xdr:colOff>50800</xdr:colOff>
          <xdr:row>50</xdr:row>
          <xdr:rowOff>304800</xdr:rowOff>
        </xdr:from>
        <xdr:to>
          <xdr:col>1</xdr:col>
          <xdr:colOff>1035050</xdr:colOff>
          <xdr:row>50</xdr:row>
          <xdr:rowOff>844550</xdr:rowOff>
        </xdr:to>
        <xdr:sp macro="" textlink="">
          <xdr:nvSpPr>
            <xdr:cNvPr id="91144" name="Button 8" hidden="1">
              <a:extLst>
                <a:ext uri="{63B3BB69-23CF-44E3-9099-C40C66FF867C}">
                  <a14:compatExt spid="_x0000_s91144"/>
                </a:ext>
                <a:ext uri="{FF2B5EF4-FFF2-40B4-BE49-F238E27FC236}">
                  <a16:creationId xmlns:a16="http://schemas.microsoft.com/office/drawing/2014/main" id="{00000000-0008-0000-0E00-0000086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Ajouter ligne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1047750</xdr:colOff>
          <xdr:row>50</xdr:row>
          <xdr:rowOff>311150</xdr:rowOff>
        </xdr:from>
        <xdr:to>
          <xdr:col>1</xdr:col>
          <xdr:colOff>2133600</xdr:colOff>
          <xdr:row>50</xdr:row>
          <xdr:rowOff>844550</xdr:rowOff>
        </xdr:to>
        <xdr:sp macro="" textlink="">
          <xdr:nvSpPr>
            <xdr:cNvPr id="91145" name="Button 9" hidden="1">
              <a:extLst>
                <a:ext uri="{63B3BB69-23CF-44E3-9099-C40C66FF867C}">
                  <a14:compatExt spid="_x0000_s91145"/>
                </a:ext>
                <a:ext uri="{FF2B5EF4-FFF2-40B4-BE49-F238E27FC236}">
                  <a16:creationId xmlns:a16="http://schemas.microsoft.com/office/drawing/2014/main" id="{00000000-0008-0000-0E00-0000096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Supprimer Ligne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2139950</xdr:colOff>
          <xdr:row>50</xdr:row>
          <xdr:rowOff>311150</xdr:rowOff>
        </xdr:from>
        <xdr:to>
          <xdr:col>1</xdr:col>
          <xdr:colOff>3181350</xdr:colOff>
          <xdr:row>50</xdr:row>
          <xdr:rowOff>844550</xdr:rowOff>
        </xdr:to>
        <xdr:sp macro="" textlink="">
          <xdr:nvSpPr>
            <xdr:cNvPr id="91146" name="Button 10" hidden="1">
              <a:extLst>
                <a:ext uri="{63B3BB69-23CF-44E3-9099-C40C66FF867C}">
                  <a14:compatExt spid="_x0000_s91146"/>
                </a:ext>
                <a:ext uri="{FF2B5EF4-FFF2-40B4-BE49-F238E27FC236}">
                  <a16:creationId xmlns:a16="http://schemas.microsoft.com/office/drawing/2014/main" id="{00000000-0008-0000-0E00-00000A6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Ligne Precise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2463800</xdr:colOff>
          <xdr:row>57</xdr:row>
          <xdr:rowOff>488950</xdr:rowOff>
        </xdr:from>
        <xdr:to>
          <xdr:col>1</xdr:col>
          <xdr:colOff>3511550</xdr:colOff>
          <xdr:row>57</xdr:row>
          <xdr:rowOff>857250</xdr:rowOff>
        </xdr:to>
        <xdr:sp macro="" textlink="">
          <xdr:nvSpPr>
            <xdr:cNvPr id="91147" name="Button 11" hidden="1">
              <a:extLst>
                <a:ext uri="{63B3BB69-23CF-44E3-9099-C40C66FF867C}">
                  <a14:compatExt spid="_x0000_s91147"/>
                </a:ext>
                <a:ext uri="{FF2B5EF4-FFF2-40B4-BE49-F238E27FC236}">
                  <a16:creationId xmlns:a16="http://schemas.microsoft.com/office/drawing/2014/main" id="{00000000-0008-0000-0E00-00000B6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Ligne precise</a:t>
              </a:r>
            </a:p>
          </xdr:txBody>
        </xdr:sp>
        <xdr:clientData fPrintsWithSheet="0"/>
      </xdr:twoCellAnchor>
    </mc:Choice>
    <mc:Fallback/>
  </mc:AlternateContent>
  <xdr:twoCellAnchor>
    <xdr:from>
      <xdr:col>0</xdr:col>
      <xdr:colOff>0</xdr:colOff>
      <xdr:row>37</xdr:row>
      <xdr:rowOff>11981</xdr:rowOff>
    </xdr:from>
    <xdr:to>
      <xdr:col>4</xdr:col>
      <xdr:colOff>995982</xdr:colOff>
      <xdr:row>37</xdr:row>
      <xdr:rowOff>385136</xdr:rowOff>
    </xdr:to>
    <xdr:sp macro="" textlink="">
      <xdr:nvSpPr>
        <xdr:cNvPr id="11" name="Rectangle 10">
          <a:extLst>
            <a:ext uri="{FF2B5EF4-FFF2-40B4-BE49-F238E27FC236}">
              <a16:creationId xmlns:a16="http://schemas.microsoft.com/office/drawing/2014/main" id="{00000000-0008-0000-0E00-00000B000000}"/>
            </a:ext>
          </a:extLst>
        </xdr:cNvPr>
        <xdr:cNvSpPr/>
      </xdr:nvSpPr>
      <xdr:spPr>
        <a:xfrm>
          <a:off x="0" y="17887231"/>
          <a:ext cx="10933732" cy="379505"/>
        </a:xfrm>
        <a:prstGeom prst="rect">
          <a:avLst/>
        </a:prstGeom>
        <a:solidFill>
          <a:schemeClr val="accent1">
            <a:lumMod val="60000"/>
            <a:lumOff val="40000"/>
          </a:schemeClr>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mc:AlternateContent xmlns:mc="http://schemas.openxmlformats.org/markup-compatibility/2006">
    <mc:Choice xmlns:a14="http://schemas.microsoft.com/office/drawing/2010/main" Requires="a14">
      <xdr:twoCellAnchor>
        <xdr:from>
          <xdr:col>1</xdr:col>
          <xdr:colOff>25400</xdr:colOff>
          <xdr:row>5</xdr:row>
          <xdr:rowOff>361950</xdr:rowOff>
        </xdr:from>
        <xdr:to>
          <xdr:col>1</xdr:col>
          <xdr:colOff>1054100</xdr:colOff>
          <xdr:row>5</xdr:row>
          <xdr:rowOff>723900</xdr:rowOff>
        </xdr:to>
        <xdr:sp macro="" textlink="">
          <xdr:nvSpPr>
            <xdr:cNvPr id="91148" name="Button 12" hidden="1">
              <a:extLst>
                <a:ext uri="{63B3BB69-23CF-44E3-9099-C40C66FF867C}">
                  <a14:compatExt spid="_x0000_s91148"/>
                </a:ext>
                <a:ext uri="{FF2B5EF4-FFF2-40B4-BE49-F238E27FC236}">
                  <a16:creationId xmlns:a16="http://schemas.microsoft.com/office/drawing/2014/main" id="{00000000-0008-0000-0E00-00000C6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Ajouter ligne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25400</xdr:colOff>
          <xdr:row>64</xdr:row>
          <xdr:rowOff>577850</xdr:rowOff>
        </xdr:from>
        <xdr:to>
          <xdr:col>1</xdr:col>
          <xdr:colOff>1162050</xdr:colOff>
          <xdr:row>64</xdr:row>
          <xdr:rowOff>996950</xdr:rowOff>
        </xdr:to>
        <xdr:sp macro="" textlink="">
          <xdr:nvSpPr>
            <xdr:cNvPr id="91149" name="Button 13" hidden="1">
              <a:extLst>
                <a:ext uri="{63B3BB69-23CF-44E3-9099-C40C66FF867C}">
                  <a14:compatExt spid="_x0000_s91149"/>
                </a:ext>
                <a:ext uri="{FF2B5EF4-FFF2-40B4-BE49-F238E27FC236}">
                  <a16:creationId xmlns:a16="http://schemas.microsoft.com/office/drawing/2014/main" id="{00000000-0008-0000-0E00-00000D6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Ajouter lignes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1174750</xdr:colOff>
          <xdr:row>64</xdr:row>
          <xdr:rowOff>577850</xdr:rowOff>
        </xdr:from>
        <xdr:to>
          <xdr:col>1</xdr:col>
          <xdr:colOff>2774950</xdr:colOff>
          <xdr:row>64</xdr:row>
          <xdr:rowOff>984250</xdr:rowOff>
        </xdr:to>
        <xdr:sp macro="" textlink="">
          <xdr:nvSpPr>
            <xdr:cNvPr id="91150" name="Button 14" hidden="1">
              <a:extLst>
                <a:ext uri="{63B3BB69-23CF-44E3-9099-C40C66FF867C}">
                  <a14:compatExt spid="_x0000_s91150"/>
                </a:ext>
                <a:ext uri="{FF2B5EF4-FFF2-40B4-BE49-F238E27FC236}">
                  <a16:creationId xmlns:a16="http://schemas.microsoft.com/office/drawing/2014/main" id="{00000000-0008-0000-0E00-00000E6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Supprimer ligne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2794000</xdr:colOff>
          <xdr:row>64</xdr:row>
          <xdr:rowOff>552450</xdr:rowOff>
        </xdr:from>
        <xdr:to>
          <xdr:col>2</xdr:col>
          <xdr:colOff>158750</xdr:colOff>
          <xdr:row>64</xdr:row>
          <xdr:rowOff>984250</xdr:rowOff>
        </xdr:to>
        <xdr:sp macro="" textlink="">
          <xdr:nvSpPr>
            <xdr:cNvPr id="91151" name="Button 15" hidden="1">
              <a:extLst>
                <a:ext uri="{63B3BB69-23CF-44E3-9099-C40C66FF867C}">
                  <a14:compatExt spid="_x0000_s91151"/>
                </a:ext>
                <a:ext uri="{FF2B5EF4-FFF2-40B4-BE49-F238E27FC236}">
                  <a16:creationId xmlns:a16="http://schemas.microsoft.com/office/drawing/2014/main" id="{00000000-0008-0000-0E00-00000F6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Ligne Precise</a:t>
              </a:r>
            </a:p>
          </xdr:txBody>
        </xdr:sp>
        <xdr:clientData fPrintsWithSheet="0"/>
      </xdr:twoCellAnchor>
    </mc:Choice>
    <mc:Fallback/>
  </mc:AlternateContent>
  <xdr:twoCellAnchor>
    <xdr:from>
      <xdr:col>0</xdr:col>
      <xdr:colOff>0</xdr:colOff>
      <xdr:row>67</xdr:row>
      <xdr:rowOff>14118</xdr:rowOff>
    </xdr:from>
    <xdr:to>
      <xdr:col>4</xdr:col>
      <xdr:colOff>1009649</xdr:colOff>
      <xdr:row>68</xdr:row>
      <xdr:rowOff>7631</xdr:rowOff>
    </xdr:to>
    <xdr:sp macro="" textlink="">
      <xdr:nvSpPr>
        <xdr:cNvPr id="12" name="Rectangle 11">
          <a:extLst>
            <a:ext uri="{FF2B5EF4-FFF2-40B4-BE49-F238E27FC236}">
              <a16:creationId xmlns:a16="http://schemas.microsoft.com/office/drawing/2014/main" id="{00000000-0008-0000-0E00-00000C000000}"/>
            </a:ext>
          </a:extLst>
        </xdr:cNvPr>
        <xdr:cNvSpPr/>
      </xdr:nvSpPr>
      <xdr:spPr>
        <a:xfrm>
          <a:off x="0" y="32900768"/>
          <a:ext cx="10944224" cy="409438"/>
        </a:xfrm>
        <a:prstGeom prst="rect">
          <a:avLst/>
        </a:prstGeom>
        <a:solidFill>
          <a:srgbClr val="FFCCFF"/>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xdr:col>
      <xdr:colOff>1807309</xdr:colOff>
      <xdr:row>67</xdr:row>
      <xdr:rowOff>9769</xdr:rowOff>
    </xdr:from>
    <xdr:to>
      <xdr:col>11</xdr:col>
      <xdr:colOff>1367692</xdr:colOff>
      <xdr:row>67</xdr:row>
      <xdr:rowOff>398325</xdr:rowOff>
    </xdr:to>
    <xdr:sp macro="" textlink="">
      <xdr:nvSpPr>
        <xdr:cNvPr id="13" name="Rectangle 12">
          <a:extLst>
            <a:ext uri="{FF2B5EF4-FFF2-40B4-BE49-F238E27FC236}">
              <a16:creationId xmlns:a16="http://schemas.microsoft.com/office/drawing/2014/main" id="{00000000-0008-0000-0E00-00000D000000}"/>
            </a:ext>
          </a:extLst>
        </xdr:cNvPr>
        <xdr:cNvSpPr/>
      </xdr:nvSpPr>
      <xdr:spPr>
        <a:xfrm>
          <a:off x="12751534" y="32896419"/>
          <a:ext cx="7996358" cy="391731"/>
        </a:xfrm>
        <a:prstGeom prst="rect">
          <a:avLst/>
        </a:prstGeom>
        <a:solidFill>
          <a:srgbClr val="FFCCFF"/>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mc:AlternateContent xmlns:mc="http://schemas.openxmlformats.org/markup-compatibility/2006">
    <mc:Choice xmlns:a14="http://schemas.microsoft.com/office/drawing/2010/main" Requires="a14">
      <xdr:twoCellAnchor>
        <xdr:from>
          <xdr:col>1</xdr:col>
          <xdr:colOff>57150</xdr:colOff>
          <xdr:row>38</xdr:row>
          <xdr:rowOff>533400</xdr:rowOff>
        </xdr:from>
        <xdr:to>
          <xdr:col>1</xdr:col>
          <xdr:colOff>1009650</xdr:colOff>
          <xdr:row>38</xdr:row>
          <xdr:rowOff>920750</xdr:rowOff>
        </xdr:to>
        <xdr:sp macro="" textlink="">
          <xdr:nvSpPr>
            <xdr:cNvPr id="91152" name="Button 16" hidden="1">
              <a:extLst>
                <a:ext uri="{63B3BB69-23CF-44E3-9099-C40C66FF867C}">
                  <a14:compatExt spid="_x0000_s91152"/>
                </a:ext>
                <a:ext uri="{FF2B5EF4-FFF2-40B4-BE49-F238E27FC236}">
                  <a16:creationId xmlns:a16="http://schemas.microsoft.com/office/drawing/2014/main" id="{00000000-0008-0000-0E00-0000106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Ajouter Ligne Fourniture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1035050</xdr:colOff>
          <xdr:row>38</xdr:row>
          <xdr:rowOff>533400</xdr:rowOff>
        </xdr:from>
        <xdr:to>
          <xdr:col>1</xdr:col>
          <xdr:colOff>1835150</xdr:colOff>
          <xdr:row>38</xdr:row>
          <xdr:rowOff>901700</xdr:rowOff>
        </xdr:to>
        <xdr:sp macro="" textlink="">
          <xdr:nvSpPr>
            <xdr:cNvPr id="91153" name="Button 17" hidden="1">
              <a:extLst>
                <a:ext uri="{63B3BB69-23CF-44E3-9099-C40C66FF867C}">
                  <a14:compatExt spid="_x0000_s91153"/>
                </a:ext>
                <a:ext uri="{FF2B5EF4-FFF2-40B4-BE49-F238E27FC236}">
                  <a16:creationId xmlns:a16="http://schemas.microsoft.com/office/drawing/2014/main" id="{00000000-0008-0000-0E00-0000116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Supprimer Ligne Founriture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1866900</xdr:colOff>
          <xdr:row>38</xdr:row>
          <xdr:rowOff>533400</xdr:rowOff>
        </xdr:from>
        <xdr:to>
          <xdr:col>2</xdr:col>
          <xdr:colOff>38100</xdr:colOff>
          <xdr:row>38</xdr:row>
          <xdr:rowOff>901700</xdr:rowOff>
        </xdr:to>
        <xdr:sp macro="" textlink="">
          <xdr:nvSpPr>
            <xdr:cNvPr id="91154" name="Button 18" hidden="1">
              <a:extLst>
                <a:ext uri="{63B3BB69-23CF-44E3-9099-C40C66FF867C}">
                  <a14:compatExt spid="_x0000_s91154"/>
                </a:ext>
                <a:ext uri="{FF2B5EF4-FFF2-40B4-BE49-F238E27FC236}">
                  <a16:creationId xmlns:a16="http://schemas.microsoft.com/office/drawing/2014/main" id="{00000000-0008-0000-0E00-0000126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Ajouter Ligne Precise</a:t>
              </a:r>
            </a:p>
          </xdr:txBody>
        </xdr:sp>
        <xdr:clientData fPrintsWithSheet="0"/>
      </xdr:twoCellAnchor>
    </mc:Choice>
    <mc:Fallback/>
  </mc:AlternateContent>
  <xdr:twoCellAnchor>
    <xdr:from>
      <xdr:col>0</xdr:col>
      <xdr:colOff>0</xdr:colOff>
      <xdr:row>41</xdr:row>
      <xdr:rowOff>22679</xdr:rowOff>
    </xdr:from>
    <xdr:to>
      <xdr:col>4</xdr:col>
      <xdr:colOff>995982</xdr:colOff>
      <xdr:row>42</xdr:row>
      <xdr:rowOff>0</xdr:rowOff>
    </xdr:to>
    <xdr:sp macro="" textlink="">
      <xdr:nvSpPr>
        <xdr:cNvPr id="14" name="Rectangle 13">
          <a:extLst>
            <a:ext uri="{FF2B5EF4-FFF2-40B4-BE49-F238E27FC236}">
              <a16:creationId xmlns:a16="http://schemas.microsoft.com/office/drawing/2014/main" id="{00000000-0008-0000-0E00-00000E000000}"/>
            </a:ext>
          </a:extLst>
        </xdr:cNvPr>
        <xdr:cNvSpPr/>
      </xdr:nvSpPr>
      <xdr:spPr>
        <a:xfrm>
          <a:off x="0" y="20542704"/>
          <a:ext cx="10933732" cy="545646"/>
        </a:xfrm>
        <a:prstGeom prst="rect">
          <a:avLst/>
        </a:prstGeom>
        <a:solidFill>
          <a:srgbClr val="5B9BD5">
            <a:lumMod val="60000"/>
            <a:lumOff val="40000"/>
          </a:srgbClr>
        </a:solidFill>
        <a:ln w="12700" cap="flat" cmpd="sng" algn="ctr">
          <a:solidFill>
            <a:srgbClr val="009999"/>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fr-FR"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6</xdr:col>
      <xdr:colOff>0</xdr:colOff>
      <xdr:row>41</xdr:row>
      <xdr:rowOff>0</xdr:rowOff>
    </xdr:from>
    <xdr:to>
      <xdr:col>16</xdr:col>
      <xdr:colOff>8467</xdr:colOff>
      <xdr:row>42</xdr:row>
      <xdr:rowOff>1</xdr:rowOff>
    </xdr:to>
    <xdr:sp macro="" textlink="">
      <xdr:nvSpPr>
        <xdr:cNvPr id="15" name="Rectangle 14">
          <a:extLst>
            <a:ext uri="{FF2B5EF4-FFF2-40B4-BE49-F238E27FC236}">
              <a16:creationId xmlns:a16="http://schemas.microsoft.com/office/drawing/2014/main" id="{00000000-0008-0000-0E00-00000F000000}"/>
            </a:ext>
          </a:extLst>
        </xdr:cNvPr>
        <xdr:cNvSpPr/>
      </xdr:nvSpPr>
      <xdr:spPr>
        <a:xfrm>
          <a:off x="12773025" y="20516850"/>
          <a:ext cx="12975167" cy="571501"/>
        </a:xfrm>
        <a:prstGeom prst="rect">
          <a:avLst/>
        </a:prstGeom>
        <a:solidFill>
          <a:schemeClr val="accent1">
            <a:lumMod val="60000"/>
            <a:lumOff val="40000"/>
          </a:schemeClr>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mc:AlternateContent xmlns:mc="http://schemas.openxmlformats.org/markup-compatibility/2006">
    <mc:Choice xmlns:a14="http://schemas.microsoft.com/office/drawing/2010/main" Requires="a14">
      <xdr:twoCellAnchor>
        <xdr:from>
          <xdr:col>1</xdr:col>
          <xdr:colOff>25400</xdr:colOff>
          <xdr:row>10</xdr:row>
          <xdr:rowOff>361950</xdr:rowOff>
        </xdr:from>
        <xdr:to>
          <xdr:col>1</xdr:col>
          <xdr:colOff>1054100</xdr:colOff>
          <xdr:row>10</xdr:row>
          <xdr:rowOff>723900</xdr:rowOff>
        </xdr:to>
        <xdr:sp macro="" textlink="">
          <xdr:nvSpPr>
            <xdr:cNvPr id="91155" name="Button 19" hidden="1">
              <a:extLst>
                <a:ext uri="{63B3BB69-23CF-44E3-9099-C40C66FF867C}">
                  <a14:compatExt spid="_x0000_s91155"/>
                </a:ext>
                <a:ext uri="{FF2B5EF4-FFF2-40B4-BE49-F238E27FC236}">
                  <a16:creationId xmlns:a16="http://schemas.microsoft.com/office/drawing/2014/main" id="{00000000-0008-0000-0E00-0000136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Ajouter ligne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1079500</xdr:colOff>
          <xdr:row>10</xdr:row>
          <xdr:rowOff>349250</xdr:rowOff>
        </xdr:from>
        <xdr:to>
          <xdr:col>1</xdr:col>
          <xdr:colOff>2165350</xdr:colOff>
          <xdr:row>10</xdr:row>
          <xdr:rowOff>736600</xdr:rowOff>
        </xdr:to>
        <xdr:sp macro="" textlink="">
          <xdr:nvSpPr>
            <xdr:cNvPr id="91156" name="Button 20" hidden="1">
              <a:extLst>
                <a:ext uri="{63B3BB69-23CF-44E3-9099-C40C66FF867C}">
                  <a14:compatExt spid="_x0000_s91156"/>
                </a:ext>
                <a:ext uri="{FF2B5EF4-FFF2-40B4-BE49-F238E27FC236}">
                  <a16:creationId xmlns:a16="http://schemas.microsoft.com/office/drawing/2014/main" id="{00000000-0008-0000-0E00-0000146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Supprimer Lignes Prestations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2190750</xdr:colOff>
          <xdr:row>10</xdr:row>
          <xdr:rowOff>336550</xdr:rowOff>
        </xdr:from>
        <xdr:to>
          <xdr:col>1</xdr:col>
          <xdr:colOff>3930650</xdr:colOff>
          <xdr:row>10</xdr:row>
          <xdr:rowOff>736600</xdr:rowOff>
        </xdr:to>
        <xdr:sp macro="" textlink="">
          <xdr:nvSpPr>
            <xdr:cNvPr id="91157" name="Button 21" hidden="1">
              <a:extLst>
                <a:ext uri="{63B3BB69-23CF-44E3-9099-C40C66FF867C}">
                  <a14:compatExt spid="_x0000_s91157"/>
                </a:ext>
                <a:ext uri="{FF2B5EF4-FFF2-40B4-BE49-F238E27FC236}">
                  <a16:creationId xmlns:a16="http://schemas.microsoft.com/office/drawing/2014/main" id="{00000000-0008-0000-0E00-0000156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Ajouter Ligne precise </a:t>
              </a:r>
            </a:p>
          </xdr:txBody>
        </xdr:sp>
        <xdr:clientData fPrintsWithSheet="0"/>
      </xdr:twoCellAnchor>
    </mc:Choice>
    <mc:Fallback/>
  </mc:AlternateContent>
  <xdr:twoCellAnchor>
    <xdr:from>
      <xdr:col>0</xdr:col>
      <xdr:colOff>0</xdr:colOff>
      <xdr:row>13</xdr:row>
      <xdr:rowOff>0</xdr:rowOff>
    </xdr:from>
    <xdr:to>
      <xdr:col>5</xdr:col>
      <xdr:colOff>0</xdr:colOff>
      <xdr:row>14</xdr:row>
      <xdr:rowOff>50144</xdr:rowOff>
    </xdr:to>
    <xdr:sp macro="" textlink="">
      <xdr:nvSpPr>
        <xdr:cNvPr id="16" name="Rectangle 15">
          <a:extLst>
            <a:ext uri="{FF2B5EF4-FFF2-40B4-BE49-F238E27FC236}">
              <a16:creationId xmlns:a16="http://schemas.microsoft.com/office/drawing/2014/main" id="{00000000-0008-0000-0E00-000010000000}"/>
            </a:ext>
          </a:extLst>
        </xdr:cNvPr>
        <xdr:cNvSpPr/>
      </xdr:nvSpPr>
      <xdr:spPr>
        <a:xfrm>
          <a:off x="0" y="6315075"/>
          <a:ext cx="10944225" cy="647044"/>
        </a:xfrm>
        <a:prstGeom prst="rect">
          <a:avLst/>
        </a:prstGeom>
        <a:solidFill>
          <a:schemeClr val="accent1">
            <a:lumMod val="60000"/>
            <a:lumOff val="40000"/>
          </a:schemeClr>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xdr:col>
      <xdr:colOff>-1</xdr:colOff>
      <xdr:row>13</xdr:row>
      <xdr:rowOff>0</xdr:rowOff>
    </xdr:from>
    <xdr:to>
      <xdr:col>15</xdr:col>
      <xdr:colOff>1291896</xdr:colOff>
      <xdr:row>14</xdr:row>
      <xdr:rowOff>10948</xdr:rowOff>
    </xdr:to>
    <xdr:sp macro="" textlink="">
      <xdr:nvSpPr>
        <xdr:cNvPr id="17" name="Rectangle 16">
          <a:extLst>
            <a:ext uri="{FF2B5EF4-FFF2-40B4-BE49-F238E27FC236}">
              <a16:creationId xmlns:a16="http://schemas.microsoft.com/office/drawing/2014/main" id="{00000000-0008-0000-0E00-000011000000}"/>
            </a:ext>
          </a:extLst>
        </xdr:cNvPr>
        <xdr:cNvSpPr/>
      </xdr:nvSpPr>
      <xdr:spPr>
        <a:xfrm>
          <a:off x="12773024" y="6315075"/>
          <a:ext cx="12947322" cy="607848"/>
        </a:xfrm>
        <a:prstGeom prst="rect">
          <a:avLst/>
        </a:prstGeom>
        <a:solidFill>
          <a:schemeClr val="accent1">
            <a:lumMod val="60000"/>
            <a:lumOff val="40000"/>
          </a:schemeClr>
        </a:solidFill>
        <a:ln>
          <a:solidFill>
            <a:srgbClr val="0099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18" Type="http://schemas.openxmlformats.org/officeDocument/2006/relationships/ctrlProp" Target="../ctrlProps/ctrlProp17.xml"/><Relationship Id="rId3" Type="http://schemas.openxmlformats.org/officeDocument/2006/relationships/vmlDrawing" Target="../drawings/vmlDrawing2.vml"/><Relationship Id="rId21" Type="http://schemas.openxmlformats.org/officeDocument/2006/relationships/ctrlProp" Target="../ctrlProps/ctrlProp20.xml"/><Relationship Id="rId7" Type="http://schemas.openxmlformats.org/officeDocument/2006/relationships/ctrlProp" Target="../ctrlProps/ctrlProp6.xml"/><Relationship Id="rId12" Type="http://schemas.openxmlformats.org/officeDocument/2006/relationships/ctrlProp" Target="../ctrlProps/ctrlProp11.xml"/><Relationship Id="rId17" Type="http://schemas.openxmlformats.org/officeDocument/2006/relationships/ctrlProp" Target="../ctrlProps/ctrlProp16.xml"/><Relationship Id="rId2" Type="http://schemas.openxmlformats.org/officeDocument/2006/relationships/drawing" Target="../drawings/drawing2.xml"/><Relationship Id="rId16" Type="http://schemas.openxmlformats.org/officeDocument/2006/relationships/ctrlProp" Target="../ctrlProps/ctrlProp15.xml"/><Relationship Id="rId20" Type="http://schemas.openxmlformats.org/officeDocument/2006/relationships/ctrlProp" Target="../ctrlProps/ctrlProp19.xml"/><Relationship Id="rId1" Type="http://schemas.openxmlformats.org/officeDocument/2006/relationships/printerSettings" Target="../printerSettings/printerSettings2.bin"/><Relationship Id="rId6" Type="http://schemas.openxmlformats.org/officeDocument/2006/relationships/ctrlProp" Target="../ctrlProps/ctrlProp5.xml"/><Relationship Id="rId11" Type="http://schemas.openxmlformats.org/officeDocument/2006/relationships/ctrlProp" Target="../ctrlProps/ctrlProp10.xml"/><Relationship Id="rId24" Type="http://schemas.openxmlformats.org/officeDocument/2006/relationships/ctrlProp" Target="../ctrlProps/ctrlProp23.xml"/><Relationship Id="rId5" Type="http://schemas.openxmlformats.org/officeDocument/2006/relationships/ctrlProp" Target="../ctrlProps/ctrlProp4.xml"/><Relationship Id="rId15" Type="http://schemas.openxmlformats.org/officeDocument/2006/relationships/ctrlProp" Target="../ctrlProps/ctrlProp14.xml"/><Relationship Id="rId23" Type="http://schemas.openxmlformats.org/officeDocument/2006/relationships/ctrlProp" Target="../ctrlProps/ctrlProp22.xml"/><Relationship Id="rId10" Type="http://schemas.openxmlformats.org/officeDocument/2006/relationships/ctrlProp" Target="../ctrlProps/ctrlProp9.xml"/><Relationship Id="rId19" Type="http://schemas.openxmlformats.org/officeDocument/2006/relationships/ctrlProp" Target="../ctrlProps/ctrlProp18.xml"/><Relationship Id="rId4" Type="http://schemas.openxmlformats.org/officeDocument/2006/relationships/ctrlProp" Target="../ctrlProps/ctrlProp3.xml"/><Relationship Id="rId9" Type="http://schemas.openxmlformats.org/officeDocument/2006/relationships/ctrlProp" Target="../ctrlProps/ctrlProp8.xml"/><Relationship Id="rId14" Type="http://schemas.openxmlformats.org/officeDocument/2006/relationships/ctrlProp" Target="../ctrlProps/ctrlProp13.xml"/><Relationship Id="rId22" Type="http://schemas.openxmlformats.org/officeDocument/2006/relationships/ctrlProp" Target="../ctrlProps/ctrlProp2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8.xml"/><Relationship Id="rId13" Type="http://schemas.openxmlformats.org/officeDocument/2006/relationships/ctrlProp" Target="../ctrlProps/ctrlProp33.xml"/><Relationship Id="rId18" Type="http://schemas.openxmlformats.org/officeDocument/2006/relationships/ctrlProp" Target="../ctrlProps/ctrlProp38.xml"/><Relationship Id="rId3" Type="http://schemas.openxmlformats.org/officeDocument/2006/relationships/vmlDrawing" Target="../drawings/vmlDrawing4.vml"/><Relationship Id="rId21" Type="http://schemas.openxmlformats.org/officeDocument/2006/relationships/ctrlProp" Target="../ctrlProps/ctrlProp41.xml"/><Relationship Id="rId7" Type="http://schemas.openxmlformats.org/officeDocument/2006/relationships/ctrlProp" Target="../ctrlProps/ctrlProp27.xml"/><Relationship Id="rId12" Type="http://schemas.openxmlformats.org/officeDocument/2006/relationships/ctrlProp" Target="../ctrlProps/ctrlProp32.xml"/><Relationship Id="rId17" Type="http://schemas.openxmlformats.org/officeDocument/2006/relationships/ctrlProp" Target="../ctrlProps/ctrlProp37.xml"/><Relationship Id="rId2" Type="http://schemas.openxmlformats.org/officeDocument/2006/relationships/drawing" Target="../drawings/drawing4.xml"/><Relationship Id="rId16" Type="http://schemas.openxmlformats.org/officeDocument/2006/relationships/ctrlProp" Target="../ctrlProps/ctrlProp36.xml"/><Relationship Id="rId20" Type="http://schemas.openxmlformats.org/officeDocument/2006/relationships/ctrlProp" Target="../ctrlProps/ctrlProp40.xml"/><Relationship Id="rId1" Type="http://schemas.openxmlformats.org/officeDocument/2006/relationships/printerSettings" Target="../printerSettings/printerSettings10.bin"/><Relationship Id="rId6" Type="http://schemas.openxmlformats.org/officeDocument/2006/relationships/ctrlProp" Target="../ctrlProps/ctrlProp26.xml"/><Relationship Id="rId11" Type="http://schemas.openxmlformats.org/officeDocument/2006/relationships/ctrlProp" Target="../ctrlProps/ctrlProp31.xml"/><Relationship Id="rId24" Type="http://schemas.openxmlformats.org/officeDocument/2006/relationships/ctrlProp" Target="../ctrlProps/ctrlProp44.xml"/><Relationship Id="rId5" Type="http://schemas.openxmlformats.org/officeDocument/2006/relationships/ctrlProp" Target="../ctrlProps/ctrlProp25.xml"/><Relationship Id="rId15" Type="http://schemas.openxmlformats.org/officeDocument/2006/relationships/ctrlProp" Target="../ctrlProps/ctrlProp35.xml"/><Relationship Id="rId23" Type="http://schemas.openxmlformats.org/officeDocument/2006/relationships/ctrlProp" Target="../ctrlProps/ctrlProp43.xml"/><Relationship Id="rId10" Type="http://schemas.openxmlformats.org/officeDocument/2006/relationships/ctrlProp" Target="../ctrlProps/ctrlProp30.xml"/><Relationship Id="rId19" Type="http://schemas.openxmlformats.org/officeDocument/2006/relationships/ctrlProp" Target="../ctrlProps/ctrlProp39.xml"/><Relationship Id="rId4" Type="http://schemas.openxmlformats.org/officeDocument/2006/relationships/ctrlProp" Target="../ctrlProps/ctrlProp24.xml"/><Relationship Id="rId9" Type="http://schemas.openxmlformats.org/officeDocument/2006/relationships/ctrlProp" Target="../ctrlProps/ctrlProp29.xml"/><Relationship Id="rId14" Type="http://schemas.openxmlformats.org/officeDocument/2006/relationships/ctrlProp" Target="../ctrlProps/ctrlProp34.xml"/><Relationship Id="rId22" Type="http://schemas.openxmlformats.org/officeDocument/2006/relationships/ctrlProp" Target="../ctrlProps/ctrlProp42.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49.xml"/><Relationship Id="rId13" Type="http://schemas.openxmlformats.org/officeDocument/2006/relationships/ctrlProp" Target="../ctrlProps/ctrlProp54.xml"/><Relationship Id="rId18" Type="http://schemas.openxmlformats.org/officeDocument/2006/relationships/ctrlProp" Target="../ctrlProps/ctrlProp59.xml"/><Relationship Id="rId3" Type="http://schemas.openxmlformats.org/officeDocument/2006/relationships/vmlDrawing" Target="../drawings/vmlDrawing5.vml"/><Relationship Id="rId21" Type="http://schemas.openxmlformats.org/officeDocument/2006/relationships/ctrlProp" Target="../ctrlProps/ctrlProp62.xml"/><Relationship Id="rId7" Type="http://schemas.openxmlformats.org/officeDocument/2006/relationships/ctrlProp" Target="../ctrlProps/ctrlProp48.xml"/><Relationship Id="rId12" Type="http://schemas.openxmlformats.org/officeDocument/2006/relationships/ctrlProp" Target="../ctrlProps/ctrlProp53.xml"/><Relationship Id="rId17" Type="http://schemas.openxmlformats.org/officeDocument/2006/relationships/ctrlProp" Target="../ctrlProps/ctrlProp58.xml"/><Relationship Id="rId2" Type="http://schemas.openxmlformats.org/officeDocument/2006/relationships/drawing" Target="../drawings/drawing5.xml"/><Relationship Id="rId16" Type="http://schemas.openxmlformats.org/officeDocument/2006/relationships/ctrlProp" Target="../ctrlProps/ctrlProp57.xml"/><Relationship Id="rId20" Type="http://schemas.openxmlformats.org/officeDocument/2006/relationships/ctrlProp" Target="../ctrlProps/ctrlProp61.xml"/><Relationship Id="rId1" Type="http://schemas.openxmlformats.org/officeDocument/2006/relationships/printerSettings" Target="../printerSettings/printerSettings11.bin"/><Relationship Id="rId6" Type="http://schemas.openxmlformats.org/officeDocument/2006/relationships/ctrlProp" Target="../ctrlProps/ctrlProp47.xml"/><Relationship Id="rId11" Type="http://schemas.openxmlformats.org/officeDocument/2006/relationships/ctrlProp" Target="../ctrlProps/ctrlProp52.xml"/><Relationship Id="rId24" Type="http://schemas.openxmlformats.org/officeDocument/2006/relationships/ctrlProp" Target="../ctrlProps/ctrlProp65.xml"/><Relationship Id="rId5" Type="http://schemas.openxmlformats.org/officeDocument/2006/relationships/ctrlProp" Target="../ctrlProps/ctrlProp46.xml"/><Relationship Id="rId15" Type="http://schemas.openxmlformats.org/officeDocument/2006/relationships/ctrlProp" Target="../ctrlProps/ctrlProp56.xml"/><Relationship Id="rId23" Type="http://schemas.openxmlformats.org/officeDocument/2006/relationships/ctrlProp" Target="../ctrlProps/ctrlProp64.xml"/><Relationship Id="rId10" Type="http://schemas.openxmlformats.org/officeDocument/2006/relationships/ctrlProp" Target="../ctrlProps/ctrlProp51.xml"/><Relationship Id="rId19" Type="http://schemas.openxmlformats.org/officeDocument/2006/relationships/ctrlProp" Target="../ctrlProps/ctrlProp60.xml"/><Relationship Id="rId4" Type="http://schemas.openxmlformats.org/officeDocument/2006/relationships/ctrlProp" Target="../ctrlProps/ctrlProp45.xml"/><Relationship Id="rId9" Type="http://schemas.openxmlformats.org/officeDocument/2006/relationships/ctrlProp" Target="../ctrlProps/ctrlProp50.xml"/><Relationship Id="rId14" Type="http://schemas.openxmlformats.org/officeDocument/2006/relationships/ctrlProp" Target="../ctrlProps/ctrlProp55.xml"/><Relationship Id="rId22" Type="http://schemas.openxmlformats.org/officeDocument/2006/relationships/ctrlProp" Target="../ctrlProps/ctrlProp6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B3:B8"/>
  <sheetViews>
    <sheetView workbookViewId="0">
      <selection activeCell="I4" sqref="I4"/>
    </sheetView>
  </sheetViews>
  <sheetFormatPr defaultColWidth="8.7109375" defaultRowHeight="14.45"/>
  <sheetData>
    <row r="3" spans="2:2">
      <c r="B3" t="s">
        <v>0</v>
      </c>
    </row>
    <row r="8" spans="2:2">
      <c r="B8" t="s">
        <v>1</v>
      </c>
    </row>
  </sheetData>
  <sortState xmlns:xlrd2="http://schemas.microsoft.com/office/spreadsheetml/2017/richdata2" ref="A1:A20">
    <sortCondition ref="A1:A20"/>
  </sortSt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Button 6">
              <controlPr defaultSize="0" print="0" autoFill="0" autoPict="0" macro="[0]!CopierFeuilleModeleEtRenommer">
                <anchor moveWithCells="1" sizeWithCells="1">
                  <from>
                    <xdr:col>0</xdr:col>
                    <xdr:colOff>590550</xdr:colOff>
                    <xdr:row>3</xdr:row>
                    <xdr:rowOff>31750</xdr:rowOff>
                  </from>
                  <to>
                    <xdr:col>6</xdr:col>
                    <xdr:colOff>31750</xdr:colOff>
                    <xdr:row>6</xdr:row>
                    <xdr:rowOff>95250</xdr:rowOff>
                  </to>
                </anchor>
              </controlPr>
            </control>
          </mc:Choice>
        </mc:AlternateContent>
        <mc:AlternateContent xmlns:mc="http://schemas.openxmlformats.org/markup-compatibility/2006">
          <mc:Choice Requires="x14">
            <control shapeId="1032" r:id="rId5" name="Button 8">
              <controlPr defaultSize="0" print="0" autoFill="0" autoPict="0" macro="[0]!Synthese">
                <anchor moveWithCells="1" sizeWithCells="1">
                  <from>
                    <xdr:col>0</xdr:col>
                    <xdr:colOff>603250</xdr:colOff>
                    <xdr:row>8</xdr:row>
                    <xdr:rowOff>12700</xdr:rowOff>
                  </from>
                  <to>
                    <xdr:col>6</xdr:col>
                    <xdr:colOff>31750</xdr:colOff>
                    <xdr:row>11</xdr:row>
                    <xdr:rowOff>50800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C88C4F-D3CF-4A07-8406-B53CF39D8A7C}">
  <sheetPr codeName="Feuil6"/>
  <dimension ref="A1:T120"/>
  <sheetViews>
    <sheetView topLeftCell="A54" zoomScale="80" zoomScaleNormal="85" workbookViewId="0">
      <selection activeCell="G60" sqref="G60"/>
    </sheetView>
  </sheetViews>
  <sheetFormatPr defaultColWidth="11.42578125" defaultRowHeight="14.45"/>
  <cols>
    <col min="1" max="1" width="45.85546875" customWidth="1"/>
    <col min="2" max="2" width="62.140625" customWidth="1"/>
    <col min="3" max="3" width="20" customWidth="1"/>
    <col min="4" max="4" width="14.140625" customWidth="1"/>
    <col min="5" max="5" width="14.42578125" customWidth="1"/>
    <col min="6" max="6" width="26.140625" customWidth="1"/>
    <col min="7" max="7" width="15.42578125" customWidth="1"/>
    <col min="8" max="8" width="24.5703125" customWidth="1"/>
    <col min="9" max="9" width="17.42578125" customWidth="1"/>
    <col min="10" max="10" width="22.140625" customWidth="1"/>
    <col min="11" max="11" width="15.28515625" customWidth="1"/>
    <col min="12" max="12" width="19.85546875" customWidth="1"/>
    <col min="13" max="13" width="16" customWidth="1"/>
    <col min="14" max="14" width="20.140625" customWidth="1"/>
    <col min="15" max="15" width="16.28515625" customWidth="1"/>
    <col min="16" max="16" width="18.5703125" customWidth="1"/>
    <col min="17" max="17" width="17.5703125" customWidth="1"/>
    <col min="18" max="18" width="39.85546875" customWidth="1"/>
    <col min="19" max="19" width="57.140625" customWidth="1"/>
    <col min="20" max="20" width="20.28515625" customWidth="1"/>
    <col min="22" max="22" width="24" customWidth="1"/>
  </cols>
  <sheetData>
    <row r="1" spans="1:20">
      <c r="A1" t="e" cm="1">
        <f t="array" aca="1" ref="A1" ca="1">RIGHT(CELL("nomfichier",A1),LEN(CELL("nomfichier",A1))-FIND("]",CELL("nomfichier",A1)))</f>
        <v>#VALUE!</v>
      </c>
      <c r="B1" s="158" t="s">
        <v>2</v>
      </c>
    </row>
    <row r="2" spans="1:20" ht="15.6" customHeight="1">
      <c r="T2" t="s">
        <v>3</v>
      </c>
    </row>
    <row r="3" spans="1:20">
      <c r="T3" t="s">
        <v>4</v>
      </c>
    </row>
    <row r="5" spans="1:20" ht="30.6" customHeight="1" thickBot="1">
      <c r="I5" s="635" t="s">
        <v>5</v>
      </c>
      <c r="T5" t="s">
        <v>6</v>
      </c>
    </row>
    <row r="6" spans="1:20" ht="61.5" customHeight="1" thickBot="1">
      <c r="A6" s="653"/>
      <c r="B6" s="655" t="s">
        <v>7</v>
      </c>
      <c r="C6" s="645"/>
      <c r="D6" s="645"/>
      <c r="E6" s="646"/>
      <c r="F6" s="636"/>
      <c r="G6" s="644" t="s">
        <v>8</v>
      </c>
      <c r="H6" s="646"/>
      <c r="I6" s="644" t="s">
        <v>9</v>
      </c>
      <c r="J6" s="645"/>
      <c r="K6" s="644" t="s">
        <v>10</v>
      </c>
      <c r="L6" s="645"/>
      <c r="M6" s="644" t="s">
        <v>11</v>
      </c>
      <c r="N6" s="645"/>
      <c r="O6" s="644" t="s">
        <v>12</v>
      </c>
      <c r="P6" s="646"/>
      <c r="T6" t="s">
        <v>13</v>
      </c>
    </row>
    <row r="7" spans="1:20" ht="39.75" customHeight="1" thickBot="1">
      <c r="A7" s="647" t="s">
        <v>14</v>
      </c>
      <c r="B7" s="647" t="s">
        <v>15</v>
      </c>
      <c r="C7" s="647" t="s">
        <v>16</v>
      </c>
      <c r="D7" s="647" t="s">
        <v>17</v>
      </c>
      <c r="E7" s="647" t="s">
        <v>18</v>
      </c>
      <c r="G7" s="647" t="s">
        <v>19</v>
      </c>
      <c r="H7" s="647" t="s">
        <v>20</v>
      </c>
      <c r="I7" s="647" t="s">
        <v>19</v>
      </c>
      <c r="J7" s="647" t="s">
        <v>20</v>
      </c>
      <c r="K7" s="647" t="s">
        <v>19</v>
      </c>
      <c r="L7" s="647" t="s">
        <v>20</v>
      </c>
      <c r="M7" s="647" t="s">
        <v>19</v>
      </c>
      <c r="N7" s="647" t="s">
        <v>20</v>
      </c>
      <c r="O7" s="647" t="s">
        <v>19</v>
      </c>
      <c r="P7" s="647" t="s">
        <v>20</v>
      </c>
    </row>
    <row r="8" spans="1:20" ht="39.75" customHeight="1" thickBot="1">
      <c r="A8" s="644" t="s">
        <v>21</v>
      </c>
      <c r="B8" s="645"/>
      <c r="C8" s="645"/>
      <c r="D8" s="645"/>
      <c r="E8" s="645"/>
      <c r="G8" s="648"/>
      <c r="H8" s="649"/>
      <c r="I8" s="649"/>
      <c r="J8" s="649"/>
      <c r="K8" s="649"/>
      <c r="L8" s="649"/>
      <c r="M8" s="649"/>
      <c r="N8" s="649"/>
      <c r="O8" s="649"/>
      <c r="P8" s="649"/>
    </row>
    <row r="9" spans="1:20" ht="51" customHeight="1">
      <c r="A9" s="125" t="s">
        <v>22</v>
      </c>
      <c r="B9" s="80">
        <f>IFERROR(VLOOKUP(A9,'BPU - 5 titulaires - PRESTATION'!A:C,2,FALSE),0)</f>
        <v>0</v>
      </c>
      <c r="C9" s="81">
        <f>IFERROR(VLOOKUP(A9,'BPU - 5 titulaires - PRESTATION'!A:C,3,FALSE),0)</f>
        <v>0</v>
      </c>
      <c r="D9" s="72" t="s">
        <v>4</v>
      </c>
      <c r="E9" s="61">
        <v>0</v>
      </c>
      <c r="G9" s="82">
        <f>IFERROR(IF(D9=$T$2,VLOOKUP(A9,'BPU - 5 titulaires - PRESTATION'!A:AF,14,FALSE),IF(D9=$T$3,VLOOKUP(A9,'BPU - 5 titulaires - PRESTATION'!A:AF,16,FALSE))),0)</f>
        <v>0</v>
      </c>
      <c r="H9" s="80">
        <f t="shared" ref="H9" si="0">G9*E9</f>
        <v>0</v>
      </c>
      <c r="I9" s="81">
        <f>IFERROR(IF(D9=$T$2,VLOOKUP(A9,'BPU - 5 titulaires - PRESTATION'!A:AF,18,FALSE),IF(D9=$T$3,VLOOKUP(A9,'BPU - 5 titulaires - PRESTATION'!A:AF,20,FALSE))),0)</f>
        <v>0</v>
      </c>
      <c r="J9" s="81">
        <f t="shared" ref="J9" si="1">E9*I9</f>
        <v>0</v>
      </c>
      <c r="K9" s="80">
        <f>IFERROR(IF(D9=$T$2,VLOOKUP(A9,'BPU - 5 titulaires - PRESTATION'!A:AF,22,FALSE),IF(D9=$T$3,VLOOKUP(A9,'BPU - 5 titulaires - PRESTATION'!A:AF,24,FALSE))),0)</f>
        <v>0</v>
      </c>
      <c r="L9" s="81">
        <f t="shared" ref="L9" si="2">K9*E9</f>
        <v>0</v>
      </c>
      <c r="M9" s="80">
        <f>IFERROR(IF(D9=$T$2,VLOOKUP(A9,'BPU - 5 titulaires - PRESTATION'!A:AF,26,FALSE),IF(D9=$T$3,VLOOKUP(A9,'BPU - 5 titulaires - PRESTATION'!A:AF,28,FALSE))),0)</f>
        <v>0</v>
      </c>
      <c r="N9" s="81">
        <f t="shared" ref="N9" si="3">M9*E9</f>
        <v>0</v>
      </c>
      <c r="O9" s="81">
        <f>IFERROR(IF(D9=$T$2,VLOOKUP(A9,'BPU - 5 titulaires - PRESTATION'!A:AF,30,FALSE),IF(D9=$T$3,VLOOKUP(A9,'BPU - 5 titulaires - PRESTATION'!A:AF,32,FALSE))),0)</f>
        <v>0</v>
      </c>
      <c r="P9" s="80">
        <f>E9*O9</f>
        <v>0</v>
      </c>
    </row>
    <row r="10" spans="1:20" ht="51" customHeight="1" thickBot="1">
      <c r="A10" s="125" t="s">
        <v>22</v>
      </c>
      <c r="B10" s="80">
        <f>IFERROR(VLOOKUP(A10,'BPU - 5 titulaires - PRESTATION'!A:C,2,FALSE),0)</f>
        <v>0</v>
      </c>
      <c r="C10" s="81">
        <f>IFERROR(VLOOKUP(A10,'BPU - 5 titulaires - PRESTATION'!A:C,3,FALSE),0)</f>
        <v>0</v>
      </c>
      <c r="D10" s="72" t="s">
        <v>4</v>
      </c>
      <c r="E10" s="61"/>
      <c r="G10" s="82">
        <f>IFERROR(IF(D10=$T$2,VLOOKUP(A10,'BPU - 5 titulaires - PRESTATION'!A:AF,14,FALSE),IF(D10=$T$3,VLOOKUP(A10,'BPU - 5 titulaires - PRESTATION'!A:AF,16,FALSE))),0)</f>
        <v>0</v>
      </c>
      <c r="H10" s="80">
        <f t="shared" ref="H10" si="4">G10*E10</f>
        <v>0</v>
      </c>
      <c r="I10" s="81">
        <f>IFERROR(IF(D10=$T$2,VLOOKUP(A10,'BPU - 5 titulaires - PRESTATION'!A:AF,18,FALSE),IF(D10=$T$3,VLOOKUP(A10,'BPU - 5 titulaires - PRESTATION'!A:AF,20,FALSE))),0)</f>
        <v>0</v>
      </c>
      <c r="J10" s="81">
        <f t="shared" ref="J10" si="5">E10*I10</f>
        <v>0</v>
      </c>
      <c r="K10" s="80">
        <f>IFERROR(IF(D10=$T$2,VLOOKUP(A10,'BPU - 5 titulaires - PRESTATION'!A:AF,22,FALSE),IF(D10=$T$3,VLOOKUP(A10,'BPU - 5 titulaires - PRESTATION'!A:AF,24,FALSE))),0)</f>
        <v>0</v>
      </c>
      <c r="L10" s="81">
        <f t="shared" ref="L10" si="6">K10*E10</f>
        <v>0</v>
      </c>
      <c r="M10" s="80">
        <f>IFERROR(IF(D10=$T$2,VLOOKUP(A10,'BPU - 5 titulaires - PRESTATION'!A:AF,26,FALSE),IF(D10=$T$3,VLOOKUP(A10,'BPU - 5 titulaires - PRESTATION'!A:AF,28,FALSE))),0)</f>
        <v>0</v>
      </c>
      <c r="N10" s="81">
        <f t="shared" ref="N10" si="7">M10*E10</f>
        <v>0</v>
      </c>
      <c r="O10" s="81">
        <f>IFERROR(IF(D10=$T$2,VLOOKUP(A10,'BPU - 5 titulaires - PRESTATION'!A:AF,30,FALSE),IF(D10=$T$3,VLOOKUP(A10,'BPU - 5 titulaires - PRESTATION'!A:AF,32,FALSE))),0)</f>
        <v>0</v>
      </c>
      <c r="P10" s="80">
        <f>E10*O10</f>
        <v>0</v>
      </c>
    </row>
    <row r="11" spans="1:20" ht="68.45" customHeight="1" thickBot="1">
      <c r="A11" s="644"/>
      <c r="B11" s="672" t="s">
        <v>23</v>
      </c>
      <c r="C11" s="645"/>
      <c r="D11" s="645"/>
      <c r="E11" s="645"/>
      <c r="G11" s="650"/>
      <c r="H11" s="647"/>
      <c r="I11" s="647"/>
      <c r="J11" s="647"/>
      <c r="K11" s="647"/>
      <c r="L11" s="647"/>
      <c r="M11" s="647"/>
      <c r="N11" s="647"/>
      <c r="O11" s="647"/>
      <c r="P11" s="647"/>
    </row>
    <row r="12" spans="1:20" ht="49.5" customHeight="1" thickBot="1">
      <c r="A12" s="647" t="s">
        <v>24</v>
      </c>
      <c r="B12" s="647" t="s">
        <v>25</v>
      </c>
      <c r="C12" s="647" t="s">
        <v>26</v>
      </c>
      <c r="D12" s="647" t="s">
        <v>17</v>
      </c>
      <c r="E12" s="647" t="s">
        <v>18</v>
      </c>
      <c r="G12" s="647"/>
      <c r="H12" s="647"/>
      <c r="I12" s="647"/>
      <c r="J12" s="647"/>
      <c r="K12" s="647"/>
      <c r="L12" s="647"/>
      <c r="M12" s="647"/>
      <c r="N12" s="647"/>
      <c r="O12" s="647"/>
      <c r="P12" s="647"/>
    </row>
    <row r="13" spans="1:20" ht="47.1" customHeight="1">
      <c r="A13" s="72" t="s">
        <v>27</v>
      </c>
      <c r="B13" s="72"/>
      <c r="C13" s="72"/>
      <c r="D13" s="72" t="s">
        <v>4</v>
      </c>
      <c r="E13" s="61"/>
      <c r="G13" s="82">
        <f>IFERROR(IF(D13=$T$2,VLOOKUP(A13,'BPU - 5 titulaires Taux horaire'!$A$4:$X$10,11,FALSE),IF(D13=$T$3,VLOOKUP(A13,'BPU - 5 titulaires Taux horaire'!$A$4:$X$10,12,FALSE))),0)*C13</f>
        <v>0</v>
      </c>
      <c r="H13" s="80">
        <f t="shared" ref="H13" si="8">G13*E13</f>
        <v>0</v>
      </c>
      <c r="I13" s="81">
        <f>IFERROR(IF(D13=$T$2,VLOOKUP(A13,'BPU - 5 titulaires Taux horaire'!$A$4:$X$10,14,FALSE),IF(D13=$T$3,VLOOKUP(A13,'BPU - 5 titulaires Taux horaire'!$A$4:$X$10,15,FALSE))),0)*C13</f>
        <v>0</v>
      </c>
      <c r="J13" s="81">
        <f t="shared" ref="J13" si="9">E13*I13</f>
        <v>0</v>
      </c>
      <c r="K13" s="80">
        <f>IFERROR(IF(D13=$T$2,VLOOKUP(A13,'BPU - 5 titulaires Taux horaire'!$A$4:$X$10,17,FALSE),IF(D13=$T$3,VLOOKUP(A13,'BPU - 5 titulaires Taux horaire'!$A$4:$X$10,18,FALSE))),0)*C13</f>
        <v>0</v>
      </c>
      <c r="L13" s="81">
        <f t="shared" ref="L13" si="10">K13*E13</f>
        <v>0</v>
      </c>
      <c r="M13" s="80">
        <f>IFERROR(IF(D13=$T$2,VLOOKUP(A13,'BPU - 5 titulaires Taux horaire'!$A$4:$X$10,20,FALSE),IF(D13=$T$3,VLOOKUP(A13,'BPU - 5 titulaires Taux horaire'!$A$4:$X$10,21,FALSE))),0)*C13</f>
        <v>0</v>
      </c>
      <c r="N13" s="81">
        <f t="shared" ref="N13" si="11">M13*E13</f>
        <v>0</v>
      </c>
      <c r="O13" s="81">
        <f>IFERROR(IF(D13=$T$2,VLOOKUP(A13,'BPU - 5 titulaires Taux horaire'!$A$4:$X$10,23,FALSE),IF(D13=$T$3,VLOOKUP(A13,'BPU - 5 titulaires Taux horaire'!$A$4:$X$10,24,FALSE))),0)*C13</f>
        <v>0</v>
      </c>
      <c r="P13" s="80">
        <f>E13*O13</f>
        <v>0</v>
      </c>
    </row>
    <row r="14" spans="1:20" ht="47.1" customHeight="1" thickBot="1">
      <c r="A14" s="72" t="s">
        <v>27</v>
      </c>
      <c r="B14" s="72"/>
      <c r="C14" s="72"/>
      <c r="D14" s="72" t="s">
        <v>4</v>
      </c>
      <c r="E14" s="61"/>
      <c r="G14" s="82">
        <f>IFERROR(IF(D14=$T$2,VLOOKUP(A14,'BPU - 5 titulaires Taux horaire'!$A$4:$X$10,11,FALSE),IF(D14=$T$3,VLOOKUP(A14,'BPU - 5 titulaires Taux horaire'!$A$4:$X$10,12,FALSE))),0)*C14</f>
        <v>0</v>
      </c>
      <c r="H14" s="80">
        <f t="shared" ref="H14" si="12">G14*E14</f>
        <v>0</v>
      </c>
      <c r="I14" s="81">
        <f>IFERROR(IF(D14=$T$2,VLOOKUP(A14,'BPU - 5 titulaires Taux horaire'!$A$4:$X$10,14,FALSE),IF(D14=$T$3,VLOOKUP(A14,'BPU - 5 titulaires Taux horaire'!$A$4:$X$10,15,FALSE))),0)*C14</f>
        <v>0</v>
      </c>
      <c r="J14" s="81">
        <f t="shared" ref="J14" si="13">E14*I14</f>
        <v>0</v>
      </c>
      <c r="K14" s="80">
        <f>IFERROR(IF(D14=$T$2,VLOOKUP(A14,'BPU - 5 titulaires Taux horaire'!$A$4:$X$10,17,FALSE),IF(D14=$T$3,VLOOKUP(A14,'BPU - 5 titulaires Taux horaire'!$A$4:$X$10,18,FALSE))),0)*C14</f>
        <v>0</v>
      </c>
      <c r="L14" s="81">
        <f t="shared" ref="L14" si="14">K14*E14</f>
        <v>0</v>
      </c>
      <c r="M14" s="80">
        <f>IFERROR(IF(D14=$T$2,VLOOKUP(A14,'BPU - 5 titulaires Taux horaire'!$A$4:$X$10,20,FALSE),IF(D14=$T$3,VLOOKUP(A14,'BPU - 5 titulaires Taux horaire'!$A$4:$X$10,21,FALSE))),0)*C14</f>
        <v>0</v>
      </c>
      <c r="N14" s="81">
        <f t="shared" ref="N14" si="15">M14*E14</f>
        <v>0</v>
      </c>
      <c r="O14" s="81">
        <f>IFERROR(IF(D14=$T$2,VLOOKUP(A14,'BPU - 5 titulaires Taux horaire'!$A$4:$X$10,23,FALSE),IF(D14=$T$3,VLOOKUP(A14,'BPU - 5 titulaires Taux horaire'!$A$4:$X$10,24,FALSE))),0)*C14</f>
        <v>0</v>
      </c>
      <c r="P14" s="80">
        <f>E14*O14</f>
        <v>0</v>
      </c>
    </row>
    <row r="15" spans="1:20" ht="32.450000000000003" customHeight="1" thickBot="1">
      <c r="A15" s="644"/>
      <c r="B15" s="645" t="s">
        <v>28</v>
      </c>
      <c r="C15" s="645"/>
      <c r="D15" s="645"/>
      <c r="E15" s="646"/>
      <c r="G15" t="s">
        <v>29</v>
      </c>
      <c r="H15" s="159">
        <f>SUM(H8:H14)</f>
        <v>0</v>
      </c>
      <c r="I15" t="s">
        <v>30</v>
      </c>
      <c r="J15" s="159">
        <f>SUM(J8:J14)</f>
        <v>0</v>
      </c>
      <c r="K15" t="s">
        <v>31</v>
      </c>
      <c r="L15" s="159">
        <f>SUM(L8:L14)</f>
        <v>0</v>
      </c>
      <c r="M15" t="s">
        <v>32</v>
      </c>
      <c r="N15" s="159">
        <f>SUM(N8:N14)</f>
        <v>0</v>
      </c>
      <c r="O15" t="s">
        <v>33</v>
      </c>
      <c r="P15" s="637">
        <f>SUM(P8:P14)</f>
        <v>0</v>
      </c>
    </row>
    <row r="16" spans="1:20" ht="35.450000000000003" customHeight="1">
      <c r="A16" s="167"/>
      <c r="P16" s="638"/>
    </row>
    <row r="17" spans="1:16" ht="42.95" customHeight="1" thickBot="1">
      <c r="A17" s="167"/>
      <c r="P17" s="638"/>
    </row>
    <row r="18" spans="1:16" ht="47.45" customHeight="1" thickBot="1">
      <c r="A18" s="653"/>
      <c r="B18" s="654" t="s">
        <v>34</v>
      </c>
      <c r="C18" s="645"/>
      <c r="D18" s="645"/>
      <c r="E18" s="646"/>
      <c r="G18" s="644" t="s">
        <v>8</v>
      </c>
      <c r="H18" s="646"/>
      <c r="I18" s="644" t="s">
        <v>35</v>
      </c>
      <c r="J18" s="645"/>
      <c r="K18" s="644" t="s">
        <v>10</v>
      </c>
      <c r="L18" s="645"/>
      <c r="M18" s="644" t="s">
        <v>11</v>
      </c>
      <c r="N18" s="645"/>
      <c r="O18" s="644" t="s">
        <v>12</v>
      </c>
      <c r="P18" s="646"/>
    </row>
    <row r="19" spans="1:16" ht="45.6" customHeight="1" thickBot="1">
      <c r="A19" s="647" t="s">
        <v>14</v>
      </c>
      <c r="B19" s="647" t="s">
        <v>15</v>
      </c>
      <c r="C19" s="647" t="s">
        <v>16</v>
      </c>
      <c r="D19" s="647" t="s">
        <v>36</v>
      </c>
      <c r="E19" s="647"/>
      <c r="G19" s="644" t="s">
        <v>37</v>
      </c>
      <c r="H19" s="646"/>
      <c r="I19" s="644" t="s">
        <v>37</v>
      </c>
      <c r="J19" s="646"/>
      <c r="K19" s="644" t="s">
        <v>37</v>
      </c>
      <c r="L19" s="646"/>
      <c r="M19" s="644" t="s">
        <v>37</v>
      </c>
      <c r="N19" s="646"/>
      <c r="O19" s="644" t="s">
        <v>37</v>
      </c>
      <c r="P19" s="646"/>
    </row>
    <row r="20" spans="1:16" ht="53.45" customHeight="1">
      <c r="A20" s="160" t="s">
        <v>38</v>
      </c>
      <c r="B20" s="161" t="s">
        <v>39</v>
      </c>
      <c r="C20" s="162" t="s">
        <v>40</v>
      </c>
      <c r="D20" s="72" t="s">
        <v>13</v>
      </c>
      <c r="E20" s="61"/>
      <c r="G20" s="163">
        <f>'BPU - 5 titulaires - PRESTATION'!N373</f>
        <v>568.38100000000009</v>
      </c>
      <c r="H20" s="80">
        <f>IF($D20=$T$5,G20,0)</f>
        <v>0</v>
      </c>
      <c r="I20" s="163">
        <f>'BPU - 5 titulaires - PRESTATION'!R373</f>
        <v>925.7600000000001</v>
      </c>
      <c r="J20" s="80">
        <f>IF($D20=$T$5,I20,0)</f>
        <v>0</v>
      </c>
      <c r="K20" s="163">
        <f>'BPU - 5 titulaires - PRESTATION'!V373</f>
        <v>602.48100000000011</v>
      </c>
      <c r="L20" s="80">
        <f>IF($D20=$T$5,K20,0)</f>
        <v>0</v>
      </c>
      <c r="M20" s="163">
        <f>'BPU - 5 titulaires - PRESTATION'!Z373</f>
        <v>437.8</v>
      </c>
      <c r="N20" s="80">
        <f>IF($D20=$T$5,M20,0)</f>
        <v>0</v>
      </c>
      <c r="O20" s="163">
        <f>'BPU - 5 titulaires - PRESTATION'!AD373</f>
        <v>536.80000000000007</v>
      </c>
      <c r="P20" s="80">
        <f>IF($D20=$T$5,O20,0)</f>
        <v>0</v>
      </c>
    </row>
    <row r="21" spans="1:16" ht="40.5" customHeight="1">
      <c r="A21" s="160" t="s">
        <v>41</v>
      </c>
      <c r="B21" s="161" t="s">
        <v>42</v>
      </c>
      <c r="C21" s="162" t="s">
        <v>43</v>
      </c>
      <c r="D21" s="72" t="s">
        <v>13</v>
      </c>
      <c r="E21" s="61"/>
      <c r="G21" s="164">
        <f>'BPU - 5 titulaires - PRESTATION'!N374</f>
        <v>4.4000000000000004E-2</v>
      </c>
      <c r="H21" s="80">
        <f>IF($D21=$T$5,H$15*G21,0)</f>
        <v>0</v>
      </c>
      <c r="I21" s="164">
        <f>'BPU - 5 titulaires - PRESTATION'!R374</f>
        <v>2.2000000000000002E-2</v>
      </c>
      <c r="J21" s="80">
        <f>IF($D21=$T$5,J$15*I21,0)</f>
        <v>0</v>
      </c>
      <c r="K21" s="164">
        <f>'BPU - 5 titulaires - PRESTATION'!V374</f>
        <v>0.11000000000000001</v>
      </c>
      <c r="L21" s="80">
        <f>IF($D21=$T$5,L$15*K21,0)</f>
        <v>0</v>
      </c>
      <c r="M21" s="164">
        <f>'BPU - 5 titulaires - PRESTATION'!Z374</f>
        <v>2.7500000000000004E-2</v>
      </c>
      <c r="N21" s="80">
        <f>IF($D21=$T$5,N$15*M21,0)</f>
        <v>0</v>
      </c>
      <c r="O21" s="164">
        <f>'BPU - 5 titulaires - PRESTATION'!AD374</f>
        <v>2.2000000000000002E-2</v>
      </c>
      <c r="P21" s="80">
        <f>IF($D21=$T$5,P$15*O21,0)</f>
        <v>0</v>
      </c>
    </row>
    <row r="22" spans="1:16" ht="40.5" customHeight="1">
      <c r="A22" s="160" t="s">
        <v>44</v>
      </c>
      <c r="B22" s="161" t="s">
        <v>45</v>
      </c>
      <c r="C22" s="162" t="s">
        <v>43</v>
      </c>
      <c r="D22" s="72" t="s">
        <v>13</v>
      </c>
      <c r="E22" s="61"/>
      <c r="G22" s="164">
        <f>'BPU - 5 titulaires - PRESTATION'!N375</f>
        <v>5.5000000000000007E-2</v>
      </c>
      <c r="H22" s="80">
        <f>IF($D22=$T$5,H$15*G22,0)</f>
        <v>0</v>
      </c>
      <c r="I22" s="164">
        <f>'BPU - 5 titulaires - PRESTATION'!R375</f>
        <v>3.3000000000000002E-2</v>
      </c>
      <c r="J22" s="80">
        <f>IF($D22=$T$5,J$15*I22,0)</f>
        <v>0</v>
      </c>
      <c r="K22" s="164">
        <f>'BPU - 5 titulaires - PRESTATION'!V375</f>
        <v>0.22000000000000003</v>
      </c>
      <c r="L22" s="80">
        <f>IF($D22=$T$5,L$15*K22,0)</f>
        <v>0</v>
      </c>
      <c r="M22" s="164">
        <f>'BPU - 5 titulaires - PRESTATION'!Z375</f>
        <v>0.27500000000000002</v>
      </c>
      <c r="N22" s="80">
        <f>IF($D22=$T$5,N$15*M22,0)</f>
        <v>0</v>
      </c>
      <c r="O22" s="164">
        <f>'BPU - 5 titulaires - PRESTATION'!AD375</f>
        <v>0.19800000000000001</v>
      </c>
      <c r="P22" s="80">
        <f>IF($D22=$T$5,P$15*O22,0)</f>
        <v>0</v>
      </c>
    </row>
    <row r="23" spans="1:16" ht="32.1" customHeight="1">
      <c r="A23" s="160" t="s">
        <v>46</v>
      </c>
      <c r="B23" s="161" t="s">
        <v>47</v>
      </c>
      <c r="C23" s="162" t="s">
        <v>40</v>
      </c>
      <c r="D23" s="72" t="s">
        <v>13</v>
      </c>
      <c r="E23" s="61"/>
      <c r="G23" s="163">
        <f>'BPU - 5 titulaires - PRESTATION'!N394</f>
        <v>1085.5900000000001</v>
      </c>
      <c r="H23" s="80">
        <f>IF($D23=$T$5,G23,0)</f>
        <v>0</v>
      </c>
      <c r="I23" s="163">
        <f>'BPU - 5 titulaires - PRESTATION'!R394</f>
        <v>638.26400000000001</v>
      </c>
      <c r="J23" s="80">
        <f>IF($D23=$T$5,I23,0)</f>
        <v>0</v>
      </c>
      <c r="K23" s="163">
        <f>'BPU - 5 titulaires - PRESTATION'!V394</f>
        <v>452.83700000000005</v>
      </c>
      <c r="L23" s="80">
        <f>IF($D23=$T$5,K23,0)</f>
        <v>0</v>
      </c>
      <c r="M23" s="163">
        <f>'BPU - 5 titulaires - PRESTATION'!Z394</f>
        <v>489.50000000000006</v>
      </c>
      <c r="N23" s="80">
        <f>IF($D23=$T$5,M23,0)</f>
        <v>0</v>
      </c>
      <c r="O23" s="163">
        <f>'BPU - 5 titulaires - PRESTATION'!AD394</f>
        <v>613.80000000000007</v>
      </c>
      <c r="P23" s="80">
        <f>IF($D23=$T$5,O23,0)</f>
        <v>0</v>
      </c>
    </row>
    <row r="24" spans="1:16" ht="37.5" customHeight="1">
      <c r="A24" s="160" t="s">
        <v>48</v>
      </c>
      <c r="B24" s="161" t="s">
        <v>49</v>
      </c>
      <c r="C24" s="162" t="s">
        <v>43</v>
      </c>
      <c r="D24" s="72" t="s">
        <v>13</v>
      </c>
      <c r="E24" s="61"/>
      <c r="G24" s="164">
        <f>'BPU - 5 titulaires - PRESTATION'!N395</f>
        <v>0.55000000000000004</v>
      </c>
      <c r="H24" s="80">
        <f>IF($D24=$T$5,H$15*G24,0)</f>
        <v>0</v>
      </c>
      <c r="I24" s="164">
        <f>'BPU - 5 titulaires - PRESTATION'!R395</f>
        <v>0.19800000000000001</v>
      </c>
      <c r="J24" s="80">
        <f>IF($D24=$T$5,J$15*I24,0)</f>
        <v>0</v>
      </c>
      <c r="K24" s="164">
        <f>'BPU - 5 titulaires - PRESTATION'!V395</f>
        <v>2.2000000000000002E-2</v>
      </c>
      <c r="L24" s="80">
        <f>IF($D24=$T$5,L$15*K24,0)</f>
        <v>0</v>
      </c>
      <c r="M24" s="164">
        <f>'BPU - 5 titulaires - PRESTATION'!Z395</f>
        <v>1.1000000000000001E-2</v>
      </c>
      <c r="N24" s="80">
        <f>IF($D24=$T$5,N$15*M24,0)</f>
        <v>0</v>
      </c>
      <c r="O24" s="164">
        <f>'BPU - 5 titulaires - PRESTATION'!AD395</f>
        <v>0.16500000000000001</v>
      </c>
      <c r="P24" s="80">
        <f>IF($D24=$T$5,P$15*O24,0)</f>
        <v>0</v>
      </c>
    </row>
    <row r="25" spans="1:16" ht="36" customHeight="1">
      <c r="A25" s="160" t="s">
        <v>50</v>
      </c>
      <c r="B25" s="161" t="s">
        <v>51</v>
      </c>
      <c r="C25" s="162" t="s">
        <v>43</v>
      </c>
      <c r="D25" s="72" t="s">
        <v>13</v>
      </c>
      <c r="E25" s="61"/>
      <c r="G25" s="164">
        <f>'BPU - 5 titulaires - PRESTATION'!N396</f>
        <v>5.5000000000000007E-2</v>
      </c>
      <c r="H25" s="80">
        <f>IF($D25=$T$5,H$15*G25,0)</f>
        <v>0</v>
      </c>
      <c r="I25" s="164">
        <f>'BPU - 5 titulaires - PRESTATION'!R396</f>
        <v>3.3000000000000002E-2</v>
      </c>
      <c r="J25" s="80">
        <f>IF($D25=$T$5,J$15*I25,0)</f>
        <v>0</v>
      </c>
      <c r="K25" s="164">
        <f>'BPU - 5 titulaires - PRESTATION'!V396</f>
        <v>2.2000000000000002E-2</v>
      </c>
      <c r="L25" s="80">
        <f>IF($D25=$T$5,L$15*K25,0)</f>
        <v>0</v>
      </c>
      <c r="M25" s="164">
        <f>'BPU - 5 titulaires - PRESTATION'!Z396</f>
        <v>1.1000000000000001E-2</v>
      </c>
      <c r="N25" s="80">
        <f>IF($D25=$T$5,N$15*M25,0)</f>
        <v>0</v>
      </c>
      <c r="O25" s="164">
        <f>'BPU - 5 titulaires - PRESTATION'!AD396</f>
        <v>0.16500000000000001</v>
      </c>
      <c r="P25" s="80">
        <f>IF($D25=$T$5,P$15*O25,0)</f>
        <v>0</v>
      </c>
    </row>
    <row r="26" spans="1:16" ht="57.95" customHeight="1">
      <c r="A26" s="160" t="s">
        <v>52</v>
      </c>
      <c r="B26" s="161" t="s">
        <v>53</v>
      </c>
      <c r="C26" s="162" t="s">
        <v>43</v>
      </c>
      <c r="D26" s="72" t="s">
        <v>13</v>
      </c>
      <c r="E26" s="61"/>
      <c r="G26" s="164">
        <f>'BPU - 5 titulaires - PRESTATION'!N397</f>
        <v>6.6000000000000003E-2</v>
      </c>
      <c r="H26" s="80">
        <f>IF($D26=$T$5,H$15*G26,0)</f>
        <v>0</v>
      </c>
      <c r="I26" s="164">
        <f>'BPU - 5 titulaires - PRESTATION'!R397</f>
        <v>0.16500000000000001</v>
      </c>
      <c r="J26" s="80">
        <f>IF($D26=$T$5,J$15*I26,0)</f>
        <v>0</v>
      </c>
      <c r="K26" s="164">
        <f>'BPU - 5 titulaires - PRESTATION'!V397</f>
        <v>2.2000000000000002E-2</v>
      </c>
      <c r="L26" s="80">
        <f>IF($D26=$T$5,L$15*K26,0)</f>
        <v>0</v>
      </c>
      <c r="M26" s="164">
        <f>'BPU - 5 titulaires - PRESTATION'!Z397</f>
        <v>1.1000000000000001E-2</v>
      </c>
      <c r="N26" s="80">
        <f>IF($D26=$T$5,N$15*M26,0)</f>
        <v>0</v>
      </c>
      <c r="O26" s="164">
        <f>'BPU - 5 titulaires - PRESTATION'!AD397</f>
        <v>0.16500000000000001</v>
      </c>
      <c r="P26" s="80">
        <f>IF($D26=$T$5,P$15*O26,0)</f>
        <v>0</v>
      </c>
    </row>
    <row r="27" spans="1:16" ht="32.1" customHeight="1">
      <c r="A27" s="160" t="s">
        <v>54</v>
      </c>
      <c r="B27" s="161" t="s">
        <v>55</v>
      </c>
      <c r="C27" s="162" t="s">
        <v>43</v>
      </c>
      <c r="D27" s="72" t="s">
        <v>13</v>
      </c>
      <c r="E27" s="61"/>
      <c r="G27" s="164">
        <f>'BPU - 5 titulaires - PRESTATION'!N398</f>
        <v>3.3000000000000002E-2</v>
      </c>
      <c r="H27" s="80">
        <f>IF($D27=$T$5,H$15*G27,0)</f>
        <v>0</v>
      </c>
      <c r="I27" s="164">
        <f>'BPU - 5 titulaires - PRESTATION'!R398</f>
        <v>0.16500000000000001</v>
      </c>
      <c r="J27" s="80">
        <f>IF($D27=$T$5,J$15*I27,0)</f>
        <v>0</v>
      </c>
      <c r="K27" s="164">
        <f>'BPU - 5 titulaires - PRESTATION'!V398</f>
        <v>2.2000000000000002E-2</v>
      </c>
      <c r="L27" s="80">
        <f>IF($D27=$T$5,L$15*K27,0)</f>
        <v>0</v>
      </c>
      <c r="M27" s="164">
        <f>'BPU - 5 titulaires - PRESTATION'!Z398</f>
        <v>1.1000000000000001E-2</v>
      </c>
      <c r="N27" s="80">
        <f>IF($D27=$T$5,N$15*M27,0)</f>
        <v>0</v>
      </c>
      <c r="O27" s="164">
        <f>'BPU - 5 titulaires - PRESTATION'!AD398</f>
        <v>0.16500000000000001</v>
      </c>
      <c r="P27" s="80">
        <f>IF($D27=$T$5,P$15*O27,0)</f>
        <v>0</v>
      </c>
    </row>
    <row r="28" spans="1:16" ht="32.1" customHeight="1">
      <c r="A28" s="160" t="s">
        <v>56</v>
      </c>
      <c r="B28" s="161" t="s">
        <v>57</v>
      </c>
      <c r="C28" s="162" t="s">
        <v>43</v>
      </c>
      <c r="D28" s="72" t="s">
        <v>13</v>
      </c>
      <c r="E28" s="61"/>
      <c r="G28" s="164">
        <f>'BPU - 5 titulaires - PRESTATION'!N399</f>
        <v>4.4000000000000004E-2</v>
      </c>
      <c r="H28" s="80">
        <f>IF($D28=$T$5,H$15*G28,0)</f>
        <v>0</v>
      </c>
      <c r="I28" s="164">
        <f>'BPU - 5 titulaires - PRESTATION'!R399</f>
        <v>0.27500000000000002</v>
      </c>
      <c r="J28" s="80">
        <f>IF($D28=$T$5,J$15*I28,0)</f>
        <v>0</v>
      </c>
      <c r="K28" s="164">
        <f>'BPU - 5 titulaires - PRESTATION'!V399</f>
        <v>2.2000000000000002E-2</v>
      </c>
      <c r="L28" s="80">
        <f>IF($D28=$T$5,L$15*K28,0)</f>
        <v>0</v>
      </c>
      <c r="M28" s="164">
        <f>'BPU - 5 titulaires - PRESTATION'!Z399</f>
        <v>1.1000000000000001E-2</v>
      </c>
      <c r="N28" s="80">
        <f>IF($D28=$T$5,N$15*M28,0)</f>
        <v>0</v>
      </c>
      <c r="O28" s="164">
        <f>'BPU - 5 titulaires - PRESTATION'!AD399</f>
        <v>0.16500000000000001</v>
      </c>
      <c r="P28" s="80">
        <f>IF($D28=$T$5,P$15*O28,0)</f>
        <v>0</v>
      </c>
    </row>
    <row r="29" spans="1:16" ht="32.1" customHeight="1" thickBot="1">
      <c r="A29" s="167"/>
      <c r="P29" s="638"/>
    </row>
    <row r="30" spans="1:16" ht="32.1" customHeight="1" thickBot="1">
      <c r="A30" s="644"/>
      <c r="B30" s="645" t="s">
        <v>58</v>
      </c>
      <c r="C30" s="645"/>
      <c r="D30" s="645"/>
      <c r="E30" s="646"/>
      <c r="G30" t="s">
        <v>59</v>
      </c>
      <c r="H30" s="159">
        <f>SUM(H20:H28)</f>
        <v>0</v>
      </c>
      <c r="I30" t="s">
        <v>60</v>
      </c>
      <c r="J30" s="159">
        <f>SUM(J20:J28)</f>
        <v>0</v>
      </c>
      <c r="K30" t="s">
        <v>61</v>
      </c>
      <c r="L30" s="159">
        <f>SUM(L20:L28)</f>
        <v>0</v>
      </c>
      <c r="M30" t="s">
        <v>62</v>
      </c>
      <c r="N30" s="159">
        <f>SUM(N20:N28)</f>
        <v>0</v>
      </c>
      <c r="O30" t="s">
        <v>63</v>
      </c>
      <c r="P30" s="637">
        <f>SUM(P20:P28)</f>
        <v>0</v>
      </c>
    </row>
    <row r="31" spans="1:16" ht="30.6" customHeight="1" thickBot="1">
      <c r="A31" s="167"/>
      <c r="P31" s="638"/>
    </row>
    <row r="32" spans="1:16" ht="32.1" customHeight="1" thickBot="1">
      <c r="A32" s="644"/>
      <c r="B32" s="645" t="s">
        <v>64</v>
      </c>
      <c r="C32" s="645"/>
      <c r="D32" s="645"/>
      <c r="E32" s="646"/>
      <c r="G32" t="s">
        <v>65</v>
      </c>
      <c r="H32" s="159">
        <f>H30+H15</f>
        <v>0</v>
      </c>
      <c r="I32" t="s">
        <v>66</v>
      </c>
      <c r="J32" s="159">
        <f>J30+J15</f>
        <v>0</v>
      </c>
      <c r="K32" t="s">
        <v>67</v>
      </c>
      <c r="L32" s="159">
        <f>L30+L15</f>
        <v>0</v>
      </c>
      <c r="M32" t="s">
        <v>68</v>
      </c>
      <c r="N32" s="159">
        <f>N30+N15</f>
        <v>0</v>
      </c>
      <c r="O32" t="s">
        <v>69</v>
      </c>
      <c r="P32" s="637">
        <f>P30+P15</f>
        <v>0</v>
      </c>
    </row>
    <row r="33" spans="1:19" ht="33" customHeight="1" thickBot="1">
      <c r="A33" s="167"/>
      <c r="P33" s="638"/>
    </row>
    <row r="34" spans="1:19" ht="30.6" customHeight="1" thickBot="1">
      <c r="A34" s="653"/>
      <c r="B34" s="654" t="s">
        <v>70</v>
      </c>
      <c r="C34" s="645"/>
      <c r="D34" s="645"/>
      <c r="E34" s="646"/>
      <c r="G34" s="644" t="s">
        <v>8</v>
      </c>
      <c r="H34" s="646"/>
      <c r="I34" s="644" t="s">
        <v>35</v>
      </c>
      <c r="J34" s="646"/>
      <c r="K34" s="644" t="s">
        <v>10</v>
      </c>
      <c r="L34" s="646"/>
      <c r="M34" s="644" t="s">
        <v>11</v>
      </c>
      <c r="N34" s="646"/>
      <c r="O34" s="644" t="s">
        <v>12</v>
      </c>
      <c r="P34" s="646"/>
    </row>
    <row r="35" spans="1:19" ht="36.75" customHeight="1" thickBot="1">
      <c r="A35" s="647" t="s">
        <v>14</v>
      </c>
      <c r="B35" s="647" t="s">
        <v>15</v>
      </c>
      <c r="C35" s="647" t="s">
        <v>16</v>
      </c>
      <c r="D35" s="647"/>
      <c r="E35" s="647" t="s">
        <v>18</v>
      </c>
      <c r="G35" s="647" t="s">
        <v>19</v>
      </c>
      <c r="H35" s="647" t="s">
        <v>20</v>
      </c>
      <c r="I35" s="647" t="s">
        <v>19</v>
      </c>
      <c r="J35" s="647" t="s">
        <v>20</v>
      </c>
      <c r="K35" s="647" t="s">
        <v>19</v>
      </c>
      <c r="L35" s="647" t="s">
        <v>20</v>
      </c>
      <c r="M35" s="647" t="s">
        <v>19</v>
      </c>
      <c r="N35" s="647" t="s">
        <v>20</v>
      </c>
      <c r="O35" s="647" t="s">
        <v>19</v>
      </c>
      <c r="P35" s="647" t="s">
        <v>20</v>
      </c>
    </row>
    <row r="36" spans="1:19" ht="36.75" customHeight="1" thickBot="1">
      <c r="A36" s="644"/>
      <c r="B36" s="645" t="s">
        <v>71</v>
      </c>
      <c r="C36" s="645"/>
      <c r="D36" s="645"/>
      <c r="E36" s="646"/>
      <c r="G36" s="644" t="s">
        <v>8</v>
      </c>
      <c r="H36" s="646"/>
      <c r="I36" s="644" t="s">
        <v>35</v>
      </c>
      <c r="J36" s="645"/>
      <c r="K36" s="644" t="s">
        <v>10</v>
      </c>
      <c r="L36" s="645"/>
      <c r="M36" s="644" t="s">
        <v>11</v>
      </c>
      <c r="N36" s="645"/>
      <c r="O36" s="644" t="s">
        <v>12</v>
      </c>
      <c r="P36" s="646"/>
    </row>
    <row r="37" spans="1:19" ht="33" customHeight="1">
      <c r="A37" s="46" t="s">
        <v>72</v>
      </c>
      <c r="B37" s="662">
        <f>IFERROR(VLOOKUP(A37,'BPU - 5 titulaires - FOURNITURE'!A:C,2,FALSE),0)</f>
        <v>0</v>
      </c>
      <c r="C37" s="662">
        <f>IFERROR(VLOOKUP(A37,'BPU - 5 titulaires - FOURNITURE'!A:C,3,FALSE),0)</f>
        <v>0</v>
      </c>
      <c r="D37" s="663"/>
      <c r="E37" s="662"/>
      <c r="G37" s="82">
        <f>IFERROR(VLOOKUP(A37,'BPU - 5 titulaires - FOURNITURE'!A:Q,9,FALSE),0)</f>
        <v>0</v>
      </c>
      <c r="H37" s="80">
        <f>G37*E37</f>
        <v>0</v>
      </c>
      <c r="I37" s="81">
        <f>IFERROR(VLOOKUP(A37,'BPU - 5 titulaires - FOURNITURE'!A:Q,11,FALSE),0)</f>
        <v>0</v>
      </c>
      <c r="J37" s="81">
        <f>E37*I37</f>
        <v>0</v>
      </c>
      <c r="K37" s="80">
        <f>IFERROR(VLOOKUP(A37,'BPU - 5 titulaires - FOURNITURE'!A:Q,13,FALSE),0)</f>
        <v>0</v>
      </c>
      <c r="L37" s="81">
        <f>K37*E37</f>
        <v>0</v>
      </c>
      <c r="M37" s="80">
        <f>IFERROR(VLOOKUP(A37,'BPU - 5 titulaires - FOURNITURE'!A:Q,15,FALSE),0)</f>
        <v>0</v>
      </c>
      <c r="N37" s="81">
        <f>M37*E37</f>
        <v>0</v>
      </c>
      <c r="O37" s="81">
        <f>IFERROR(VLOOKUP(A37,'BPU - 5 titulaires - FOURNITURE'!A:Q,17,FALSE),0)</f>
        <v>0</v>
      </c>
      <c r="P37" s="80">
        <f>E37*O37</f>
        <v>0</v>
      </c>
    </row>
    <row r="38" spans="1:19" ht="32.1" customHeight="1" thickBot="1">
      <c r="A38" s="661" t="s">
        <v>72</v>
      </c>
      <c r="B38" s="662">
        <f>IFERROR(VLOOKUP(A38,'BPU - 5 titulaires - FOURNITURE'!A:C,2,FALSE),0)</f>
        <v>0</v>
      </c>
      <c r="C38" s="662">
        <f>IFERROR(VLOOKUP(A38,'BPU - 5 titulaires - FOURNITURE'!A:C,3,FALSE),0)</f>
        <v>0</v>
      </c>
      <c r="D38" s="663"/>
      <c r="E38" s="662"/>
      <c r="G38" s="82">
        <f>IFERROR(VLOOKUP(A38,'BPU - 5 titulaires - FOURNITURE'!A:Q,9,FALSE),0)</f>
        <v>0</v>
      </c>
      <c r="H38" s="80">
        <f>G38*E38</f>
        <v>0</v>
      </c>
      <c r="I38" s="81">
        <f>IFERROR(VLOOKUP(A38,'BPU - 5 titulaires - FOURNITURE'!A:Q,11,FALSE),0)</f>
        <v>0</v>
      </c>
      <c r="J38" s="81">
        <f>E38*I38</f>
        <v>0</v>
      </c>
      <c r="K38" s="80">
        <f>IFERROR(VLOOKUP(A38,'BPU - 5 titulaires - FOURNITURE'!A:Q,13,FALSE),0)</f>
        <v>0</v>
      </c>
      <c r="L38" s="81">
        <f>K38*E38</f>
        <v>0</v>
      </c>
      <c r="M38" s="80">
        <f>IFERROR(VLOOKUP(A38,'BPU - 5 titulaires - FOURNITURE'!A:Q,15,FALSE),0)</f>
        <v>0</v>
      </c>
      <c r="N38" s="81">
        <f>M38*E38</f>
        <v>0</v>
      </c>
      <c r="O38" s="81">
        <f>IFERROR(VLOOKUP(A38,'BPU - 5 titulaires - FOURNITURE'!A:Q,17,FALSE),0)</f>
        <v>0</v>
      </c>
      <c r="P38" s="80">
        <f>E38*O38</f>
        <v>0</v>
      </c>
    </row>
    <row r="39" spans="1:19" ht="76.5" customHeight="1" thickBot="1">
      <c r="A39" s="671"/>
      <c r="B39" s="671" t="s">
        <v>73</v>
      </c>
      <c r="C39" s="645"/>
      <c r="D39" s="645"/>
      <c r="E39" s="646"/>
      <c r="G39" s="647"/>
      <c r="H39" s="647"/>
      <c r="I39" s="647"/>
      <c r="J39" s="647"/>
      <c r="K39" s="647"/>
      <c r="L39" s="647"/>
      <c r="M39" s="647"/>
      <c r="N39" s="647"/>
      <c r="O39" s="647"/>
      <c r="P39" s="647"/>
    </row>
    <row r="40" spans="1:19" ht="54" customHeight="1" thickBot="1">
      <c r="A40" s="647" t="s">
        <v>74</v>
      </c>
      <c r="B40" s="647" t="s">
        <v>15</v>
      </c>
      <c r="C40" s="647" t="s">
        <v>16</v>
      </c>
      <c r="D40" s="647" t="s">
        <v>75</v>
      </c>
      <c r="E40" s="647" t="s">
        <v>18</v>
      </c>
      <c r="G40" s="647"/>
      <c r="H40" s="647"/>
      <c r="I40" s="647"/>
      <c r="J40" s="647"/>
      <c r="K40" s="647"/>
      <c r="L40" s="647"/>
      <c r="M40" s="647"/>
      <c r="N40" s="647"/>
      <c r="O40" s="647"/>
      <c r="P40" s="647"/>
    </row>
    <row r="41" spans="1:19" ht="45" customHeight="1">
      <c r="A41" s="52" t="s">
        <v>76</v>
      </c>
      <c r="B41" s="61"/>
      <c r="C41" s="61" t="s">
        <v>16</v>
      </c>
      <c r="D41" s="72"/>
      <c r="E41" s="61"/>
      <c r="G41" s="82">
        <f>IF($A41=$R$42,$D41*1.04,IF($A41=$R$43,$D41*1.08,0))</f>
        <v>0</v>
      </c>
      <c r="H41" s="80">
        <f>G41*$E41</f>
        <v>0</v>
      </c>
      <c r="I41" s="82">
        <f>IF($A41=$R$42,$D41*1.04,IF($A41=$R$43,$D41*1.08,0))</f>
        <v>0</v>
      </c>
      <c r="J41" s="80">
        <f>I41*$E41</f>
        <v>0</v>
      </c>
      <c r="K41" s="82">
        <f>IF($A41=$R$42,$D41*1.08,IF($A41=$R$43,$D41*1.12,0))</f>
        <v>0</v>
      </c>
      <c r="L41" s="80">
        <f>K41*$E41</f>
        <v>0</v>
      </c>
      <c r="M41" s="82">
        <f>IF($A41=$R$42,$D41*1.08,IF($A41=$R$43,$D41*1.12,0))</f>
        <v>0</v>
      </c>
      <c r="N41" s="80">
        <f>M41*$E41</f>
        <v>0</v>
      </c>
      <c r="O41" s="82">
        <f>IF($A41=$R$42,$D41*1.04,IF($A41=$R$43,$D41*1.08,0))</f>
        <v>0</v>
      </c>
      <c r="P41" s="80">
        <f>O41*$E41</f>
        <v>0</v>
      </c>
      <c r="R41" t="s">
        <v>76</v>
      </c>
      <c r="S41" t="s">
        <v>77</v>
      </c>
    </row>
    <row r="42" spans="1:19" ht="45" customHeight="1">
      <c r="A42" s="52" t="s">
        <v>76</v>
      </c>
      <c r="B42" s="61"/>
      <c r="C42" s="61" t="s">
        <v>16</v>
      </c>
      <c r="D42" s="72"/>
      <c r="E42" s="61"/>
      <c r="G42" s="82">
        <f>IF($A42=$R$42,$D42*1.04,IF($A42=$R$43,$D42*1.08,0))</f>
        <v>0</v>
      </c>
      <c r="H42" s="80">
        <f>G42*$E42</f>
        <v>0</v>
      </c>
      <c r="I42" s="82">
        <f>IF($A42=$R$42,$D42*1.04,IF($A42=$R$43,$D42*1.08,0))</f>
        <v>0</v>
      </c>
      <c r="J42" s="80">
        <f>I42*$E42</f>
        <v>0</v>
      </c>
      <c r="K42" s="82">
        <f>IF($A42=$R$42,$D42*1.08,IF($A42=$R$43,$D42*1.12,0))</f>
        <v>0</v>
      </c>
      <c r="L42" s="80">
        <f>K42*$E42</f>
        <v>0</v>
      </c>
      <c r="M42" s="82">
        <f>IF($A42=$R$42,$D42*1.08,IF($A42=$R$43,$D42*1.12,0))</f>
        <v>0</v>
      </c>
      <c r="N42" s="80">
        <f>M42*$E42</f>
        <v>0</v>
      </c>
      <c r="O42" s="82">
        <f>IF($A42=$R$42,$D42*1.04,IF($A42=$R$43,$D42*1.08,0))</f>
        <v>0</v>
      </c>
      <c r="P42" s="80">
        <f>O42*$E42</f>
        <v>0</v>
      </c>
      <c r="R42" t="s">
        <v>76</v>
      </c>
      <c r="S42" t="s">
        <v>77</v>
      </c>
    </row>
    <row r="43" spans="1:19" ht="33" customHeight="1" thickBot="1">
      <c r="A43" s="167"/>
      <c r="P43" s="638"/>
      <c r="R43" t="s">
        <v>78</v>
      </c>
      <c r="S43" t="s">
        <v>79</v>
      </c>
    </row>
    <row r="44" spans="1:19" ht="30.6" customHeight="1" thickBot="1">
      <c r="A44" s="644" t="s">
        <v>80</v>
      </c>
      <c r="B44" s="645"/>
      <c r="C44" s="645"/>
      <c r="D44" s="645"/>
      <c r="E44" s="646"/>
      <c r="G44" t="s">
        <v>81</v>
      </c>
      <c r="H44" s="159">
        <f>SUM(H37:H42)</f>
        <v>0</v>
      </c>
      <c r="I44" t="s">
        <v>82</v>
      </c>
      <c r="J44" s="159">
        <f>SUM(J37:J42)</f>
        <v>0</v>
      </c>
      <c r="K44" t="s">
        <v>83</v>
      </c>
      <c r="L44" s="159">
        <f>SUM(L37:L42)</f>
        <v>0</v>
      </c>
      <c r="M44" t="s">
        <v>84</v>
      </c>
      <c r="N44" s="159">
        <f>SUM(N37:N42)</f>
        <v>0</v>
      </c>
      <c r="O44" t="s">
        <v>85</v>
      </c>
      <c r="P44" s="637">
        <f>SUM(P37:P42)</f>
        <v>0</v>
      </c>
    </row>
    <row r="45" spans="1:19" ht="32.1" customHeight="1">
      <c r="A45" s="167"/>
      <c r="P45" s="638"/>
    </row>
    <row r="46" spans="1:19" ht="32.1" customHeight="1" thickBot="1">
      <c r="A46" s="167"/>
      <c r="P46" s="638"/>
    </row>
    <row r="47" spans="1:19" ht="33" customHeight="1" thickBot="1">
      <c r="A47" s="167"/>
      <c r="G47" s="644" t="s">
        <v>8</v>
      </c>
      <c r="H47" s="646"/>
      <c r="I47" s="644" t="s">
        <v>35</v>
      </c>
      <c r="J47" s="646"/>
      <c r="K47" s="644" t="s">
        <v>10</v>
      </c>
      <c r="L47" s="646"/>
      <c r="M47" s="644" t="s">
        <v>11</v>
      </c>
      <c r="N47" s="646"/>
      <c r="O47" s="644" t="s">
        <v>12</v>
      </c>
      <c r="P47" s="646"/>
    </row>
    <row r="48" spans="1:19" ht="42" customHeight="1" thickBot="1">
      <c r="A48" s="644" t="s">
        <v>86</v>
      </c>
      <c r="B48" s="645"/>
      <c r="C48" s="645"/>
      <c r="D48" s="645"/>
      <c r="E48" s="646"/>
      <c r="G48" t="s">
        <v>87</v>
      </c>
      <c r="H48" s="165">
        <f>H44+H32</f>
        <v>0</v>
      </c>
      <c r="I48" t="s">
        <v>88</v>
      </c>
      <c r="J48" s="165">
        <f>J44+J32</f>
        <v>0</v>
      </c>
      <c r="K48" t="s">
        <v>89</v>
      </c>
      <c r="L48" s="165">
        <f>L44+L32</f>
        <v>0</v>
      </c>
      <c r="M48" t="s">
        <v>90</v>
      </c>
      <c r="N48" s="165">
        <f>N44+N32</f>
        <v>0</v>
      </c>
      <c r="O48" t="s">
        <v>91</v>
      </c>
      <c r="P48" s="639">
        <f>P44+P32</f>
        <v>0</v>
      </c>
    </row>
    <row r="49" spans="1:16" ht="34.5" customHeight="1" thickBot="1">
      <c r="A49" s="640"/>
      <c r="B49" s="641"/>
      <c r="C49" s="641"/>
      <c r="D49" s="641"/>
      <c r="E49" s="641"/>
      <c r="F49" s="641"/>
      <c r="G49" s="641"/>
      <c r="H49" s="651" t="s">
        <v>8</v>
      </c>
      <c r="I49" s="641"/>
      <c r="J49" s="651" t="s">
        <v>35</v>
      </c>
      <c r="K49" s="641"/>
      <c r="L49" s="651" t="s">
        <v>10</v>
      </c>
      <c r="M49" s="641"/>
      <c r="N49" s="651" t="s">
        <v>11</v>
      </c>
      <c r="O49" s="641"/>
      <c r="P49" s="652" t="s">
        <v>12</v>
      </c>
    </row>
    <row r="50" spans="1:16" ht="38.450000000000003" customHeight="1" thickBot="1"/>
    <row r="51" spans="1:16" ht="69.95" customHeight="1" thickBot="1">
      <c r="A51" s="689" t="s">
        <v>92</v>
      </c>
      <c r="B51" s="690"/>
      <c r="C51" s="690"/>
      <c r="D51" s="691"/>
      <c r="F51" s="692" t="s">
        <v>93</v>
      </c>
      <c r="G51" s="693"/>
    </row>
    <row r="52" spans="1:16" ht="36" customHeight="1" thickBot="1">
      <c r="A52" s="670" t="s">
        <v>14</v>
      </c>
      <c r="B52" s="670" t="s">
        <v>15</v>
      </c>
      <c r="C52" s="670" t="s">
        <v>17</v>
      </c>
      <c r="D52" s="670" t="s">
        <v>18</v>
      </c>
      <c r="F52" s="670" t="s">
        <v>19</v>
      </c>
      <c r="G52" s="670" t="s">
        <v>20</v>
      </c>
    </row>
    <row r="53" spans="1:16" ht="29.25" customHeight="1">
      <c r="A53" s="72" t="s">
        <v>94</v>
      </c>
      <c r="B53" s="80">
        <f>IFERROR(VLOOKUP(A53,'BPU - NXO Data - prest + fourni'!$A$1:$E$300,2,FALSE),0)</f>
        <v>0</v>
      </c>
      <c r="C53" s="72" t="s">
        <v>5</v>
      </c>
      <c r="D53" s="61">
        <v>0</v>
      </c>
      <c r="F53" s="82">
        <f>IF(AND(LEFT(A53,1)="C",MID(A53,3,1)="."),0,IFERROR(IF(C53=$I$5,VLOOKUP(A53,'BPU - NXO Data - prest + fourni'!$A$2:$E$314,3,FALSE),IF(C53=$I$6,VLOOKUP(A53,'BPU - NXO Data - prest + fourni'!$A$2:$E$314,3,FALSE)*(1.5))),0))</f>
        <v>0</v>
      </c>
      <c r="G53" s="166">
        <f>F53*D53</f>
        <v>0</v>
      </c>
    </row>
    <row r="54" spans="1:16" ht="29.25" customHeight="1">
      <c r="A54" s="72" t="s">
        <v>94</v>
      </c>
      <c r="B54" s="80">
        <f>IFERROR(VLOOKUP(A54,'BPU - NXO Data - prest + fourni'!$A$1:$E$300,2,FALSE),0)</f>
        <v>0</v>
      </c>
      <c r="C54" s="72" t="s">
        <v>5</v>
      </c>
      <c r="D54" s="61">
        <v>0</v>
      </c>
      <c r="F54" s="82">
        <f>IF(AND(LEFT(A54,1)="C",MID(A54,3,1)="."),0,IFERROR(IF(C54=$I$5,VLOOKUP(A54,'BPU - NXO Data - prest + fourni'!$A$2:$E$314,3,FALSE),IF(C54=$I$6,VLOOKUP(A54,'BPU - NXO Data - prest + fourni'!$A$2:$E$314,3,FALSE)*(1.5))),0))</f>
        <v>0</v>
      </c>
      <c r="G54" s="166">
        <f>F54*D54</f>
        <v>0</v>
      </c>
    </row>
    <row r="55" spans="1:16" ht="31.5" customHeight="1" thickBot="1"/>
    <row r="56" spans="1:16" ht="33.75" customHeight="1" thickBot="1">
      <c r="A56" s="642" t="s">
        <v>95</v>
      </c>
      <c r="B56" s="659"/>
      <c r="C56" s="659"/>
      <c r="D56" s="643"/>
      <c r="G56" s="159">
        <f>SUM(G53:G54)</f>
        <v>0</v>
      </c>
    </row>
    <row r="57" spans="1:16" ht="33.75" customHeight="1" thickBot="1"/>
    <row r="58" spans="1:16" ht="72" customHeight="1" thickBot="1">
      <c r="A58" s="632"/>
      <c r="B58" s="656" t="s">
        <v>96</v>
      </c>
      <c r="C58" s="633"/>
      <c r="D58" s="633"/>
      <c r="E58" s="634"/>
      <c r="G58" s="632"/>
      <c r="H58" s="634"/>
    </row>
    <row r="59" spans="1:16" ht="36" customHeight="1" thickBot="1">
      <c r="A59" s="12" t="s">
        <v>14</v>
      </c>
      <c r="B59" s="12" t="s">
        <v>97</v>
      </c>
      <c r="C59" s="12" t="s">
        <v>15</v>
      </c>
      <c r="D59" s="12" t="s">
        <v>98</v>
      </c>
      <c r="E59" s="12" t="s">
        <v>18</v>
      </c>
      <c r="G59" s="12" t="s">
        <v>19</v>
      </c>
      <c r="H59" s="12" t="s">
        <v>20</v>
      </c>
    </row>
    <row r="60" spans="1:16" ht="30.75" customHeight="1">
      <c r="A60" s="72" t="s">
        <v>99</v>
      </c>
      <c r="B60" s="81" t="str">
        <f>IFERROR(VLOOKUP(A60,'BPU - fourniture RATP'!A:G,2,FALSE),0)</f>
        <v>VDIDI06TPV</v>
      </c>
      <c r="C60" s="80" t="str">
        <f>IFERROR(VLOOKUP(A60,'BPU - fourniture RATP'!A:G,3,FALSE),0)</f>
        <v>COFFRET TECHNIQUE TPV 600MM</v>
      </c>
      <c r="D60" s="80" t="str">
        <f>IFERROR(VLOOKUP(A60,'BPU - fourniture RATP'!A:G,6,FALSE),0)</f>
        <v>PE</v>
      </c>
      <c r="E60" s="61">
        <v>5</v>
      </c>
      <c r="G60" s="82">
        <f>IFERROR(VLOOKUP(A60,'BPU - fourniture RATP'!A:G,7,FALSE),0)</f>
        <v>2250.0052499999997</v>
      </c>
      <c r="H60" s="166">
        <f>G60*E60</f>
        <v>11250.026249999999</v>
      </c>
    </row>
    <row r="61" spans="1:16" ht="27.6" customHeight="1" thickBot="1">
      <c r="A61" s="72" t="s">
        <v>100</v>
      </c>
      <c r="B61" s="81">
        <f>IFERROR(VLOOKUP(A61,'BPU - fourniture RATP'!$A$2:$G$790,2,FALSE),0)</f>
        <v>0</v>
      </c>
      <c r="C61" s="80">
        <f>IFERROR(VLOOKUP(A61,'BPU - fourniture RATP'!$A$2:$G$790,3,FALSE),0)</f>
        <v>0</v>
      </c>
      <c r="D61" s="80">
        <f>IFERROR(VLOOKUP(A61,'BPU - fourniture RATP'!$A$2:$G$790,6,FALSE),0)</f>
        <v>0</v>
      </c>
      <c r="E61" s="61"/>
      <c r="G61" s="82">
        <f>IFERROR(VLOOKUP(A61,'BPU - fourniture RATP'!$A$2:$G$790,7,FALSE),0)</f>
        <v>0</v>
      </c>
      <c r="H61" s="166">
        <f t="shared" ref="H61" si="16">G61*E61</f>
        <v>0</v>
      </c>
    </row>
    <row r="62" spans="1:16" ht="26.45" customHeight="1" thickBot="1">
      <c r="A62" s="632" t="s">
        <v>101</v>
      </c>
      <c r="B62" s="633"/>
      <c r="C62" s="633"/>
      <c r="D62" s="633"/>
      <c r="E62" s="634"/>
      <c r="H62" s="159">
        <f>SUM(H60:H61)</f>
        <v>11250.026249999999</v>
      </c>
    </row>
    <row r="63" spans="1:16" ht="17.100000000000001" customHeight="1"/>
    <row r="64" spans="1:16" ht="33" customHeight="1" thickBot="1"/>
    <row r="65" spans="1:12" ht="84" customHeight="1" thickBot="1">
      <c r="A65" s="696" t="s">
        <v>102</v>
      </c>
      <c r="B65" s="697"/>
      <c r="C65" s="697"/>
      <c r="D65" s="697"/>
      <c r="E65" s="698"/>
      <c r="G65" s="699"/>
      <c r="H65" s="700"/>
      <c r="I65" s="700"/>
      <c r="J65" s="700"/>
      <c r="K65" s="700"/>
      <c r="L65" s="701"/>
    </row>
    <row r="66" spans="1:12" ht="30.6" thickBot="1">
      <c r="A66" s="664" t="s">
        <v>14</v>
      </c>
      <c r="B66" s="664" t="s">
        <v>15</v>
      </c>
      <c r="C66" s="664" t="s">
        <v>98</v>
      </c>
      <c r="D66" s="664" t="s">
        <v>17</v>
      </c>
      <c r="E66" s="665" t="s">
        <v>18</v>
      </c>
      <c r="G66" s="666" t="s">
        <v>103</v>
      </c>
      <c r="H66" s="664" t="s">
        <v>104</v>
      </c>
      <c r="I66" s="664" t="s">
        <v>105</v>
      </c>
      <c r="J66" s="664" t="s">
        <v>106</v>
      </c>
      <c r="K66" s="664" t="s">
        <v>107</v>
      </c>
      <c r="L66" s="664" t="s">
        <v>20</v>
      </c>
    </row>
    <row r="67" spans="1:12" ht="32.450000000000003" customHeight="1">
      <c r="A67" s="72" t="s">
        <v>108</v>
      </c>
      <c r="B67" s="80">
        <f>IFERROR(VLOOKUP(A67,'BPU - Marché PDS'!$A$10:$J$235,2,FALSE),0)</f>
        <v>0</v>
      </c>
      <c r="C67" s="631">
        <f>IFERROR(VLOOKUP(A67,'BPU - Marché PDS'!$A$10:$J$235,3,FALSE),0)</f>
        <v>0</v>
      </c>
      <c r="D67" s="72"/>
      <c r="E67" s="660"/>
      <c r="G67" s="631">
        <f>IFERROR(VLOOKUP(A67,'BPU - Marché PDS'!$A$10:$J$235,5,FALSE),0)</f>
        <v>0</v>
      </c>
      <c r="H67" s="631">
        <f>IFERROR(IF(D67=$N$3,VLOOKUP(A67,'BPU - Marché PDS'!$A$10:$J$235,6,FALSE),IF(D67=$N$4,VLOOKUP(A67,'BPU - Marché PDS'!$A$10:$J$235,8,FALSE))),0)</f>
        <v>0</v>
      </c>
      <c r="I67" s="82">
        <f t="shared" ref="I67" si="17">G67+H67</f>
        <v>0</v>
      </c>
      <c r="J67" s="82">
        <f>G67*E67</f>
        <v>0</v>
      </c>
      <c r="K67" s="82">
        <f t="shared" ref="K67" si="18">H67*E67</f>
        <v>0</v>
      </c>
      <c r="L67" s="166">
        <f t="shared" ref="L67" si="19">I67*E67</f>
        <v>0</v>
      </c>
    </row>
    <row r="68" spans="1:12" ht="32.450000000000003" customHeight="1">
      <c r="A68" s="72" t="s">
        <v>108</v>
      </c>
      <c r="B68" s="80">
        <f>IFERROR(VLOOKUP(A68,'BPU - Marché PDS'!$A$10:$J$235,2,FALSE),0)</f>
        <v>0</v>
      </c>
      <c r="C68" s="631">
        <f>IFERROR(VLOOKUP(A68,'BPU - Marché PDS'!$A$10:$J$235,3,FALSE),0)</f>
        <v>0</v>
      </c>
      <c r="D68" s="72"/>
      <c r="E68" s="660">
        <v>0</v>
      </c>
      <c r="G68" s="631">
        <f>IFERROR(VLOOKUP(A68,'BPU - Marché PDS'!$A$10:$J$235,5,FALSE),0)</f>
        <v>0</v>
      </c>
      <c r="H68" s="631">
        <f>IFERROR(IF(D68=$N$3,VLOOKUP(A68,'BPU - Marché PDS'!$A$10:$J$235,6,FALSE),IF(D68=$N$4,VLOOKUP(A68,'BPU - Marché PDS'!$A$10:$J$235,8,FALSE))),0)</f>
        <v>0</v>
      </c>
      <c r="I68" s="82">
        <f t="shared" ref="I68" si="20">G68+H68</f>
        <v>0</v>
      </c>
      <c r="J68" s="82">
        <f>G68*E68</f>
        <v>0</v>
      </c>
      <c r="K68" s="82">
        <f t="shared" ref="K68" si="21">H68*E68</f>
        <v>0</v>
      </c>
      <c r="L68" s="166">
        <f t="shared" ref="L68" si="22">I68*E68</f>
        <v>0</v>
      </c>
    </row>
    <row r="69" spans="1:12" ht="15" thickBot="1"/>
    <row r="70" spans="1:12" ht="31.5" customHeight="1" thickBot="1">
      <c r="A70" s="694" t="s">
        <v>101</v>
      </c>
      <c r="B70" s="695"/>
      <c r="C70" s="695"/>
      <c r="D70" s="695"/>
      <c r="E70" s="695"/>
      <c r="J70" s="159">
        <f>SUM(J66:J68)</f>
        <v>0</v>
      </c>
      <c r="K70" s="159">
        <f>SUM(K66:K68)</f>
        <v>0</v>
      </c>
      <c r="L70" s="159">
        <f>SUM(L66:L68)</f>
        <v>0</v>
      </c>
    </row>
    <row r="73" spans="1:12" ht="15" thickBot="1"/>
    <row r="74" spans="1:12">
      <c r="A74" s="443" t="s">
        <v>109</v>
      </c>
      <c r="B74" s="444" t="s">
        <v>110</v>
      </c>
      <c r="C74" s="437"/>
    </row>
    <row r="75" spans="1:12" ht="21.6" thickBot="1">
      <c r="A75" s="445"/>
      <c r="B75" s="446" t="s">
        <v>111</v>
      </c>
      <c r="C75" s="442" t="s">
        <v>112</v>
      </c>
    </row>
    <row r="76" spans="1:12" ht="20.45" thickBot="1">
      <c r="A76" s="438" t="s">
        <v>18</v>
      </c>
      <c r="B76" s="440" t="s">
        <v>113</v>
      </c>
      <c r="C76" s="441" t="e" cm="1">
        <f t="array" aca="1" ref="C76" ca="1">RIGHT(CELL("nomfichier",A1),LEN(CELL("nomfichier",A1))-FIND("]",CELL("nomfichier",A1)))</f>
        <v>#VALUE!</v>
      </c>
    </row>
    <row r="77" spans="1:12" ht="21" thickBot="1">
      <c r="A77" s="438">
        <v>1</v>
      </c>
      <c r="B77" s="168" t="s">
        <v>114</v>
      </c>
      <c r="C77" s="434">
        <f>IF(H48&gt;=MAX(H48,P48,J48,N48,L48), H44, IF(P48&gt;=MAX(H48,P48,J48,N48,L48), P44, IF(J48&gt;=MAX(H48,P48,J48,N48,L48), J44, IF(N48&gt;=MAX(H48,P48,J48,N48,L48), N44, IF(L48&gt;=MAX(H48,P48,J48,N48,L48), L44, "")))))</f>
        <v>0</v>
      </c>
    </row>
    <row r="78" spans="1:12" ht="30.6" customHeight="1" thickBot="1">
      <c r="A78" s="438">
        <v>1</v>
      </c>
      <c r="B78" s="168" t="s">
        <v>115</v>
      </c>
      <c r="C78" s="435">
        <f>IF(H48&gt;=MAX(H48,P48,J48,N48,L48), H15, IF(P48&gt;=MAX(H48,P48,J48,N48,L48), P15, IF(J48&gt;=MAX(H48,P48,J48,N48,L48), J15, IF(N48&gt;=MAX(H48,P48,J48,N48,L48), N15, IF(L48&gt;=MAX(H48,P48,J48,N48,L48), L15, "")))))</f>
        <v>0</v>
      </c>
    </row>
    <row r="79" spans="1:12" ht="33" customHeight="1" thickBot="1">
      <c r="A79" s="438">
        <v>1</v>
      </c>
      <c r="B79" s="168" t="s">
        <v>116</v>
      </c>
      <c r="C79" s="435">
        <f>IF(H48&gt;=MAX(H48,P48,J48,N48,L48), H30, IF(P48&gt;=MAX(H48,P48,J48,N48,L48), P30, IF(J48&gt;=MAX(H48,P48,J48,N48,L48), J30, IF(N48&gt;=MAX(H48,P48,J48,N48,L48), N30, IF(L48&gt;=MAX(H48,P48,J48,N48,L48), L30, "")))))</f>
        <v>0</v>
      </c>
    </row>
    <row r="80" spans="1:12" ht="33" customHeight="1" thickBot="1">
      <c r="A80" s="438">
        <v>1</v>
      </c>
      <c r="B80" s="168" t="s">
        <v>117</v>
      </c>
      <c r="C80" s="435">
        <f>H62</f>
        <v>11250.026249999999</v>
      </c>
    </row>
    <row r="81" spans="1:3" ht="32.1" customHeight="1" thickBot="1">
      <c r="A81" s="438">
        <v>1</v>
      </c>
      <c r="B81" s="168" t="s">
        <v>118</v>
      </c>
      <c r="C81" s="435">
        <f>G56</f>
        <v>0</v>
      </c>
    </row>
    <row r="82" spans="1:3" ht="32.1" customHeight="1" thickBot="1">
      <c r="A82" s="438">
        <v>1</v>
      </c>
      <c r="B82" s="433" t="s">
        <v>119</v>
      </c>
      <c r="C82" s="673"/>
    </row>
    <row r="83" spans="1:3" ht="33" customHeight="1" thickBot="1">
      <c r="A83" s="438">
        <v>1</v>
      </c>
      <c r="B83" s="433" t="s">
        <v>120</v>
      </c>
      <c r="C83" s="673">
        <f>L70</f>
        <v>0</v>
      </c>
    </row>
    <row r="84" spans="1:3" ht="32.1" customHeight="1" thickBot="1">
      <c r="A84" s="439">
        <v>1</v>
      </c>
      <c r="B84" s="657" t="s">
        <v>121</v>
      </c>
      <c r="C84" s="658">
        <f>C77+C78+C79+C80+C81+C82+C83</f>
        <v>11250.026249999999</v>
      </c>
    </row>
    <row r="85" spans="1:3" ht="32.1" customHeight="1"/>
    <row r="86" spans="1:3" ht="32.1" customHeight="1"/>
    <row r="87" spans="1:3" ht="32.1" customHeight="1"/>
    <row r="88" spans="1:3" ht="33" customHeight="1"/>
    <row r="89" spans="1:3" ht="33" customHeight="1"/>
    <row r="90" spans="1:3" ht="32.1" customHeight="1"/>
    <row r="91" spans="1:3" ht="33" customHeight="1"/>
    <row r="92" spans="1:3" ht="30.6" customHeight="1"/>
    <row r="93" spans="1:3" ht="32.1" customHeight="1"/>
    <row r="94" spans="1:3" ht="32.1" customHeight="1"/>
    <row r="95" spans="1:3" ht="30.6" customHeight="1"/>
    <row r="96" spans="1:3" ht="30.6" customHeight="1"/>
    <row r="97" ht="33" customHeight="1"/>
    <row r="98" ht="30.6" customHeight="1"/>
    <row r="99" ht="33" customHeight="1"/>
    <row r="100" ht="30.6" customHeight="1"/>
    <row r="101" ht="33" customHeight="1"/>
    <row r="102" ht="32.1" customHeight="1"/>
    <row r="103" ht="30.6" customHeight="1"/>
    <row r="104" ht="33" customHeight="1"/>
    <row r="105" ht="30.6" customHeight="1"/>
    <row r="106" ht="29.1" customHeight="1"/>
    <row r="107" ht="30.95" customHeight="1"/>
    <row r="120" ht="16.5" customHeight="1"/>
  </sheetData>
  <mergeCells count="5">
    <mergeCell ref="A51:D51"/>
    <mergeCell ref="F51:G51"/>
    <mergeCell ref="A70:E70"/>
    <mergeCell ref="A65:E65"/>
    <mergeCell ref="G65:L65"/>
  </mergeCells>
  <dataValidations count="5">
    <dataValidation type="list" allowBlank="1" showInputMessage="1" showErrorMessage="1" sqref="D20:D28" xr:uid="{E3516BCD-2592-402B-A132-085B9BE3BC13}">
      <formula1>$T$5:$T$6</formula1>
    </dataValidation>
    <dataValidation type="list" allowBlank="1" showInputMessage="1" showErrorMessage="1" sqref="D13:D14 D9:D10 D37:D38" xr:uid="{5E8FC2FB-C3C2-4182-A484-63CAE595E190}">
      <formula1>$T$2:$T$3</formula1>
    </dataValidation>
    <dataValidation type="list" allowBlank="1" showInputMessage="1" showErrorMessage="1" sqref="D67:D68" xr:uid="{7F91B45B-752E-4B77-8469-C1422DDEA408}">
      <formula1>$N$3:$N$4</formula1>
    </dataValidation>
    <dataValidation type="list" allowBlank="1" showInputMessage="1" showErrorMessage="1" sqref="C53:C54" xr:uid="{239BEB5C-8B18-43F4-97C9-7B162D46A4A3}">
      <formula1>$I$5:$I$6</formula1>
    </dataValidation>
    <dataValidation type="list" allowBlank="1" showInputMessage="1" showErrorMessage="1" sqref="A41:A42" xr:uid="{44941FE2-8DA5-426A-A85B-2EB681814D70}">
      <formula1>"M2,M3"</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7042" r:id="rId4" name="Button 2">
              <controlPr defaultSize="0" print="0" autoFill="0" autoPict="0" macro="[0]!SupprimerLignesAutomatiquesP">
                <anchor moveWithCells="1" sizeWithCells="1">
                  <from>
                    <xdr:col>1</xdr:col>
                    <xdr:colOff>1079500</xdr:colOff>
                    <xdr:row>5</xdr:row>
                    <xdr:rowOff>349250</xdr:rowOff>
                  </from>
                  <to>
                    <xdr:col>1</xdr:col>
                    <xdr:colOff>2165350</xdr:colOff>
                    <xdr:row>5</xdr:row>
                    <xdr:rowOff>736600</xdr:rowOff>
                  </to>
                </anchor>
              </controlPr>
            </control>
          </mc:Choice>
        </mc:AlternateContent>
        <mc:AlternateContent xmlns:mc="http://schemas.openxmlformats.org/markup-compatibility/2006">
          <mc:Choice Requires="x14">
            <control shapeId="87043" r:id="rId5" name="Button 3">
              <controlPr defaultSize="0" print="0" autoFill="0" autoPict="0" macro="[0]!AjouterNouvelleLignePersonaliseeP">
                <anchor moveWithCells="1" sizeWithCells="1">
                  <from>
                    <xdr:col>1</xdr:col>
                    <xdr:colOff>2190750</xdr:colOff>
                    <xdr:row>5</xdr:row>
                    <xdr:rowOff>336550</xdr:rowOff>
                  </from>
                  <to>
                    <xdr:col>1</xdr:col>
                    <xdr:colOff>3930650</xdr:colOff>
                    <xdr:row>5</xdr:row>
                    <xdr:rowOff>736600</xdr:rowOff>
                  </to>
                </anchor>
              </controlPr>
            </control>
          </mc:Choice>
        </mc:AlternateContent>
        <mc:AlternateContent xmlns:mc="http://schemas.openxmlformats.org/markup-compatibility/2006">
          <mc:Choice Requires="x14">
            <control shapeId="87044" r:id="rId6" name="Button 4">
              <controlPr defaultSize="0" print="0" autoFill="0" autoPict="0" macro="[0]!AjouterNouvelleLigneAutomatiqueF">
                <anchor moveWithCells="1" sizeWithCells="1">
                  <from>
                    <xdr:col>1</xdr:col>
                    <xdr:colOff>25400</xdr:colOff>
                    <xdr:row>35</xdr:row>
                    <xdr:rowOff>12700</xdr:rowOff>
                  </from>
                  <to>
                    <xdr:col>1</xdr:col>
                    <xdr:colOff>977900</xdr:colOff>
                    <xdr:row>35</xdr:row>
                    <xdr:rowOff>400050</xdr:rowOff>
                  </to>
                </anchor>
              </controlPr>
            </control>
          </mc:Choice>
        </mc:AlternateContent>
        <mc:AlternateContent xmlns:mc="http://schemas.openxmlformats.org/markup-compatibility/2006">
          <mc:Choice Requires="x14">
            <control shapeId="87045" r:id="rId7" name="Button 5">
              <controlPr defaultSize="0" print="0" autoFill="0" autoPict="0" macro="[0]!SupprimerLignesAutomatiquesF">
                <anchor moveWithCells="1" sizeWithCells="1">
                  <from>
                    <xdr:col>1</xdr:col>
                    <xdr:colOff>1022350</xdr:colOff>
                    <xdr:row>35</xdr:row>
                    <xdr:rowOff>12700</xdr:rowOff>
                  </from>
                  <to>
                    <xdr:col>1</xdr:col>
                    <xdr:colOff>1822450</xdr:colOff>
                    <xdr:row>35</xdr:row>
                    <xdr:rowOff>381000</xdr:rowOff>
                  </to>
                </anchor>
              </controlPr>
            </control>
          </mc:Choice>
        </mc:AlternateContent>
        <mc:AlternateContent xmlns:mc="http://schemas.openxmlformats.org/markup-compatibility/2006">
          <mc:Choice Requires="x14">
            <control shapeId="87046" r:id="rId8" name="Button 6">
              <controlPr defaultSize="0" print="0" autoFill="0" autoPict="0" macro="[0]!AjouterNouvelleLignePersonaliseeF">
                <anchor moveWithCells="1" sizeWithCells="1">
                  <from>
                    <xdr:col>1</xdr:col>
                    <xdr:colOff>1841500</xdr:colOff>
                    <xdr:row>35</xdr:row>
                    <xdr:rowOff>12700</xdr:rowOff>
                  </from>
                  <to>
                    <xdr:col>2</xdr:col>
                    <xdr:colOff>12700</xdr:colOff>
                    <xdr:row>35</xdr:row>
                    <xdr:rowOff>381000</xdr:rowOff>
                  </to>
                </anchor>
              </controlPr>
            </control>
          </mc:Choice>
        </mc:AlternateContent>
        <mc:AlternateContent xmlns:mc="http://schemas.openxmlformats.org/markup-compatibility/2006">
          <mc:Choice Requires="x14">
            <control shapeId="87049" r:id="rId9" name="Button 9">
              <controlPr defaultSize="0" print="0" autoFill="0" autoPict="0" macro="[0]!AjouterNouvelleLigneAutomatiqueEQ">
                <anchor moveWithCells="1" sizeWithCells="1">
                  <from>
                    <xdr:col>0</xdr:col>
                    <xdr:colOff>2184400</xdr:colOff>
                    <xdr:row>57</xdr:row>
                    <xdr:rowOff>488950</xdr:rowOff>
                  </from>
                  <to>
                    <xdr:col>1</xdr:col>
                    <xdr:colOff>1104900</xdr:colOff>
                    <xdr:row>57</xdr:row>
                    <xdr:rowOff>876300</xdr:rowOff>
                  </to>
                </anchor>
              </controlPr>
            </control>
          </mc:Choice>
        </mc:AlternateContent>
        <mc:AlternateContent xmlns:mc="http://schemas.openxmlformats.org/markup-compatibility/2006">
          <mc:Choice Requires="x14">
            <control shapeId="87054" r:id="rId10" name="Button 14">
              <controlPr defaultSize="0" print="0" autoFill="0" autoPict="0" macro="[0]!SupprimerLignesAutomatiquesEQ">
                <anchor moveWithCells="1" sizeWithCells="1">
                  <from>
                    <xdr:col>1</xdr:col>
                    <xdr:colOff>1143000</xdr:colOff>
                    <xdr:row>57</xdr:row>
                    <xdr:rowOff>495300</xdr:rowOff>
                  </from>
                  <to>
                    <xdr:col>1</xdr:col>
                    <xdr:colOff>2451100</xdr:colOff>
                    <xdr:row>57</xdr:row>
                    <xdr:rowOff>876300</xdr:rowOff>
                  </to>
                </anchor>
              </controlPr>
            </control>
          </mc:Choice>
        </mc:AlternateContent>
        <mc:AlternateContent xmlns:mc="http://schemas.openxmlformats.org/markup-compatibility/2006">
          <mc:Choice Requires="x14">
            <control shapeId="87055" r:id="rId11" name="Button 15">
              <controlPr defaultSize="0" print="0" autoFill="0" autoPict="0" macro="[0]!AjouterNouvelleLigneAutomatiquePF">
                <anchor moveWithCells="1" sizeWithCells="1">
                  <from>
                    <xdr:col>1</xdr:col>
                    <xdr:colOff>50800</xdr:colOff>
                    <xdr:row>50</xdr:row>
                    <xdr:rowOff>304800</xdr:rowOff>
                  </from>
                  <to>
                    <xdr:col>1</xdr:col>
                    <xdr:colOff>1035050</xdr:colOff>
                    <xdr:row>50</xdr:row>
                    <xdr:rowOff>844550</xdr:rowOff>
                  </to>
                </anchor>
              </controlPr>
            </control>
          </mc:Choice>
        </mc:AlternateContent>
        <mc:AlternateContent xmlns:mc="http://schemas.openxmlformats.org/markup-compatibility/2006">
          <mc:Choice Requires="x14">
            <control shapeId="87056" r:id="rId12" name="Button 16">
              <controlPr defaultSize="0" print="0" autoFill="0" autoPict="0" macro="[0]!SupprimerLignesAutomatiquesPF">
                <anchor moveWithCells="1" sizeWithCells="1">
                  <from>
                    <xdr:col>1</xdr:col>
                    <xdr:colOff>1047750</xdr:colOff>
                    <xdr:row>50</xdr:row>
                    <xdr:rowOff>311150</xdr:rowOff>
                  </from>
                  <to>
                    <xdr:col>1</xdr:col>
                    <xdr:colOff>2133600</xdr:colOff>
                    <xdr:row>50</xdr:row>
                    <xdr:rowOff>844550</xdr:rowOff>
                  </to>
                </anchor>
              </controlPr>
            </control>
          </mc:Choice>
        </mc:AlternateContent>
        <mc:AlternateContent xmlns:mc="http://schemas.openxmlformats.org/markup-compatibility/2006">
          <mc:Choice Requires="x14">
            <control shapeId="87057" r:id="rId13" name="Button 17">
              <controlPr defaultSize="0" print="0" autoFill="0" autoPict="0" macro="[0]!AjouterNouvelleLignePersonaliseePF">
                <anchor moveWithCells="1" sizeWithCells="1">
                  <from>
                    <xdr:col>1</xdr:col>
                    <xdr:colOff>2139950</xdr:colOff>
                    <xdr:row>50</xdr:row>
                    <xdr:rowOff>311150</xdr:rowOff>
                  </from>
                  <to>
                    <xdr:col>1</xdr:col>
                    <xdr:colOff>3181350</xdr:colOff>
                    <xdr:row>50</xdr:row>
                    <xdr:rowOff>844550</xdr:rowOff>
                  </to>
                </anchor>
              </controlPr>
            </control>
          </mc:Choice>
        </mc:AlternateContent>
        <mc:AlternateContent xmlns:mc="http://schemas.openxmlformats.org/markup-compatibility/2006">
          <mc:Choice Requires="x14">
            <control shapeId="87058" r:id="rId14" name="Button 18">
              <controlPr defaultSize="0" print="0" autoFill="0" autoPict="0" macro="[0]!AjouterNouvelleLignePersonaliseeEQ">
                <anchor moveWithCells="1" sizeWithCells="1">
                  <from>
                    <xdr:col>1</xdr:col>
                    <xdr:colOff>2463800</xdr:colOff>
                    <xdr:row>57</xdr:row>
                    <xdr:rowOff>488950</xdr:rowOff>
                  </from>
                  <to>
                    <xdr:col>1</xdr:col>
                    <xdr:colOff>3511550</xdr:colOff>
                    <xdr:row>57</xdr:row>
                    <xdr:rowOff>857250</xdr:rowOff>
                  </to>
                </anchor>
              </controlPr>
            </control>
          </mc:Choice>
        </mc:AlternateContent>
        <mc:AlternateContent xmlns:mc="http://schemas.openxmlformats.org/markup-compatibility/2006">
          <mc:Choice Requires="x14">
            <control shapeId="87063" r:id="rId15" name="Button 23">
              <controlPr defaultSize="0" print="0" autoFill="0" autoPict="0" macro="[0]!AjouterNouvelleLigneAutomatiqueP">
                <anchor moveWithCells="1" sizeWithCells="1">
                  <from>
                    <xdr:col>1</xdr:col>
                    <xdr:colOff>25400</xdr:colOff>
                    <xdr:row>5</xdr:row>
                    <xdr:rowOff>361950</xdr:rowOff>
                  </from>
                  <to>
                    <xdr:col>1</xdr:col>
                    <xdr:colOff>1054100</xdr:colOff>
                    <xdr:row>5</xdr:row>
                    <xdr:rowOff>723900</xdr:rowOff>
                  </to>
                </anchor>
              </controlPr>
            </control>
          </mc:Choice>
        </mc:AlternateContent>
        <mc:AlternateContent xmlns:mc="http://schemas.openxmlformats.org/markup-compatibility/2006">
          <mc:Choice Requires="x14">
            <control shapeId="87066" r:id="rId16" name="Button 26">
              <controlPr defaultSize="0" print="0" autoFill="0" autoPict="0" macro="[0]!AjouterNouvelleLigneAutomatiquePA">
                <anchor moveWithCells="1" sizeWithCells="1">
                  <from>
                    <xdr:col>1</xdr:col>
                    <xdr:colOff>25400</xdr:colOff>
                    <xdr:row>64</xdr:row>
                    <xdr:rowOff>577850</xdr:rowOff>
                  </from>
                  <to>
                    <xdr:col>1</xdr:col>
                    <xdr:colOff>1162050</xdr:colOff>
                    <xdr:row>64</xdr:row>
                    <xdr:rowOff>996950</xdr:rowOff>
                  </to>
                </anchor>
              </controlPr>
            </control>
          </mc:Choice>
        </mc:AlternateContent>
        <mc:AlternateContent xmlns:mc="http://schemas.openxmlformats.org/markup-compatibility/2006">
          <mc:Choice Requires="x14">
            <control shapeId="87067" r:id="rId17" name="Button 27">
              <controlPr defaultSize="0" print="0" autoFill="0" autoPict="0" macro="[0]!SupprimerLignesAutomatiquesPA">
                <anchor moveWithCells="1" sizeWithCells="1">
                  <from>
                    <xdr:col>1</xdr:col>
                    <xdr:colOff>1174750</xdr:colOff>
                    <xdr:row>64</xdr:row>
                    <xdr:rowOff>577850</xdr:rowOff>
                  </from>
                  <to>
                    <xdr:col>1</xdr:col>
                    <xdr:colOff>2774950</xdr:colOff>
                    <xdr:row>64</xdr:row>
                    <xdr:rowOff>984250</xdr:rowOff>
                  </to>
                </anchor>
              </controlPr>
            </control>
          </mc:Choice>
        </mc:AlternateContent>
        <mc:AlternateContent xmlns:mc="http://schemas.openxmlformats.org/markup-compatibility/2006">
          <mc:Choice Requires="x14">
            <control shapeId="87068" r:id="rId18" name="Button 28">
              <controlPr defaultSize="0" print="0" autoFill="0" autoPict="0" macro="[0]!AjouterNouvelleLignePersonaliseePA">
                <anchor moveWithCells="1" sizeWithCells="1">
                  <from>
                    <xdr:col>1</xdr:col>
                    <xdr:colOff>2794000</xdr:colOff>
                    <xdr:row>64</xdr:row>
                    <xdr:rowOff>552450</xdr:rowOff>
                  </from>
                  <to>
                    <xdr:col>2</xdr:col>
                    <xdr:colOff>158750</xdr:colOff>
                    <xdr:row>64</xdr:row>
                    <xdr:rowOff>984250</xdr:rowOff>
                  </to>
                </anchor>
              </controlPr>
            </control>
          </mc:Choice>
        </mc:AlternateContent>
        <mc:AlternateContent xmlns:mc="http://schemas.openxmlformats.org/markup-compatibility/2006">
          <mc:Choice Requires="x14">
            <control shapeId="87070" r:id="rId19" name="Button 30">
              <controlPr defaultSize="0" print="0" autoFill="0" autoPict="0" macro="[0]!AjouterNouvelleLigneAutomatiqueM2">
                <anchor moveWithCells="1" sizeWithCells="1">
                  <from>
                    <xdr:col>1</xdr:col>
                    <xdr:colOff>57150</xdr:colOff>
                    <xdr:row>38</xdr:row>
                    <xdr:rowOff>533400</xdr:rowOff>
                  </from>
                  <to>
                    <xdr:col>1</xdr:col>
                    <xdr:colOff>1009650</xdr:colOff>
                    <xdr:row>38</xdr:row>
                    <xdr:rowOff>920750</xdr:rowOff>
                  </to>
                </anchor>
              </controlPr>
            </control>
          </mc:Choice>
        </mc:AlternateContent>
        <mc:AlternateContent xmlns:mc="http://schemas.openxmlformats.org/markup-compatibility/2006">
          <mc:Choice Requires="x14">
            <control shapeId="87071" r:id="rId20" name="Button 31">
              <controlPr defaultSize="0" print="0" autoFill="0" autoPict="0" macro="[0]!SupprimerLignesAutomatiquesM2">
                <anchor moveWithCells="1" sizeWithCells="1">
                  <from>
                    <xdr:col>1</xdr:col>
                    <xdr:colOff>1035050</xdr:colOff>
                    <xdr:row>38</xdr:row>
                    <xdr:rowOff>533400</xdr:rowOff>
                  </from>
                  <to>
                    <xdr:col>1</xdr:col>
                    <xdr:colOff>1835150</xdr:colOff>
                    <xdr:row>38</xdr:row>
                    <xdr:rowOff>901700</xdr:rowOff>
                  </to>
                </anchor>
              </controlPr>
            </control>
          </mc:Choice>
        </mc:AlternateContent>
        <mc:AlternateContent xmlns:mc="http://schemas.openxmlformats.org/markup-compatibility/2006">
          <mc:Choice Requires="x14">
            <control shapeId="87072" r:id="rId21" name="Button 32">
              <controlPr defaultSize="0" print="0" autoFill="0" autoPict="0" macro="[0]!AjouterNouvelleLignePersonaliseeM2">
                <anchor moveWithCells="1" sizeWithCells="1">
                  <from>
                    <xdr:col>1</xdr:col>
                    <xdr:colOff>1866900</xdr:colOff>
                    <xdr:row>38</xdr:row>
                    <xdr:rowOff>533400</xdr:rowOff>
                  </from>
                  <to>
                    <xdr:col>2</xdr:col>
                    <xdr:colOff>38100</xdr:colOff>
                    <xdr:row>38</xdr:row>
                    <xdr:rowOff>901700</xdr:rowOff>
                  </to>
                </anchor>
              </controlPr>
            </control>
          </mc:Choice>
        </mc:AlternateContent>
        <mc:AlternateContent xmlns:mc="http://schemas.openxmlformats.org/markup-compatibility/2006">
          <mc:Choice Requires="x14">
            <control shapeId="87074" r:id="rId22" name="Button 34">
              <controlPr defaultSize="0" print="0" autoFill="0" autoPict="0" macro="[0]!AjouterNouvelleLigneAutomatiqueOPE">
                <anchor moveWithCells="1" sizeWithCells="1">
                  <from>
                    <xdr:col>1</xdr:col>
                    <xdr:colOff>25400</xdr:colOff>
                    <xdr:row>10</xdr:row>
                    <xdr:rowOff>361950</xdr:rowOff>
                  </from>
                  <to>
                    <xdr:col>1</xdr:col>
                    <xdr:colOff>1054100</xdr:colOff>
                    <xdr:row>10</xdr:row>
                    <xdr:rowOff>723900</xdr:rowOff>
                  </to>
                </anchor>
              </controlPr>
            </control>
          </mc:Choice>
        </mc:AlternateContent>
        <mc:AlternateContent xmlns:mc="http://schemas.openxmlformats.org/markup-compatibility/2006">
          <mc:Choice Requires="x14">
            <control shapeId="87075" r:id="rId23" name="Button 35">
              <controlPr defaultSize="0" print="0" autoFill="0" autoPict="0" macro="[0]!SupprimerLignesAutomatiquesOPE">
                <anchor moveWithCells="1" sizeWithCells="1">
                  <from>
                    <xdr:col>1</xdr:col>
                    <xdr:colOff>1079500</xdr:colOff>
                    <xdr:row>10</xdr:row>
                    <xdr:rowOff>349250</xdr:rowOff>
                  </from>
                  <to>
                    <xdr:col>1</xdr:col>
                    <xdr:colOff>2165350</xdr:colOff>
                    <xdr:row>10</xdr:row>
                    <xdr:rowOff>736600</xdr:rowOff>
                  </to>
                </anchor>
              </controlPr>
            </control>
          </mc:Choice>
        </mc:AlternateContent>
        <mc:AlternateContent xmlns:mc="http://schemas.openxmlformats.org/markup-compatibility/2006">
          <mc:Choice Requires="x14">
            <control shapeId="87076" r:id="rId24" name="Button 36">
              <controlPr defaultSize="0" print="0" autoFill="0" autoPict="0" macro="[0]!AjouterNouvelleLignePersonaliseeOPE">
                <anchor moveWithCells="1" sizeWithCells="1">
                  <from>
                    <xdr:col>1</xdr:col>
                    <xdr:colOff>2190750</xdr:colOff>
                    <xdr:row>10</xdr:row>
                    <xdr:rowOff>336550</xdr:rowOff>
                  </from>
                  <to>
                    <xdr:col>1</xdr:col>
                    <xdr:colOff>3930650</xdr:colOff>
                    <xdr:row>10</xdr:row>
                    <xdr:rowOff>736600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AEC576B-B5DC-4B9A-A54C-2E9FBB4F1BAC}">
          <x14:formula1>
            <xm:f>'BPU - 5 titulaires Taux horaire'!$A$4:$A$10</xm:f>
          </x14:formula1>
          <xm:sqref>A13:A14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9E2E5F-C01D-4BAC-BA2D-502A71879BE0}">
  <sheetPr codeName="Feuil2"/>
  <dimension ref="C2:C11"/>
  <sheetViews>
    <sheetView zoomScale="70" zoomScaleNormal="70" workbookViewId="0">
      <selection activeCell="E16" sqref="E16"/>
    </sheetView>
  </sheetViews>
  <sheetFormatPr defaultColWidth="11.42578125" defaultRowHeight="14.45"/>
  <cols>
    <col min="1" max="1" width="9.140625" style="436" bestFit="1" customWidth="1"/>
    <col min="2" max="2" width="28.140625" style="436" customWidth="1"/>
    <col min="3" max="3" width="26.5703125" style="436" customWidth="1"/>
    <col min="4" max="4" width="30" style="436" customWidth="1"/>
    <col min="5" max="5" width="18" style="436" customWidth="1"/>
    <col min="6" max="6" width="16.28515625" style="436" customWidth="1"/>
    <col min="7" max="9" width="14.5703125" style="436" bestFit="1" customWidth="1"/>
    <col min="10" max="16384" width="11.42578125" style="436"/>
  </cols>
  <sheetData>
    <row r="2" spans="3:3" ht="15" thickBot="1">
      <c r="C2" s="436" t="s">
        <v>121</v>
      </c>
    </row>
    <row r="3" spans="3:3" ht="24" thickTop="1">
      <c r="C3" s="667">
        <v>-1</v>
      </c>
    </row>
    <row r="4" spans="3:3" ht="23.45">
      <c r="C4" s="668">
        <v>-1</v>
      </c>
    </row>
    <row r="5" spans="3:3" ht="23.45">
      <c r="C5" s="668">
        <v>-1</v>
      </c>
    </row>
    <row r="6" spans="3:3" ht="23.45">
      <c r="C6" s="668">
        <v>-1</v>
      </c>
    </row>
    <row r="7" spans="3:3" ht="23.45">
      <c r="C7" s="668">
        <v>-1</v>
      </c>
    </row>
    <row r="8" spans="3:3" ht="23.45">
      <c r="C8" s="668">
        <v>-1</v>
      </c>
    </row>
    <row r="9" spans="3:3" ht="23.45">
      <c r="C9" s="668">
        <v>-1</v>
      </c>
    </row>
    <row r="10" spans="3:3" ht="24" thickBot="1">
      <c r="C10" s="669">
        <v>-1</v>
      </c>
    </row>
    <row r="11" spans="3:3" ht="15" thickTop="1"/>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05932-1E29-4CAE-9600-864D426C2344}">
  <sheetPr codeName="Feuil15"/>
  <dimension ref="B4:L31"/>
  <sheetViews>
    <sheetView zoomScale="70" zoomScaleNormal="70" workbookViewId="0">
      <selection activeCell="I24" sqref="I24"/>
    </sheetView>
  </sheetViews>
  <sheetFormatPr defaultColWidth="11.42578125" defaultRowHeight="14.45"/>
  <cols>
    <col min="2" max="2" width="44.42578125" bestFit="1" customWidth="1"/>
    <col min="3" max="3" width="23.140625" bestFit="1" customWidth="1"/>
    <col min="4" max="4" width="19.140625" customWidth="1"/>
    <col min="9" max="9" width="32.5703125" customWidth="1"/>
    <col min="10" max="10" width="30.42578125" customWidth="1"/>
    <col min="11" max="11" width="14.140625" customWidth="1"/>
    <col min="12" max="12" width="15" customWidth="1"/>
  </cols>
  <sheetData>
    <row r="4" spans="2:12" ht="15" thickBot="1">
      <c r="B4" s="300" t="s">
        <v>122</v>
      </c>
      <c r="C4" s="301" t="s">
        <v>123</v>
      </c>
      <c r="D4" s="302" t="s">
        <v>124</v>
      </c>
      <c r="E4" s="303" t="s">
        <v>125</v>
      </c>
    </row>
    <row r="5" spans="2:12" ht="31.5" customHeight="1" thickBot="1">
      <c r="B5" s="304" t="s">
        <v>126</v>
      </c>
      <c r="C5" s="305">
        <f>'FES et Prod - TRIM - vierge'!H42</f>
        <v>0</v>
      </c>
      <c r="D5" s="306">
        <f>'FES et Prod - TRIM - vierge'!$H$7</f>
        <v>620</v>
      </c>
      <c r="E5" s="307">
        <f>C5*D5</f>
        <v>0</v>
      </c>
      <c r="F5" s="167"/>
      <c r="I5" s="702" t="s">
        <v>127</v>
      </c>
      <c r="J5" s="703"/>
    </row>
    <row r="6" spans="2:12" ht="31.5" customHeight="1">
      <c r="B6" s="304" t="s">
        <v>128</v>
      </c>
      <c r="C6" s="308">
        <v>1</v>
      </c>
      <c r="D6" s="309">
        <f>'FES et Prod - TRIM - vierge'!I27+'FES et Prod - TRIM - vierge'!J27+'FES et Prod - TRIM - vierge'!J26+'FES et Prod - TRIM - vierge'!I26</f>
        <v>0</v>
      </c>
      <c r="E6" s="307">
        <f t="shared" ref="E6:E9" si="0">C6*D6</f>
        <v>0</v>
      </c>
      <c r="I6" s="310" t="s">
        <v>129</v>
      </c>
      <c r="J6" s="311" t="e">
        <v>#REF!</v>
      </c>
    </row>
    <row r="7" spans="2:12" ht="23.25" customHeight="1">
      <c r="B7" s="304" t="s">
        <v>130</v>
      </c>
      <c r="C7" s="308">
        <v>1</v>
      </c>
      <c r="D7" s="309">
        <f>'FES et Prod - TRIM - vierge'!I37+'FES et Prod - TRIM - vierge'!J37+'FES et Prod - TRIM - vierge'!I38+'FES et Prod - TRIM - vierge'!J38</f>
        <v>0</v>
      </c>
      <c r="E7" s="307">
        <f t="shared" si="0"/>
        <v>0</v>
      </c>
      <c r="I7" s="310" t="s">
        <v>131</v>
      </c>
      <c r="J7" s="312" t="e">
        <v>#REF!</v>
      </c>
    </row>
    <row r="8" spans="2:12" ht="23.25" customHeight="1">
      <c r="B8" s="313" t="s">
        <v>132</v>
      </c>
      <c r="C8" s="314">
        <f>'FES et Prod - TRIM - vierge'!H58</f>
        <v>0</v>
      </c>
      <c r="D8" s="306">
        <f>'FES et Prod - TRIM - vierge'!$H$7</f>
        <v>620</v>
      </c>
      <c r="E8" s="307">
        <f t="shared" si="0"/>
        <v>0</v>
      </c>
      <c r="I8" s="310" t="s">
        <v>133</v>
      </c>
      <c r="J8" s="312" t="e">
        <v>#REF!</v>
      </c>
    </row>
    <row r="9" spans="2:12" ht="15" thickBot="1">
      <c r="B9" s="313" t="s">
        <v>134</v>
      </c>
      <c r="C9" s="315">
        <v>1</v>
      </c>
      <c r="D9" s="309">
        <f>'FES et Prod - TRIM - vierge'!I57+'FES et Prod - TRIM - vierge'!J57</f>
        <v>0</v>
      </c>
      <c r="E9" s="307">
        <f t="shared" si="0"/>
        <v>0</v>
      </c>
      <c r="F9" s="167"/>
      <c r="I9" s="310" t="s">
        <v>135</v>
      </c>
      <c r="J9" s="312" t="e">
        <v>#REF!</v>
      </c>
    </row>
    <row r="10" spans="2:12" ht="15.95" thickBot="1">
      <c r="B10" s="316" t="s">
        <v>136</v>
      </c>
      <c r="C10" s="317"/>
      <c r="D10" s="317"/>
      <c r="E10" s="317"/>
      <c r="F10" s="167"/>
      <c r="I10" s="310" t="s">
        <v>137</v>
      </c>
      <c r="J10" s="312" t="e">
        <v>#REF!</v>
      </c>
    </row>
    <row r="11" spans="2:12" ht="15" thickBot="1">
      <c r="F11" s="318">
        <f>SUM(E5:E9)</f>
        <v>0</v>
      </c>
    </row>
    <row r="12" spans="2:12">
      <c r="B12" s="319" t="s">
        <v>138</v>
      </c>
      <c r="C12" s="320" t="s">
        <v>123</v>
      </c>
      <c r="D12" s="321" t="s">
        <v>124</v>
      </c>
      <c r="E12" s="322" t="s">
        <v>125</v>
      </c>
    </row>
    <row r="13" spans="2:12">
      <c r="B13" s="323" t="s">
        <v>139</v>
      </c>
      <c r="C13" s="324">
        <f>ROUND(SUM(C14:C16,C5)*0.05,0)</f>
        <v>8</v>
      </c>
      <c r="D13" s="325">
        <f>'FES et Prod - TRIM - vierge'!$H$7</f>
        <v>620</v>
      </c>
      <c r="E13" s="326">
        <f>C13*D13</f>
        <v>4960</v>
      </c>
      <c r="I13" t="s">
        <v>140</v>
      </c>
      <c r="J13" t="e">
        <f>(IF(J7&lt;25000,0,IF(J7&lt;50000,$D$27,J7*0.02)))</f>
        <v>#REF!</v>
      </c>
      <c r="K13" s="327" t="e">
        <f>ROUNDUP(J13/$D$27,0)</f>
        <v>#REF!</v>
      </c>
      <c r="L13" t="e">
        <f>IF(K13&lt;15,K13,15)</f>
        <v>#REF!</v>
      </c>
    </row>
    <row r="14" spans="2:12" ht="14.45" customHeight="1">
      <c r="B14" s="328" t="s">
        <v>141</v>
      </c>
      <c r="C14" s="329">
        <f>'FES et Prod - TRIM - vierge'!H18</f>
        <v>45</v>
      </c>
      <c r="D14" s="330">
        <f>'FES et Prod - TRIM - vierge'!$H$7</f>
        <v>620</v>
      </c>
      <c r="E14" s="331">
        <f t="shared" ref="E14" si="1">C14*D14</f>
        <v>27900</v>
      </c>
      <c r="I14" t="s">
        <v>142</v>
      </c>
      <c r="J14" t="e">
        <f>IF(J8&lt;25000,0,IF(J8&lt;50000,$D$27,J8*0.02))</f>
        <v>#REF!</v>
      </c>
      <c r="K14" s="327" t="e">
        <f>ROUNDUP(J14/$D$27,0)</f>
        <v>#REF!</v>
      </c>
      <c r="L14" t="e">
        <f>IF(K14&lt;15,K14,15)</f>
        <v>#REF!</v>
      </c>
    </row>
    <row r="15" spans="2:12">
      <c r="B15" s="332" t="s">
        <v>143</v>
      </c>
      <c r="C15" s="329">
        <f>'FES et Prod - TRIM - vierge'!H28-'FES et Prod - TRIM - vierge'!H27-'FES et Prod - TRIM - vierge'!H26</f>
        <v>112</v>
      </c>
      <c r="D15" s="330">
        <f>'FES et Prod - TRIM - vierge'!$H$7</f>
        <v>620</v>
      </c>
      <c r="E15" s="331">
        <f>C15*D15</f>
        <v>69440</v>
      </c>
      <c r="I15" t="s">
        <v>144</v>
      </c>
      <c r="J15" t="e">
        <f t="shared" ref="J15:J16" si="2">IF(J9&lt;25000,0,IF(J9&lt;50000,$D$27,J9*0.02))</f>
        <v>#REF!</v>
      </c>
      <c r="K15" s="327" t="e">
        <f t="shared" ref="K15:K16" si="3">ROUNDUP(J15/$D$27,0)</f>
        <v>#REF!</v>
      </c>
      <c r="L15" t="e">
        <f t="shared" ref="L15:L16" si="4">IF(K15&lt;15,K15,15)</f>
        <v>#REF!</v>
      </c>
    </row>
    <row r="16" spans="2:12">
      <c r="B16" s="333" t="s">
        <v>145</v>
      </c>
      <c r="C16" s="334">
        <f>'FES et Prod - TRIM - vierge'!H39-'FES et Prod - TRIM - vierge'!H38-'FES et Prod - TRIM - vierge'!H37</f>
        <v>0</v>
      </c>
      <c r="D16" s="330">
        <f>'FES et Prod - TRIM - vierge'!$H$7</f>
        <v>620</v>
      </c>
      <c r="E16" s="335">
        <f>C16*D16</f>
        <v>0</v>
      </c>
      <c r="I16" t="s">
        <v>146</v>
      </c>
      <c r="J16" t="e">
        <f t="shared" si="2"/>
        <v>#REF!</v>
      </c>
      <c r="K16" s="327" t="e">
        <f t="shared" si="3"/>
        <v>#REF!</v>
      </c>
      <c r="L16" t="e">
        <f t="shared" si="4"/>
        <v>#REF!</v>
      </c>
    </row>
    <row r="17" spans="2:6" ht="15" thickBot="1">
      <c r="B17" s="336"/>
      <c r="C17" s="337"/>
      <c r="D17" s="338">
        <f>'FES et Prod - TRIM - vierge'!$H$7</f>
        <v>620</v>
      </c>
      <c r="E17" s="339">
        <f>C17*D17</f>
        <v>0</v>
      </c>
    </row>
    <row r="18" spans="2:6" ht="15.95" thickBot="1">
      <c r="B18" s="316" t="s">
        <v>136</v>
      </c>
      <c r="C18" s="317"/>
      <c r="D18" s="317"/>
      <c r="E18" s="317"/>
    </row>
    <row r="19" spans="2:6" ht="15" thickBot="1">
      <c r="F19" s="318">
        <f>SUM(E13:E16)</f>
        <v>102300</v>
      </c>
    </row>
    <row r="21" spans="2:6">
      <c r="B21" s="300" t="s">
        <v>147</v>
      </c>
      <c r="C21" s="301" t="s">
        <v>148</v>
      </c>
      <c r="D21" s="302" t="s">
        <v>124</v>
      </c>
      <c r="E21" s="303" t="s">
        <v>125</v>
      </c>
    </row>
    <row r="22" spans="2:6">
      <c r="B22" s="323" t="s">
        <v>139</v>
      </c>
      <c r="C22" s="324" t="e">
        <f>ROUND(SUM(C23:C27)*0.05,0)</f>
        <v>#REF!</v>
      </c>
      <c r="D22" s="325">
        <f>'FES et Prod - TRIM - vierge'!$H$7</f>
        <v>620</v>
      </c>
      <c r="E22" s="326" t="e">
        <f>C22*D22</f>
        <v>#REF!</v>
      </c>
    </row>
    <row r="23" spans="2:6">
      <c r="B23" s="340" t="s">
        <v>149</v>
      </c>
      <c r="C23" s="329">
        <f>'FES et Prod - TRIM - vierge'!H12</f>
        <v>0</v>
      </c>
      <c r="D23" s="330">
        <f>'FES et Prod - TRIM - vierge'!$H$7</f>
        <v>620</v>
      </c>
      <c r="E23" s="331">
        <f>C23*D23</f>
        <v>0</v>
      </c>
    </row>
    <row r="24" spans="2:6">
      <c r="B24" s="340" t="s">
        <v>150</v>
      </c>
      <c r="C24" s="329">
        <f>'FES et Prod - TRIM - vierge'!H48-C5</f>
        <v>0</v>
      </c>
      <c r="D24" s="330">
        <f>'FES et Prod - TRIM - vierge'!$H$7</f>
        <v>620</v>
      </c>
      <c r="E24" s="331">
        <f>C24*D24</f>
        <v>0</v>
      </c>
    </row>
    <row r="25" spans="2:6">
      <c r="B25" s="340" t="s">
        <v>151</v>
      </c>
      <c r="C25" s="329">
        <f>'FES et Prod - TRIM - vierge'!H59-'FES et Prod - TRIM - vierge'!H58-'FES et Prod - TRIM - vierge'!H57</f>
        <v>0</v>
      </c>
      <c r="D25" s="330">
        <f>'FES et Prod - TRIM - vierge'!$H$7</f>
        <v>620</v>
      </c>
      <c r="E25" s="331"/>
    </row>
    <row r="26" spans="2:6">
      <c r="B26" s="340" t="s">
        <v>152</v>
      </c>
      <c r="C26" s="329">
        <f>'FES et Prod - TRIM - vierge'!H67</f>
        <v>0</v>
      </c>
      <c r="D26" s="330">
        <f>'FES et Prod - TRIM - vierge'!$H$7</f>
        <v>620</v>
      </c>
      <c r="E26" s="331"/>
    </row>
    <row r="27" spans="2:6" ht="15" thickBot="1">
      <c r="B27" s="341" t="s">
        <v>153</v>
      </c>
      <c r="C27" s="324" t="e">
        <f>L13+L14+L15+L16</f>
        <v>#REF!</v>
      </c>
      <c r="D27" s="325">
        <f>'FES et Prod - TRIM - vierge'!$H$7</f>
        <v>620</v>
      </c>
      <c r="E27" s="326" t="e">
        <f>C27*D27</f>
        <v>#REF!</v>
      </c>
    </row>
    <row r="28" spans="2:6" ht="15.95" thickBot="1">
      <c r="B28" s="316" t="s">
        <v>136</v>
      </c>
      <c r="C28" s="317"/>
      <c r="D28" s="317"/>
      <c r="E28" s="317"/>
    </row>
    <row r="29" spans="2:6" ht="15" thickBot="1">
      <c r="F29" s="318" t="e">
        <f>SUM(E22:E27)</f>
        <v>#REF!</v>
      </c>
    </row>
    <row r="30" spans="2:6" ht="15.95" thickBot="1">
      <c r="B30" s="316" t="s">
        <v>154</v>
      </c>
    </row>
    <row r="31" spans="2:6" ht="15" thickBot="1">
      <c r="F31" s="318" t="e">
        <f>F19+F29</f>
        <v>#REF!</v>
      </c>
    </row>
  </sheetData>
  <mergeCells count="1">
    <mergeCell ref="I5:J5"/>
  </mergeCells>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FCA7EC-A65B-4764-ABF0-1C8322D90E1D}">
  <sheetPr codeName="Feuil3">
    <tabColor rgb="FFFFFF00"/>
    <pageSetUpPr fitToPage="1"/>
  </sheetPr>
  <dimension ref="A1:BF68"/>
  <sheetViews>
    <sheetView zoomScale="50" zoomScaleNormal="50" workbookViewId="0">
      <pane ySplit="8" topLeftCell="A9" activePane="bottomLeft" state="frozenSplit"/>
      <selection pane="bottomLeft" sqref="A1:I1"/>
    </sheetView>
  </sheetViews>
  <sheetFormatPr defaultColWidth="11.42578125" defaultRowHeight="14.45"/>
  <cols>
    <col min="1" max="1" width="72.140625" style="189" bestFit="1" customWidth="1"/>
    <col min="2" max="2" width="35.85546875" style="189" bestFit="1" customWidth="1"/>
    <col min="3" max="8" width="12.5703125" style="189" customWidth="1"/>
    <col min="9" max="9" width="14" style="189" bestFit="1" customWidth="1"/>
    <col min="10" max="10" width="17.85546875" style="189" bestFit="1" customWidth="1"/>
    <col min="11" max="17" width="3.42578125" style="189" bestFit="1" customWidth="1"/>
    <col min="18" max="18" width="4.42578125" style="189" bestFit="1" customWidth="1"/>
    <col min="19" max="58" width="3.42578125" style="189" bestFit="1" customWidth="1"/>
    <col min="59" max="16384" width="11.42578125" style="189"/>
  </cols>
  <sheetData>
    <row r="1" spans="1:58" s="187" customFormat="1" ht="22.5">
      <c r="A1" s="705" t="s">
        <v>155</v>
      </c>
      <c r="B1" s="706"/>
      <c r="C1" s="706"/>
      <c r="D1" s="706"/>
      <c r="E1" s="706"/>
      <c r="F1" s="706"/>
      <c r="G1" s="706"/>
      <c r="H1" s="706"/>
      <c r="I1" s="707"/>
      <c r="J1" s="186" t="s">
        <v>156</v>
      </c>
      <c r="K1" s="704">
        <v>2022</v>
      </c>
      <c r="L1" s="704"/>
      <c r="M1" s="704"/>
      <c r="N1" s="704"/>
      <c r="O1" s="704">
        <v>2023</v>
      </c>
      <c r="P1" s="704"/>
      <c r="Q1" s="704"/>
      <c r="R1" s="704"/>
      <c r="S1" s="704">
        <v>2024</v>
      </c>
      <c r="T1" s="704"/>
      <c r="U1" s="704"/>
      <c r="V1" s="704"/>
      <c r="W1" s="704">
        <v>2025</v>
      </c>
      <c r="X1" s="704"/>
      <c r="Y1" s="704"/>
      <c r="Z1" s="704"/>
      <c r="AA1" s="704">
        <v>2026</v>
      </c>
      <c r="AB1" s="704"/>
      <c r="AC1" s="704"/>
      <c r="AD1" s="704"/>
      <c r="AE1" s="704">
        <v>2027</v>
      </c>
      <c r="AF1" s="704"/>
      <c r="AG1" s="704"/>
      <c r="AH1" s="704"/>
      <c r="AI1" s="704">
        <v>2028</v>
      </c>
      <c r="AJ1" s="704"/>
      <c r="AK1" s="704"/>
      <c r="AL1" s="704"/>
      <c r="AM1" s="704">
        <v>2029</v>
      </c>
      <c r="AN1" s="704"/>
      <c r="AO1" s="704"/>
      <c r="AP1" s="704"/>
      <c r="AQ1" s="704">
        <v>2030</v>
      </c>
      <c r="AR1" s="704"/>
      <c r="AS1" s="704"/>
      <c r="AT1" s="704"/>
      <c r="AU1" s="704">
        <v>2031</v>
      </c>
      <c r="AV1" s="704"/>
      <c r="AW1" s="704"/>
      <c r="AX1" s="704"/>
      <c r="AY1" s="704">
        <v>2032</v>
      </c>
      <c r="AZ1" s="704"/>
      <c r="BA1" s="704"/>
      <c r="BB1" s="704"/>
      <c r="BC1" s="704">
        <v>2033</v>
      </c>
      <c r="BD1" s="704"/>
      <c r="BE1" s="704"/>
      <c r="BF1" s="704"/>
    </row>
    <row r="2" spans="1:58" s="187" customFormat="1" ht="15.6">
      <c r="A2" s="188" t="s">
        <v>157</v>
      </c>
      <c r="B2" s="189"/>
      <c r="C2" s="189"/>
      <c r="D2" s="189"/>
      <c r="E2" s="189"/>
      <c r="F2" s="189"/>
      <c r="G2" s="189"/>
      <c r="H2" s="189"/>
      <c r="I2" s="189"/>
      <c r="J2" s="190" t="s">
        <v>143</v>
      </c>
      <c r="K2" s="191"/>
      <c r="L2" s="192"/>
      <c r="M2" s="192"/>
      <c r="N2" s="193"/>
      <c r="O2" s="191"/>
      <c r="P2" s="192"/>
      <c r="Q2" s="192"/>
      <c r="R2" s="193"/>
      <c r="S2" s="191"/>
      <c r="T2" s="192"/>
      <c r="U2" s="192"/>
      <c r="V2" s="193"/>
      <c r="W2" s="194"/>
      <c r="Z2" s="195"/>
      <c r="AA2" s="194"/>
      <c r="AD2" s="195"/>
      <c r="AE2" s="194"/>
      <c r="AH2" s="195"/>
      <c r="AI2" s="194"/>
      <c r="AL2" s="195"/>
      <c r="AM2" s="194"/>
      <c r="AP2" s="195"/>
      <c r="AQ2" s="194"/>
      <c r="AT2" s="195"/>
      <c r="AU2" s="194"/>
      <c r="AX2" s="195"/>
      <c r="AY2" s="196"/>
      <c r="AZ2" s="197"/>
      <c r="BA2" s="197"/>
      <c r="BB2" s="198"/>
      <c r="BC2" s="196"/>
      <c r="BD2" s="197"/>
      <c r="BE2" s="197"/>
      <c r="BF2" s="198"/>
    </row>
    <row r="3" spans="1:58" s="187" customFormat="1" ht="14.1">
      <c r="J3" s="190" t="s">
        <v>145</v>
      </c>
      <c r="K3" s="194"/>
      <c r="N3" s="195"/>
      <c r="O3" s="194"/>
      <c r="R3" s="195"/>
      <c r="S3" s="194"/>
      <c r="V3" s="195"/>
      <c r="W3" s="199"/>
      <c r="X3" s="200"/>
      <c r="Y3" s="200"/>
      <c r="Z3" s="201"/>
      <c r="AA3" s="199"/>
      <c r="AB3" s="200"/>
      <c r="AC3" s="200"/>
      <c r="AD3" s="201"/>
      <c r="AE3" s="199"/>
      <c r="AF3" s="200"/>
      <c r="AG3" s="200"/>
      <c r="AH3" s="201"/>
      <c r="AI3" s="194"/>
      <c r="AL3" s="195"/>
      <c r="AM3" s="194"/>
      <c r="AP3" s="195"/>
      <c r="AQ3" s="194"/>
      <c r="AT3" s="195"/>
      <c r="AU3" s="194"/>
      <c r="AX3" s="195"/>
      <c r="AY3" s="194"/>
      <c r="BB3" s="195"/>
      <c r="BC3" s="194"/>
      <c r="BF3" s="195"/>
    </row>
    <row r="4" spans="1:58" s="187" customFormat="1" ht="14.1">
      <c r="J4" s="190" t="s">
        <v>158</v>
      </c>
      <c r="K4" s="194"/>
      <c r="N4" s="195"/>
      <c r="O4" s="194"/>
      <c r="R4" s="195"/>
      <c r="S4" s="194"/>
      <c r="V4" s="195"/>
      <c r="W4" s="194"/>
      <c r="Z4" s="195"/>
      <c r="AA4" s="194"/>
      <c r="AD4" s="195"/>
      <c r="AE4" s="194"/>
      <c r="AH4" s="195"/>
      <c r="AI4" s="202"/>
      <c r="AJ4" s="203"/>
      <c r="AK4" s="203"/>
      <c r="AL4" s="204"/>
      <c r="AM4" s="202"/>
      <c r="AN4" s="203"/>
      <c r="AO4" s="203"/>
      <c r="AP4" s="204"/>
      <c r="AQ4" s="202"/>
      <c r="AR4" s="203"/>
      <c r="AS4" s="203"/>
      <c r="AT4" s="204"/>
      <c r="AU4" s="194"/>
      <c r="AX4" s="195"/>
      <c r="AY4" s="194"/>
      <c r="BB4" s="195"/>
      <c r="BC4" s="194"/>
      <c r="BF4" s="195"/>
    </row>
    <row r="5" spans="1:58" s="187" customFormat="1" ht="14.1">
      <c r="J5" s="190" t="s">
        <v>159</v>
      </c>
      <c r="K5" s="194"/>
      <c r="N5" s="195"/>
      <c r="O5" s="194"/>
      <c r="R5" s="195"/>
      <c r="S5" s="194"/>
      <c r="V5" s="195"/>
      <c r="W5" s="194"/>
      <c r="Z5" s="195"/>
      <c r="AA5" s="194"/>
      <c r="AD5" s="195"/>
      <c r="AE5" s="194"/>
      <c r="AH5" s="195"/>
      <c r="AI5" s="194"/>
      <c r="AL5" s="195"/>
      <c r="AM5" s="194"/>
      <c r="AP5" s="195"/>
      <c r="AQ5" s="194"/>
      <c r="AT5" s="195"/>
      <c r="AU5" s="205"/>
      <c r="AV5" s="206"/>
      <c r="AW5" s="206"/>
      <c r="AX5" s="207"/>
      <c r="AY5" s="205"/>
      <c r="AZ5" s="206"/>
      <c r="BA5" s="206"/>
      <c r="BB5" s="207"/>
      <c r="BC5" s="208"/>
      <c r="BD5" s="209"/>
      <c r="BE5" s="209"/>
      <c r="BF5" s="210"/>
    </row>
    <row r="6" spans="1:58" s="187" customFormat="1" ht="14.1">
      <c r="J6" s="190" t="s">
        <v>160</v>
      </c>
      <c r="K6" s="211"/>
      <c r="L6" s="212"/>
      <c r="M6" s="212"/>
      <c r="N6" s="213"/>
      <c r="O6" s="211"/>
      <c r="P6" s="212"/>
      <c r="Q6" s="212"/>
      <c r="R6" s="213"/>
      <c r="S6" s="211"/>
      <c r="T6" s="212"/>
      <c r="U6" s="212"/>
      <c r="V6" s="213"/>
      <c r="W6" s="211"/>
      <c r="X6" s="212"/>
      <c r="Y6" s="212"/>
      <c r="Z6" s="213"/>
      <c r="AA6" s="211"/>
      <c r="AB6" s="212"/>
      <c r="AC6" s="212"/>
      <c r="AD6" s="213"/>
      <c r="AE6" s="211"/>
      <c r="AF6" s="212"/>
      <c r="AG6" s="212"/>
      <c r="AH6" s="213"/>
      <c r="AI6" s="211"/>
      <c r="AJ6" s="212"/>
      <c r="AK6" s="212"/>
      <c r="AL6" s="213"/>
      <c r="AM6" s="211"/>
      <c r="AN6" s="212"/>
      <c r="AO6" s="212"/>
      <c r="AP6" s="213"/>
      <c r="AQ6" s="211"/>
      <c r="AR6" s="212"/>
      <c r="AS6" s="212"/>
      <c r="AT6" s="213"/>
      <c r="AU6" s="211"/>
      <c r="AV6" s="212"/>
      <c r="AW6" s="212"/>
      <c r="AX6" s="213"/>
      <c r="AY6" s="211"/>
      <c r="AZ6" s="212"/>
      <c r="BA6" s="212"/>
      <c r="BB6" s="213"/>
      <c r="BC6" s="211"/>
      <c r="BD6" s="212"/>
      <c r="BE6" s="212"/>
      <c r="BF6" s="213"/>
    </row>
    <row r="7" spans="1:58" ht="15.6">
      <c r="A7" s="214" t="s">
        <v>161</v>
      </c>
      <c r="B7" s="215"/>
      <c r="C7" s="215"/>
      <c r="D7" s="215"/>
      <c r="E7" s="215"/>
      <c r="F7" s="215"/>
      <c r="G7" s="215"/>
      <c r="H7" s="216">
        <v>620</v>
      </c>
      <c r="I7" s="215"/>
      <c r="J7" s="215"/>
      <c r="K7" s="713">
        <v>2022</v>
      </c>
      <c r="L7" s="713"/>
      <c r="M7" s="713"/>
      <c r="N7" s="713"/>
      <c r="O7" s="713">
        <v>2023</v>
      </c>
      <c r="P7" s="713"/>
      <c r="Q7" s="713"/>
      <c r="R7" s="713"/>
      <c r="S7" s="713">
        <v>2024</v>
      </c>
      <c r="T7" s="713"/>
      <c r="U7" s="713"/>
      <c r="V7" s="713"/>
      <c r="W7" s="714">
        <v>2025</v>
      </c>
      <c r="X7" s="714"/>
      <c r="Y7" s="714"/>
      <c r="Z7" s="714"/>
      <c r="AA7" s="714">
        <v>2026</v>
      </c>
      <c r="AB7" s="714"/>
      <c r="AC7" s="714"/>
      <c r="AD7" s="714"/>
      <c r="AE7" s="714">
        <v>2027</v>
      </c>
      <c r="AF7" s="714"/>
      <c r="AG7" s="714"/>
      <c r="AH7" s="714"/>
      <c r="AI7" s="715">
        <v>2028</v>
      </c>
      <c r="AJ7" s="715"/>
      <c r="AK7" s="715"/>
      <c r="AL7" s="715"/>
      <c r="AM7" s="715">
        <v>2029</v>
      </c>
      <c r="AN7" s="715"/>
      <c r="AO7" s="715"/>
      <c r="AP7" s="715"/>
      <c r="AQ7" s="715">
        <v>2030</v>
      </c>
      <c r="AR7" s="715"/>
      <c r="AS7" s="715"/>
      <c r="AT7" s="715"/>
      <c r="AU7" s="708">
        <v>2031</v>
      </c>
      <c r="AV7" s="708"/>
      <c r="AW7" s="708"/>
      <c r="AX7" s="708"/>
      <c r="AY7" s="708">
        <v>2032</v>
      </c>
      <c r="AZ7" s="708"/>
      <c r="BA7" s="708"/>
      <c r="BB7" s="708"/>
      <c r="BC7" s="709">
        <v>2033</v>
      </c>
      <c r="BD7" s="710"/>
      <c r="BE7" s="710"/>
      <c r="BF7" s="711"/>
    </row>
    <row r="8" spans="1:58" ht="27.95">
      <c r="A8" s="217" t="s">
        <v>162</v>
      </c>
      <c r="B8" s="218" t="s">
        <v>163</v>
      </c>
      <c r="C8" s="219" t="s">
        <v>164</v>
      </c>
      <c r="D8" s="219" t="s">
        <v>165</v>
      </c>
      <c r="E8" s="219" t="s">
        <v>166</v>
      </c>
      <c r="F8" s="219" t="s">
        <v>167</v>
      </c>
      <c r="G8" s="219" t="s">
        <v>168</v>
      </c>
      <c r="H8" s="218" t="s">
        <v>169</v>
      </c>
      <c r="I8" s="219" t="s">
        <v>170</v>
      </c>
      <c r="J8" s="219" t="s">
        <v>171</v>
      </c>
      <c r="K8" s="220" t="s">
        <v>172</v>
      </c>
      <c r="L8" s="220" t="s">
        <v>173</v>
      </c>
      <c r="M8" s="220" t="s">
        <v>174</v>
      </c>
      <c r="N8" s="220" t="s">
        <v>175</v>
      </c>
      <c r="O8" s="220" t="s">
        <v>172</v>
      </c>
      <c r="P8" s="220" t="s">
        <v>173</v>
      </c>
      <c r="Q8" s="220" t="s">
        <v>174</v>
      </c>
      <c r="R8" s="220" t="s">
        <v>175</v>
      </c>
      <c r="S8" s="220" t="s">
        <v>172</v>
      </c>
      <c r="T8" s="220" t="s">
        <v>173</v>
      </c>
      <c r="U8" s="220" t="s">
        <v>174</v>
      </c>
      <c r="V8" s="220" t="s">
        <v>175</v>
      </c>
      <c r="W8" s="221" t="s">
        <v>172</v>
      </c>
      <c r="X8" s="221" t="s">
        <v>173</v>
      </c>
      <c r="Y8" s="221" t="s">
        <v>174</v>
      </c>
      <c r="Z8" s="221" t="s">
        <v>175</v>
      </c>
      <c r="AA8" s="221" t="s">
        <v>172</v>
      </c>
      <c r="AB8" s="221" t="s">
        <v>173</v>
      </c>
      <c r="AC8" s="221" t="s">
        <v>174</v>
      </c>
      <c r="AD8" s="221" t="s">
        <v>175</v>
      </c>
      <c r="AE8" s="221" t="s">
        <v>172</v>
      </c>
      <c r="AF8" s="221" t="s">
        <v>173</v>
      </c>
      <c r="AG8" s="221" t="s">
        <v>174</v>
      </c>
      <c r="AH8" s="221" t="s">
        <v>175</v>
      </c>
      <c r="AI8" s="222" t="s">
        <v>172</v>
      </c>
      <c r="AJ8" s="222" t="s">
        <v>173</v>
      </c>
      <c r="AK8" s="222" t="s">
        <v>174</v>
      </c>
      <c r="AL8" s="222" t="s">
        <v>175</v>
      </c>
      <c r="AM8" s="222" t="s">
        <v>172</v>
      </c>
      <c r="AN8" s="222" t="s">
        <v>173</v>
      </c>
      <c r="AO8" s="222" t="s">
        <v>174</v>
      </c>
      <c r="AP8" s="222" t="s">
        <v>175</v>
      </c>
      <c r="AQ8" s="222" t="s">
        <v>172</v>
      </c>
      <c r="AR8" s="222" t="s">
        <v>173</v>
      </c>
      <c r="AS8" s="222" t="s">
        <v>174</v>
      </c>
      <c r="AT8" s="222" t="s">
        <v>175</v>
      </c>
      <c r="AU8" s="223" t="s">
        <v>172</v>
      </c>
      <c r="AV8" s="223" t="s">
        <v>173</v>
      </c>
      <c r="AW8" s="223" t="s">
        <v>174</v>
      </c>
      <c r="AX8" s="223" t="s">
        <v>175</v>
      </c>
      <c r="AY8" s="223" t="s">
        <v>172</v>
      </c>
      <c r="AZ8" s="223" t="s">
        <v>173</v>
      </c>
      <c r="BA8" s="223" t="s">
        <v>174</v>
      </c>
      <c r="BB8" s="223" t="s">
        <v>175</v>
      </c>
      <c r="BC8" s="224" t="s">
        <v>172</v>
      </c>
      <c r="BD8" s="224" t="s">
        <v>173</v>
      </c>
      <c r="BE8" s="224" t="s">
        <v>174</v>
      </c>
      <c r="BF8" s="224" t="s">
        <v>175</v>
      </c>
    </row>
    <row r="9" spans="1:58">
      <c r="A9" s="225"/>
      <c r="B9" s="225"/>
      <c r="C9" s="226"/>
      <c r="D9" s="226"/>
      <c r="E9" s="226"/>
      <c r="F9" s="226"/>
      <c r="G9" s="226"/>
      <c r="H9" s="227"/>
      <c r="I9" s="228"/>
      <c r="J9" s="228"/>
      <c r="K9" s="229"/>
      <c r="L9" s="230"/>
      <c r="M9" s="230"/>
      <c r="N9" s="226"/>
      <c r="O9" s="226"/>
      <c r="P9" s="226"/>
      <c r="Q9" s="226"/>
      <c r="R9" s="226"/>
      <c r="S9" s="226"/>
      <c r="T9" s="226"/>
      <c r="U9" s="226"/>
      <c r="V9" s="226"/>
      <c r="W9" s="226"/>
      <c r="X9" s="226"/>
      <c r="Y9" s="226"/>
      <c r="Z9" s="226"/>
      <c r="AA9" s="226"/>
      <c r="AB9" s="226"/>
      <c r="AC9" s="226"/>
      <c r="AD9" s="226"/>
      <c r="AE9" s="229"/>
      <c r="AF9" s="226"/>
      <c r="AG9" s="226"/>
      <c r="AH9" s="226"/>
      <c r="AI9" s="226"/>
      <c r="AJ9" s="226"/>
      <c r="AK9" s="226"/>
      <c r="AL9" s="226"/>
      <c r="AM9" s="226"/>
      <c r="AN9" s="226"/>
      <c r="AO9" s="226"/>
      <c r="AP9" s="226"/>
      <c r="AQ9" s="226"/>
      <c r="AR9" s="226"/>
      <c r="AS9" s="226"/>
      <c r="AT9" s="226"/>
      <c r="AU9" s="226"/>
      <c r="AV9" s="226"/>
      <c r="AW9" s="226"/>
      <c r="AX9" s="226"/>
      <c r="AY9" s="226"/>
      <c r="AZ9" s="226"/>
      <c r="BA9" s="226"/>
      <c r="BB9" s="226"/>
      <c r="BC9" s="226"/>
      <c r="BD9" s="226"/>
      <c r="BE9" s="226"/>
      <c r="BF9" s="226"/>
    </row>
    <row r="10" spans="1:58">
      <c r="A10" s="231" t="s">
        <v>176</v>
      </c>
      <c r="B10" s="232"/>
      <c r="C10" s="233"/>
      <c r="D10" s="233"/>
      <c r="E10" s="233"/>
      <c r="F10" s="233"/>
      <c r="G10" s="233"/>
      <c r="H10" s="234"/>
      <c r="I10" s="234"/>
      <c r="J10" s="235"/>
      <c r="K10" s="236"/>
      <c r="L10" s="237"/>
      <c r="M10" s="237"/>
      <c r="N10" s="237"/>
      <c r="O10" s="237"/>
      <c r="P10" s="237"/>
      <c r="Q10" s="237"/>
      <c r="R10" s="237"/>
      <c r="S10" s="237"/>
      <c r="T10" s="237"/>
      <c r="U10" s="237"/>
      <c r="V10" s="237"/>
      <c r="W10" s="237"/>
      <c r="X10" s="237"/>
      <c r="Y10" s="237"/>
      <c r="Z10" s="237"/>
      <c r="AA10" s="237"/>
      <c r="AB10" s="237"/>
      <c r="AC10" s="237"/>
      <c r="AD10" s="237"/>
      <c r="AE10" s="236"/>
      <c r="AF10" s="237"/>
      <c r="AG10" s="237"/>
      <c r="AH10" s="237"/>
      <c r="AI10" s="237"/>
      <c r="AJ10" s="237"/>
      <c r="AK10" s="237"/>
      <c r="AL10" s="237"/>
      <c r="AM10" s="237"/>
      <c r="AN10" s="237"/>
      <c r="AO10" s="237"/>
      <c r="AP10" s="237"/>
      <c r="AQ10" s="237"/>
      <c r="AR10" s="237"/>
      <c r="AS10" s="237"/>
      <c r="AT10" s="237"/>
      <c r="AU10" s="237"/>
      <c r="AV10" s="237"/>
      <c r="AW10" s="237"/>
      <c r="AX10" s="237"/>
      <c r="AY10" s="237"/>
      <c r="AZ10" s="237"/>
      <c r="BA10" s="237"/>
      <c r="BB10" s="237"/>
      <c r="BC10" s="237"/>
      <c r="BD10" s="237"/>
      <c r="BE10" s="237"/>
      <c r="BF10" s="237"/>
    </row>
    <row r="11" spans="1:58">
      <c r="A11" s="238" t="s">
        <v>177</v>
      </c>
      <c r="B11" s="239"/>
      <c r="C11" s="227"/>
      <c r="D11" s="227"/>
      <c r="E11" s="227"/>
      <c r="F11" s="227"/>
      <c r="G11" s="227"/>
      <c r="H11" s="227">
        <f>ROUNDUP(SUM(K11:BF11),1)</f>
        <v>0</v>
      </c>
      <c r="I11" s="228">
        <f>H11*$H$7</f>
        <v>0</v>
      </c>
      <c r="J11" s="228"/>
      <c r="K11" s="240"/>
      <c r="L11" s="241"/>
      <c r="M11" s="241"/>
      <c r="N11" s="241"/>
      <c r="O11" s="241"/>
      <c r="P11" s="241"/>
      <c r="Q11" s="241"/>
      <c r="R11" s="241"/>
      <c r="S11" s="242"/>
      <c r="T11" s="242"/>
      <c r="U11" s="242"/>
      <c r="V11" s="241"/>
      <c r="W11" s="243"/>
      <c r="X11" s="244"/>
      <c r="Y11" s="243"/>
      <c r="Z11" s="243"/>
      <c r="AA11" s="243"/>
      <c r="AB11" s="244"/>
      <c r="AC11" s="243"/>
      <c r="AD11" s="243"/>
      <c r="AE11" s="243"/>
      <c r="AF11" s="244"/>
      <c r="AG11" s="243"/>
      <c r="AH11" s="243"/>
      <c r="AI11" s="245"/>
      <c r="AJ11" s="245"/>
      <c r="AK11" s="245"/>
      <c r="AL11" s="245"/>
      <c r="AM11" s="245"/>
      <c r="AN11" s="245"/>
      <c r="AO11" s="245"/>
      <c r="AP11" s="245"/>
      <c r="AQ11" s="245"/>
      <c r="AR11" s="245"/>
      <c r="AS11" s="245"/>
      <c r="AT11" s="245"/>
      <c r="AU11" s="246"/>
      <c r="AV11" s="246"/>
      <c r="AW11" s="247"/>
      <c r="AX11" s="247"/>
      <c r="AY11" s="246"/>
      <c r="AZ11" s="246"/>
      <c r="BA11" s="247"/>
      <c r="BB11" s="247"/>
      <c r="BC11" s="246"/>
      <c r="BD11" s="246"/>
      <c r="BE11" s="247"/>
      <c r="BF11" s="247"/>
    </row>
    <row r="12" spans="1:58">
      <c r="A12" s="248" t="s">
        <v>178</v>
      </c>
      <c r="B12" s="249"/>
      <c r="C12" s="250"/>
      <c r="D12" s="250"/>
      <c r="E12" s="250"/>
      <c r="F12" s="250"/>
      <c r="G12" s="250"/>
      <c r="H12" s="251">
        <f>SUM(H11:H11)</f>
        <v>0</v>
      </c>
      <c r="I12" s="252">
        <f>SUM(I11:I11)</f>
        <v>0</v>
      </c>
      <c r="J12" s="252">
        <f>SUM(J11:J11)</f>
        <v>0</v>
      </c>
      <c r="K12" s="253"/>
      <c r="L12" s="254"/>
      <c r="M12" s="254"/>
      <c r="N12" s="253"/>
      <c r="O12" s="253"/>
      <c r="P12" s="253"/>
      <c r="Q12" s="253"/>
      <c r="R12" s="253"/>
      <c r="S12" s="253"/>
      <c r="T12" s="253"/>
      <c r="U12" s="253"/>
      <c r="V12" s="253"/>
      <c r="W12" s="253"/>
      <c r="X12" s="253"/>
      <c r="Y12" s="253"/>
      <c r="Z12" s="253"/>
      <c r="AA12" s="253"/>
      <c r="AB12" s="253"/>
      <c r="AC12" s="253"/>
      <c r="AD12" s="253"/>
      <c r="AE12" s="253"/>
      <c r="AF12" s="253"/>
      <c r="AG12" s="253"/>
      <c r="AH12" s="253"/>
      <c r="AI12" s="254"/>
      <c r="AJ12" s="254"/>
      <c r="AK12" s="253"/>
      <c r="AL12" s="253"/>
      <c r="AM12" s="253"/>
      <c r="AN12" s="253"/>
      <c r="AO12" s="253"/>
      <c r="AP12" s="253"/>
      <c r="AQ12" s="253"/>
      <c r="AR12" s="253"/>
      <c r="AS12" s="253"/>
      <c r="AT12" s="253"/>
      <c r="AU12" s="253"/>
      <c r="AV12" s="253"/>
      <c r="AW12" s="253"/>
      <c r="AX12" s="253"/>
      <c r="AY12" s="253"/>
      <c r="AZ12" s="253"/>
      <c r="BA12" s="253"/>
      <c r="BB12" s="253"/>
      <c r="BC12" s="253"/>
      <c r="BD12" s="253"/>
      <c r="BE12" s="253"/>
      <c r="BF12" s="253"/>
    </row>
    <row r="13" spans="1:58">
      <c r="A13" s="225"/>
      <c r="B13" s="225"/>
      <c r="C13" s="226"/>
      <c r="D13" s="226"/>
      <c r="E13" s="226"/>
      <c r="F13" s="226"/>
      <c r="G13" s="226"/>
      <c r="H13" s="227"/>
      <c r="I13" s="228"/>
      <c r="J13" s="228"/>
      <c r="K13" s="229"/>
      <c r="L13" s="230"/>
      <c r="M13" s="230"/>
      <c r="N13" s="226"/>
      <c r="O13" s="226"/>
      <c r="P13" s="226"/>
      <c r="Q13" s="226"/>
      <c r="R13" s="226"/>
      <c r="S13" s="226"/>
      <c r="T13" s="226"/>
      <c r="U13" s="226"/>
      <c r="V13" s="226"/>
      <c r="W13" s="226"/>
      <c r="X13" s="226"/>
      <c r="Y13" s="226"/>
      <c r="Z13" s="226"/>
      <c r="AA13" s="226"/>
      <c r="AB13" s="226"/>
      <c r="AC13" s="226"/>
      <c r="AD13" s="226"/>
      <c r="AE13" s="229"/>
      <c r="AF13" s="226"/>
      <c r="AG13" s="226"/>
      <c r="AH13" s="226"/>
      <c r="AI13" s="226"/>
      <c r="AJ13" s="226"/>
      <c r="AK13" s="226"/>
      <c r="AL13" s="226"/>
      <c r="AM13" s="226"/>
      <c r="AN13" s="226"/>
      <c r="AO13" s="226"/>
      <c r="AP13" s="226"/>
      <c r="AQ13" s="226"/>
      <c r="AR13" s="226"/>
      <c r="AS13" s="226"/>
      <c r="AT13" s="226"/>
      <c r="AU13" s="226"/>
      <c r="AV13" s="226"/>
      <c r="AW13" s="226"/>
      <c r="AX13" s="226"/>
      <c r="AY13" s="226"/>
      <c r="AZ13" s="226"/>
      <c r="BA13" s="226"/>
      <c r="BB13" s="226"/>
      <c r="BC13" s="226"/>
      <c r="BD13" s="226"/>
      <c r="BE13" s="226"/>
      <c r="BF13" s="226"/>
    </row>
    <row r="14" spans="1:58">
      <c r="A14" s="231" t="s">
        <v>179</v>
      </c>
      <c r="B14" s="232"/>
      <c r="C14" s="233"/>
      <c r="D14" s="233"/>
      <c r="E14" s="233"/>
      <c r="F14" s="233"/>
      <c r="G14" s="233"/>
      <c r="H14" s="234"/>
      <c r="I14" s="234"/>
      <c r="J14" s="237"/>
      <c r="K14" s="236"/>
      <c r="L14" s="255"/>
      <c r="M14" s="255"/>
      <c r="N14" s="237"/>
      <c r="O14" s="237"/>
      <c r="P14" s="237"/>
      <c r="Q14" s="237"/>
      <c r="R14" s="237"/>
      <c r="S14" s="237"/>
      <c r="T14" s="237"/>
      <c r="U14" s="237"/>
      <c r="V14" s="237"/>
      <c r="W14" s="237"/>
      <c r="X14" s="237"/>
      <c r="Y14" s="237"/>
      <c r="Z14" s="237"/>
      <c r="AA14" s="237"/>
      <c r="AB14" s="237"/>
      <c r="AC14" s="237"/>
      <c r="AD14" s="237"/>
      <c r="AE14" s="236"/>
      <c r="AF14" s="237"/>
      <c r="AG14" s="237"/>
      <c r="AH14" s="237"/>
      <c r="AI14" s="237"/>
      <c r="AJ14" s="237"/>
      <c r="AK14" s="237"/>
      <c r="AL14" s="237"/>
      <c r="AM14" s="237"/>
      <c r="AN14" s="237"/>
      <c r="AO14" s="237"/>
      <c r="AP14" s="237"/>
      <c r="AQ14" s="237"/>
      <c r="AR14" s="237"/>
      <c r="AS14" s="237"/>
      <c r="AT14" s="237"/>
      <c r="AU14" s="237"/>
      <c r="AV14" s="237"/>
      <c r="AW14" s="237"/>
      <c r="AX14" s="237"/>
      <c r="AY14" s="237"/>
      <c r="AZ14" s="237"/>
      <c r="BA14" s="237"/>
      <c r="BB14" s="237"/>
      <c r="BC14" s="237"/>
      <c r="BD14" s="237"/>
      <c r="BE14" s="237"/>
      <c r="BF14" s="237"/>
    </row>
    <row r="15" spans="1:58">
      <c r="A15" s="256" t="s">
        <v>180</v>
      </c>
      <c r="B15" s="257"/>
      <c r="C15" s="258"/>
      <c r="D15" s="258"/>
      <c r="E15" s="258"/>
      <c r="F15" s="258"/>
      <c r="G15" s="258"/>
      <c r="H15" s="259"/>
      <c r="I15" s="260">
        <f>H15*$H$7</f>
        <v>0</v>
      </c>
      <c r="J15" s="261"/>
      <c r="K15" s="258"/>
      <c r="L15" s="258"/>
      <c r="M15" s="258"/>
      <c r="N15" s="258"/>
      <c r="O15" s="258"/>
      <c r="P15" s="258"/>
      <c r="Q15" s="258"/>
      <c r="R15" s="258"/>
      <c r="S15" s="258"/>
      <c r="T15" s="258"/>
      <c r="U15" s="258"/>
      <c r="V15" s="258"/>
      <c r="W15" s="258"/>
      <c r="X15" s="258"/>
      <c r="Y15" s="258"/>
      <c r="Z15" s="258"/>
      <c r="AA15" s="258"/>
      <c r="AB15" s="258"/>
      <c r="AC15" s="258"/>
      <c r="AD15" s="258"/>
      <c r="AE15" s="258"/>
      <c r="AF15" s="258"/>
      <c r="AG15" s="258"/>
      <c r="AH15" s="258"/>
      <c r="AI15" s="258"/>
      <c r="AJ15" s="258"/>
      <c r="AK15" s="258"/>
      <c r="AL15" s="258"/>
      <c r="AM15" s="258"/>
      <c r="AN15" s="258"/>
      <c r="AO15" s="258"/>
      <c r="AP15" s="258"/>
      <c r="AQ15" s="258"/>
      <c r="AR15" s="258"/>
      <c r="AS15" s="258"/>
      <c r="AT15" s="258"/>
      <c r="AU15" s="258"/>
      <c r="AV15" s="258"/>
      <c r="AW15" s="258"/>
      <c r="AX15" s="258"/>
      <c r="AY15" s="258"/>
      <c r="AZ15" s="258"/>
      <c r="BA15" s="258"/>
      <c r="BB15" s="258"/>
      <c r="BC15" s="258"/>
      <c r="BD15" s="258"/>
      <c r="BE15" s="258"/>
      <c r="BF15" s="258"/>
    </row>
    <row r="16" spans="1:58">
      <c r="A16" s="256" t="s">
        <v>181</v>
      </c>
      <c r="B16" s="257"/>
      <c r="C16" s="258"/>
      <c r="D16" s="258"/>
      <c r="E16" s="258"/>
      <c r="F16" s="258"/>
      <c r="G16" s="258"/>
      <c r="H16" s="259">
        <v>45</v>
      </c>
      <c r="I16" s="260">
        <f>H16*$H$7</f>
        <v>27900</v>
      </c>
      <c r="J16" s="260"/>
      <c r="K16" s="258"/>
      <c r="L16" s="258"/>
      <c r="M16" s="258"/>
      <c r="N16" s="258"/>
      <c r="O16" s="258"/>
      <c r="P16" s="258"/>
      <c r="Q16" s="258"/>
      <c r="R16" s="258"/>
      <c r="S16" s="258"/>
      <c r="T16" s="258"/>
      <c r="U16" s="258"/>
      <c r="V16" s="258"/>
      <c r="W16" s="258"/>
      <c r="X16" s="258"/>
      <c r="Y16" s="258"/>
      <c r="Z16" s="258"/>
      <c r="AA16" s="258"/>
      <c r="AB16" s="258"/>
      <c r="AC16" s="258"/>
      <c r="AD16" s="258"/>
      <c r="AE16" s="258"/>
      <c r="AF16" s="258"/>
      <c r="AG16" s="258"/>
      <c r="AH16" s="258"/>
      <c r="AI16" s="258"/>
      <c r="AJ16" s="258"/>
      <c r="AK16" s="258"/>
      <c r="AL16" s="258"/>
      <c r="AM16" s="258"/>
      <c r="AN16" s="258"/>
      <c r="AO16" s="258"/>
      <c r="AP16" s="258"/>
      <c r="AQ16" s="258"/>
      <c r="AR16" s="258"/>
      <c r="AS16" s="258"/>
      <c r="AT16" s="258"/>
      <c r="AU16" s="258"/>
      <c r="AV16" s="258"/>
      <c r="AW16" s="258"/>
      <c r="AX16" s="258"/>
      <c r="AY16" s="258"/>
      <c r="AZ16" s="258"/>
      <c r="BA16" s="258"/>
      <c r="BB16" s="258"/>
      <c r="BC16" s="258"/>
      <c r="BD16" s="258"/>
      <c r="BE16" s="258"/>
      <c r="BF16" s="258"/>
    </row>
    <row r="17" spans="1:58" ht="27.95">
      <c r="A17" s="262" t="s">
        <v>182</v>
      </c>
      <c r="B17" s="257"/>
      <c r="C17" s="258"/>
      <c r="D17" s="258"/>
      <c r="E17" s="258"/>
      <c r="F17" s="258"/>
      <c r="G17" s="258"/>
      <c r="H17" s="259">
        <f>ROUNDUP(SUM(K17:BF17),1)</f>
        <v>0</v>
      </c>
      <c r="I17" s="260">
        <f>H17*$H$7</f>
        <v>0</v>
      </c>
      <c r="J17" s="260"/>
      <c r="K17" s="258"/>
      <c r="L17" s="258"/>
      <c r="M17" s="258"/>
      <c r="N17" s="258"/>
      <c r="O17" s="258"/>
      <c r="P17" s="258"/>
      <c r="Q17" s="258"/>
      <c r="R17" s="258"/>
      <c r="S17" s="258"/>
      <c r="T17" s="258"/>
      <c r="U17" s="258"/>
      <c r="V17" s="258"/>
      <c r="W17" s="258"/>
      <c r="X17" s="258"/>
      <c r="Y17" s="258"/>
      <c r="Z17" s="258"/>
      <c r="AA17" s="258"/>
      <c r="AB17" s="258"/>
      <c r="AC17" s="258"/>
      <c r="AD17" s="258"/>
      <c r="AE17" s="258"/>
      <c r="AF17" s="258"/>
      <c r="AG17" s="258"/>
      <c r="AH17" s="258"/>
      <c r="AI17" s="258"/>
      <c r="AJ17" s="258"/>
      <c r="AK17" s="258"/>
      <c r="AL17" s="258"/>
      <c r="AM17" s="258"/>
      <c r="AN17" s="258"/>
      <c r="AO17" s="258"/>
      <c r="AP17" s="258"/>
      <c r="AQ17" s="258"/>
      <c r="AR17" s="258"/>
      <c r="AS17" s="258"/>
      <c r="AT17" s="258"/>
      <c r="AU17" s="258"/>
      <c r="AV17" s="258"/>
      <c r="AW17" s="258"/>
      <c r="AX17" s="258"/>
      <c r="AY17" s="258"/>
      <c r="AZ17" s="258"/>
      <c r="BA17" s="258"/>
      <c r="BB17" s="258"/>
      <c r="BC17" s="258"/>
      <c r="BD17" s="258"/>
      <c r="BE17" s="258"/>
      <c r="BF17" s="258"/>
    </row>
    <row r="18" spans="1:58">
      <c r="A18" s="248" t="s">
        <v>183</v>
      </c>
      <c r="B18" s="249"/>
      <c r="C18" s="250"/>
      <c r="D18" s="250"/>
      <c r="E18" s="250"/>
      <c r="F18" s="250"/>
      <c r="G18" s="250"/>
      <c r="H18" s="251">
        <f>SUM(H15:H17)</f>
        <v>45</v>
      </c>
      <c r="I18" s="252">
        <f>SUM(I15:I17)</f>
        <v>27900</v>
      </c>
      <c r="J18" s="252">
        <f>SUM(J15:J17)</f>
        <v>0</v>
      </c>
      <c r="K18" s="253"/>
      <c r="L18" s="253"/>
      <c r="M18" s="253"/>
      <c r="N18" s="253"/>
      <c r="O18" s="253"/>
      <c r="P18" s="253"/>
      <c r="Q18" s="253"/>
      <c r="R18" s="253"/>
      <c r="S18" s="253"/>
      <c r="T18" s="253"/>
      <c r="U18" s="253"/>
      <c r="V18" s="253"/>
      <c r="W18" s="253"/>
      <c r="X18" s="253"/>
      <c r="Y18" s="253"/>
      <c r="Z18" s="253"/>
      <c r="AA18" s="253"/>
      <c r="AB18" s="253"/>
      <c r="AC18" s="253"/>
      <c r="AD18" s="253"/>
      <c r="AE18" s="253"/>
      <c r="AF18" s="253"/>
      <c r="AG18" s="253"/>
      <c r="AH18" s="253"/>
      <c r="AI18" s="253"/>
      <c r="AJ18" s="253"/>
      <c r="AK18" s="253"/>
      <c r="AL18" s="253"/>
      <c r="AM18" s="253"/>
      <c r="AN18" s="253"/>
      <c r="AO18" s="253"/>
      <c r="AP18" s="253"/>
      <c r="AQ18" s="253"/>
      <c r="AR18" s="253"/>
      <c r="AS18" s="253"/>
      <c r="AT18" s="253"/>
      <c r="AU18" s="253"/>
      <c r="AV18" s="253"/>
      <c r="AW18" s="253"/>
      <c r="AX18" s="253"/>
      <c r="AY18" s="253"/>
      <c r="AZ18" s="253"/>
      <c r="BA18" s="253"/>
      <c r="BB18" s="253"/>
      <c r="BC18" s="253"/>
      <c r="BD18" s="253"/>
      <c r="BE18" s="253"/>
      <c r="BF18" s="253"/>
    </row>
    <row r="19" spans="1:58">
      <c r="A19" s="225"/>
      <c r="B19" s="225"/>
      <c r="C19" s="226"/>
      <c r="D19" s="226"/>
      <c r="E19" s="226"/>
      <c r="F19" s="226"/>
      <c r="G19" s="226"/>
      <c r="H19" s="227"/>
      <c r="I19" s="228"/>
      <c r="J19" s="228"/>
      <c r="K19" s="229"/>
      <c r="L19" s="230"/>
      <c r="M19" s="230"/>
      <c r="N19" s="226"/>
      <c r="O19" s="226"/>
      <c r="P19" s="226"/>
      <c r="Q19" s="226"/>
      <c r="R19" s="226"/>
      <c r="S19" s="226"/>
      <c r="T19" s="226"/>
      <c r="U19" s="226"/>
      <c r="V19" s="226"/>
      <c r="W19" s="226"/>
      <c r="X19" s="226"/>
      <c r="Y19" s="226"/>
      <c r="Z19" s="226"/>
      <c r="AA19" s="226"/>
      <c r="AB19" s="226"/>
      <c r="AC19" s="226"/>
      <c r="AD19" s="226"/>
      <c r="AE19" s="229"/>
      <c r="AF19" s="226"/>
      <c r="AG19" s="226"/>
      <c r="AH19" s="226"/>
      <c r="AI19" s="226"/>
      <c r="AJ19" s="226"/>
      <c r="AK19" s="226"/>
      <c r="AL19" s="226"/>
      <c r="AM19" s="226"/>
      <c r="AN19" s="226"/>
      <c r="AO19" s="226"/>
      <c r="AP19" s="226"/>
      <c r="AQ19" s="226"/>
      <c r="AR19" s="226"/>
      <c r="AS19" s="226"/>
      <c r="AT19" s="226"/>
      <c r="AU19" s="226"/>
      <c r="AV19" s="226"/>
      <c r="AW19" s="226"/>
      <c r="AX19" s="226"/>
      <c r="AY19" s="226"/>
      <c r="AZ19" s="226"/>
      <c r="BA19" s="226"/>
      <c r="BB19" s="226"/>
      <c r="BC19" s="226"/>
      <c r="BD19" s="226"/>
      <c r="BE19" s="226"/>
      <c r="BF19" s="226"/>
    </row>
    <row r="20" spans="1:58">
      <c r="A20" s="231" t="s">
        <v>184</v>
      </c>
      <c r="B20" s="232"/>
      <c r="C20" s="233"/>
      <c r="D20" s="233"/>
      <c r="E20" s="233"/>
      <c r="F20" s="233"/>
      <c r="G20" s="233"/>
      <c r="H20" s="234"/>
      <c r="I20" s="234"/>
      <c r="J20" s="237"/>
      <c r="K20" s="236"/>
      <c r="L20" s="255"/>
      <c r="M20" s="255"/>
      <c r="N20" s="237"/>
      <c r="O20" s="237"/>
      <c r="P20" s="237"/>
      <c r="Q20" s="237"/>
      <c r="R20" s="237"/>
      <c r="S20" s="237"/>
      <c r="T20" s="237"/>
      <c r="U20" s="237"/>
      <c r="V20" s="237"/>
      <c r="W20" s="237"/>
      <c r="X20" s="237"/>
      <c r="Y20" s="237"/>
      <c r="Z20" s="237"/>
      <c r="AA20" s="237"/>
      <c r="AB20" s="237"/>
      <c r="AC20" s="237"/>
      <c r="AD20" s="237"/>
      <c r="AE20" s="236"/>
      <c r="AF20" s="237"/>
      <c r="AG20" s="237"/>
      <c r="AH20" s="237"/>
      <c r="AI20" s="237"/>
      <c r="AJ20" s="237"/>
      <c r="AK20" s="237"/>
      <c r="AL20" s="237"/>
      <c r="AM20" s="237"/>
      <c r="AN20" s="237"/>
      <c r="AO20" s="237"/>
      <c r="AP20" s="237"/>
      <c r="AQ20" s="237"/>
      <c r="AR20" s="237"/>
      <c r="AS20" s="237"/>
      <c r="AT20" s="237"/>
      <c r="AU20" s="237"/>
      <c r="AV20" s="237"/>
      <c r="AW20" s="237"/>
      <c r="AX20" s="237"/>
      <c r="AY20" s="237"/>
      <c r="AZ20" s="237"/>
      <c r="BA20" s="237"/>
      <c r="BB20" s="237"/>
      <c r="BC20" s="237"/>
      <c r="BD20" s="237"/>
      <c r="BE20" s="237"/>
      <c r="BF20" s="237"/>
    </row>
    <row r="21" spans="1:58">
      <c r="A21" s="256" t="s">
        <v>180</v>
      </c>
      <c r="B21" s="257"/>
      <c r="C21" s="258"/>
      <c r="D21" s="258"/>
      <c r="E21" s="258"/>
      <c r="F21" s="258"/>
      <c r="G21" s="258"/>
      <c r="H21" s="259">
        <f t="shared" ref="H21:H27" si="0">ROUNDUP(SUM(K21:BF21),1)</f>
        <v>0</v>
      </c>
      <c r="I21" s="260">
        <f t="shared" ref="I21:I27" si="1">H21*$H$7</f>
        <v>0</v>
      </c>
      <c r="J21" s="261"/>
      <c r="K21" s="258"/>
      <c r="L21" s="258"/>
      <c r="M21" s="258"/>
      <c r="N21" s="258"/>
      <c r="O21" s="258"/>
      <c r="P21" s="258"/>
      <c r="Q21" s="258"/>
      <c r="R21" s="258"/>
      <c r="S21" s="258"/>
      <c r="T21" s="258"/>
      <c r="U21" s="258"/>
      <c r="V21" s="258"/>
      <c r="W21" s="258"/>
      <c r="X21" s="258"/>
      <c r="Y21" s="258"/>
      <c r="Z21" s="258"/>
      <c r="AA21" s="258"/>
      <c r="AB21" s="258"/>
      <c r="AC21" s="258"/>
      <c r="AD21" s="258"/>
      <c r="AE21" s="258"/>
      <c r="AF21" s="258"/>
      <c r="AG21" s="258"/>
      <c r="AH21" s="258"/>
      <c r="AI21" s="258"/>
      <c r="AJ21" s="258"/>
      <c r="AK21" s="258"/>
      <c r="AL21" s="258"/>
      <c r="AM21" s="258"/>
      <c r="AN21" s="258"/>
      <c r="AO21" s="258"/>
      <c r="AP21" s="258"/>
      <c r="AQ21" s="258"/>
      <c r="AR21" s="258"/>
      <c r="AS21" s="258"/>
      <c r="AT21" s="258"/>
      <c r="AU21" s="258"/>
      <c r="AV21" s="258"/>
      <c r="AW21" s="258"/>
      <c r="AX21" s="258"/>
      <c r="AY21" s="258"/>
      <c r="AZ21" s="258"/>
      <c r="BA21" s="258"/>
      <c r="BB21" s="258"/>
      <c r="BC21" s="258"/>
      <c r="BD21" s="258"/>
      <c r="BE21" s="258"/>
      <c r="BF21" s="258"/>
    </row>
    <row r="22" spans="1:58">
      <c r="A22" s="256" t="s">
        <v>185</v>
      </c>
      <c r="B22" s="257"/>
      <c r="C22" s="258"/>
      <c r="D22" s="258"/>
      <c r="E22" s="258"/>
      <c r="F22" s="258"/>
      <c r="G22" s="258"/>
      <c r="H22" s="259">
        <v>56</v>
      </c>
      <c r="I22" s="260">
        <f t="shared" si="1"/>
        <v>34720</v>
      </c>
      <c r="J22" s="260"/>
      <c r="K22" s="258"/>
      <c r="L22" s="258"/>
      <c r="M22" s="258"/>
      <c r="N22" s="258"/>
      <c r="O22" s="258"/>
      <c r="P22" s="258"/>
      <c r="Q22" s="258"/>
      <c r="R22" s="258"/>
      <c r="S22" s="258"/>
      <c r="T22" s="258"/>
      <c r="U22" s="258"/>
      <c r="V22" s="258"/>
      <c r="W22" s="258"/>
      <c r="X22" s="258"/>
      <c r="Y22" s="258"/>
      <c r="Z22" s="258"/>
      <c r="AA22" s="258"/>
      <c r="AB22" s="258"/>
      <c r="AC22" s="258"/>
      <c r="AD22" s="258"/>
      <c r="AE22" s="258"/>
      <c r="AF22" s="258"/>
      <c r="AG22" s="258"/>
      <c r="AH22" s="258"/>
      <c r="AI22" s="258"/>
      <c r="AJ22" s="258"/>
      <c r="AK22" s="258"/>
      <c r="AL22" s="258"/>
      <c r="AM22" s="258"/>
      <c r="AN22" s="258"/>
      <c r="AO22" s="258"/>
      <c r="AP22" s="258"/>
      <c r="AQ22" s="258"/>
      <c r="AR22" s="258"/>
      <c r="AS22" s="258"/>
      <c r="AT22" s="258"/>
      <c r="AU22" s="258"/>
      <c r="AV22" s="258"/>
      <c r="AW22" s="258"/>
      <c r="AX22" s="258"/>
      <c r="AY22" s="258"/>
      <c r="AZ22" s="258"/>
      <c r="BA22" s="258"/>
      <c r="BB22" s="258"/>
      <c r="BC22" s="258"/>
      <c r="BD22" s="258"/>
      <c r="BE22" s="258"/>
      <c r="BF22" s="258"/>
    </row>
    <row r="23" spans="1:58">
      <c r="A23" s="256" t="s">
        <v>186</v>
      </c>
      <c r="B23" s="257"/>
      <c r="C23" s="258"/>
      <c r="D23" s="258"/>
      <c r="E23" s="258"/>
      <c r="F23" s="258"/>
      <c r="G23" s="258"/>
      <c r="H23" s="259">
        <f t="shared" si="0"/>
        <v>0</v>
      </c>
      <c r="I23" s="260">
        <f t="shared" si="1"/>
        <v>0</v>
      </c>
      <c r="J23" s="260"/>
      <c r="K23" s="258"/>
      <c r="L23" s="258"/>
      <c r="M23" s="258"/>
      <c r="N23" s="258"/>
      <c r="O23" s="258"/>
      <c r="P23" s="258"/>
      <c r="Q23" s="258"/>
      <c r="R23" s="258"/>
      <c r="S23" s="258"/>
      <c r="T23" s="258"/>
      <c r="U23" s="258"/>
      <c r="V23" s="258"/>
      <c r="W23" s="258"/>
      <c r="X23" s="258"/>
      <c r="Y23" s="258"/>
      <c r="Z23" s="258"/>
      <c r="AA23" s="258"/>
      <c r="AB23" s="258"/>
      <c r="AC23" s="258"/>
      <c r="AD23" s="258"/>
      <c r="AE23" s="258"/>
      <c r="AF23" s="258"/>
      <c r="AG23" s="258"/>
      <c r="AH23" s="258"/>
      <c r="AI23" s="258"/>
      <c r="AJ23" s="258"/>
      <c r="AK23" s="258"/>
      <c r="AL23" s="258"/>
      <c r="AM23" s="258"/>
      <c r="AN23" s="258"/>
      <c r="AO23" s="258"/>
      <c r="AP23" s="258"/>
      <c r="AQ23" s="258"/>
      <c r="AR23" s="258"/>
      <c r="AS23" s="258"/>
      <c r="AT23" s="258"/>
      <c r="AU23" s="258"/>
      <c r="AV23" s="258"/>
      <c r="AW23" s="258"/>
      <c r="AX23" s="258"/>
      <c r="AY23" s="258"/>
      <c r="AZ23" s="258"/>
      <c r="BA23" s="258"/>
      <c r="BB23" s="258"/>
      <c r="BC23" s="258"/>
      <c r="BD23" s="258"/>
      <c r="BE23" s="258"/>
      <c r="BF23" s="258"/>
    </row>
    <row r="24" spans="1:58" ht="27.95">
      <c r="A24" s="262" t="s">
        <v>182</v>
      </c>
      <c r="B24" s="257"/>
      <c r="C24" s="258"/>
      <c r="D24" s="258"/>
      <c r="E24" s="258"/>
      <c r="F24" s="258"/>
      <c r="G24" s="258"/>
      <c r="H24" s="259">
        <f t="shared" si="0"/>
        <v>0</v>
      </c>
      <c r="I24" s="260">
        <f t="shared" si="1"/>
        <v>0</v>
      </c>
      <c r="J24" s="260"/>
      <c r="K24" s="258"/>
      <c r="L24" s="258"/>
      <c r="M24" s="258"/>
      <c r="N24" s="258"/>
      <c r="O24" s="258"/>
      <c r="P24" s="258"/>
      <c r="Q24" s="258"/>
      <c r="R24" s="258"/>
      <c r="S24" s="258"/>
      <c r="T24" s="258"/>
      <c r="U24" s="258"/>
      <c r="V24" s="258"/>
      <c r="W24" s="258"/>
      <c r="X24" s="258"/>
      <c r="Y24" s="258"/>
      <c r="Z24" s="258"/>
      <c r="AA24" s="258"/>
      <c r="AB24" s="258"/>
      <c r="AC24" s="258"/>
      <c r="AD24" s="258"/>
      <c r="AE24" s="258"/>
      <c r="AF24" s="258"/>
      <c r="AG24" s="258"/>
      <c r="AH24" s="258"/>
      <c r="AI24" s="258"/>
      <c r="AJ24" s="258"/>
      <c r="AK24" s="258"/>
      <c r="AL24" s="258"/>
      <c r="AM24" s="258"/>
      <c r="AN24" s="258"/>
      <c r="AO24" s="258"/>
      <c r="AP24" s="258"/>
      <c r="AQ24" s="258"/>
      <c r="AR24" s="258"/>
      <c r="AS24" s="258"/>
      <c r="AT24" s="258"/>
      <c r="AU24" s="258"/>
      <c r="AV24" s="258"/>
      <c r="AW24" s="258"/>
      <c r="AX24" s="258"/>
      <c r="AY24" s="258"/>
      <c r="AZ24" s="258"/>
      <c r="BA24" s="258"/>
      <c r="BB24" s="258"/>
      <c r="BC24" s="258"/>
      <c r="BD24" s="258"/>
      <c r="BE24" s="258"/>
      <c r="BF24" s="258"/>
    </row>
    <row r="25" spans="1:58">
      <c r="A25" s="262" t="s">
        <v>187</v>
      </c>
      <c r="B25" s="257"/>
      <c r="C25" s="258"/>
      <c r="D25" s="258"/>
      <c r="E25" s="258"/>
      <c r="F25" s="258"/>
      <c r="G25" s="258"/>
      <c r="H25" s="259">
        <v>56</v>
      </c>
      <c r="I25" s="260">
        <f t="shared" si="1"/>
        <v>34720</v>
      </c>
      <c r="J25" s="260"/>
      <c r="K25" s="258"/>
      <c r="L25" s="258"/>
      <c r="M25" s="258"/>
      <c r="N25" s="258"/>
      <c r="O25" s="258"/>
      <c r="P25" s="258"/>
      <c r="Q25" s="258"/>
      <c r="R25" s="258"/>
      <c r="S25" s="258"/>
      <c r="T25" s="258"/>
      <c r="U25" s="258"/>
      <c r="V25" s="258"/>
      <c r="W25" s="258"/>
      <c r="X25" s="258"/>
      <c r="Y25" s="258"/>
      <c r="Z25" s="258"/>
      <c r="AA25" s="258"/>
      <c r="AB25" s="258"/>
      <c r="AC25" s="258"/>
      <c r="AD25" s="258"/>
      <c r="AE25" s="258"/>
      <c r="AF25" s="258"/>
      <c r="AG25" s="258"/>
      <c r="AH25" s="258"/>
      <c r="AI25" s="258"/>
      <c r="AJ25" s="258"/>
      <c r="AK25" s="258"/>
      <c r="AL25" s="258"/>
      <c r="AM25" s="258"/>
      <c r="AN25" s="258"/>
      <c r="AO25" s="258"/>
      <c r="AP25" s="258"/>
      <c r="AQ25" s="258"/>
      <c r="AR25" s="258"/>
      <c r="AS25" s="258"/>
      <c r="AT25" s="258"/>
      <c r="AU25" s="258"/>
      <c r="AV25" s="258"/>
      <c r="AW25" s="258"/>
      <c r="AX25" s="258"/>
      <c r="AY25" s="258"/>
      <c r="AZ25" s="258"/>
      <c r="BA25" s="258"/>
      <c r="BB25" s="258"/>
      <c r="BC25" s="258"/>
      <c r="BD25" s="258"/>
      <c r="BE25" s="258"/>
      <c r="BF25" s="258"/>
    </row>
    <row r="26" spans="1:58">
      <c r="A26" s="262" t="s">
        <v>188</v>
      </c>
      <c r="B26" s="257"/>
      <c r="C26" s="258"/>
      <c r="D26" s="258"/>
      <c r="E26" s="258"/>
      <c r="F26" s="258"/>
      <c r="G26" s="258"/>
      <c r="H26" s="259">
        <f t="shared" si="0"/>
        <v>0</v>
      </c>
      <c r="I26" s="260">
        <f t="shared" si="1"/>
        <v>0</v>
      </c>
      <c r="J26" s="260"/>
      <c r="K26" s="258"/>
      <c r="L26" s="258"/>
      <c r="M26" s="258"/>
      <c r="N26" s="258"/>
      <c r="O26" s="258"/>
      <c r="P26" s="258"/>
      <c r="Q26" s="258"/>
      <c r="R26" s="258"/>
      <c r="S26" s="258"/>
      <c r="T26" s="258"/>
      <c r="U26" s="258"/>
      <c r="V26" s="258"/>
      <c r="W26" s="258"/>
      <c r="X26" s="258"/>
      <c r="Y26" s="258"/>
      <c r="Z26" s="258"/>
      <c r="AA26" s="258"/>
      <c r="AB26" s="258"/>
      <c r="AC26" s="258"/>
      <c r="AD26" s="258"/>
      <c r="AE26" s="258"/>
      <c r="AF26" s="258"/>
      <c r="AG26" s="258"/>
      <c r="AH26" s="258"/>
      <c r="AI26" s="258"/>
      <c r="AJ26" s="258"/>
      <c r="AK26" s="258"/>
      <c r="AL26" s="258"/>
      <c r="AM26" s="258"/>
      <c r="AN26" s="258"/>
      <c r="AO26" s="258"/>
      <c r="AP26" s="258"/>
      <c r="AQ26" s="258"/>
      <c r="AR26" s="258"/>
      <c r="AS26" s="258"/>
      <c r="AT26" s="258"/>
      <c r="AU26" s="258"/>
      <c r="AV26" s="258"/>
      <c r="AW26" s="258"/>
      <c r="AX26" s="258"/>
      <c r="AY26" s="258"/>
      <c r="AZ26" s="258"/>
      <c r="BA26" s="258"/>
      <c r="BB26" s="258"/>
      <c r="BC26" s="258"/>
      <c r="BD26" s="258"/>
      <c r="BE26" s="258"/>
      <c r="BF26" s="258"/>
    </row>
    <row r="27" spans="1:58">
      <c r="A27" s="256" t="s">
        <v>189</v>
      </c>
      <c r="B27" s="257"/>
      <c r="C27" s="258"/>
      <c r="D27" s="258"/>
      <c r="E27" s="258"/>
      <c r="F27" s="258"/>
      <c r="G27" s="258"/>
      <c r="H27" s="259">
        <f t="shared" si="0"/>
        <v>0</v>
      </c>
      <c r="I27" s="260">
        <f t="shared" si="1"/>
        <v>0</v>
      </c>
      <c r="J27" s="260"/>
      <c r="K27" s="258"/>
      <c r="L27" s="258"/>
      <c r="M27" s="258"/>
      <c r="N27" s="258"/>
      <c r="O27" s="258"/>
      <c r="P27" s="258"/>
      <c r="Q27" s="258"/>
      <c r="R27" s="258"/>
      <c r="S27" s="258"/>
      <c r="T27" s="258"/>
      <c r="U27" s="258"/>
      <c r="V27" s="258"/>
      <c r="W27" s="258"/>
      <c r="X27" s="258"/>
      <c r="Y27" s="258"/>
      <c r="Z27" s="258"/>
      <c r="AA27" s="258"/>
      <c r="AB27" s="258"/>
      <c r="AC27" s="258"/>
      <c r="AD27" s="258"/>
      <c r="AE27" s="258"/>
      <c r="AF27" s="258"/>
      <c r="AG27" s="258"/>
      <c r="AH27" s="258"/>
      <c r="AI27" s="258"/>
      <c r="AJ27" s="258"/>
      <c r="AK27" s="258"/>
      <c r="AL27" s="258"/>
      <c r="AM27" s="258"/>
      <c r="AN27" s="258"/>
      <c r="AO27" s="258"/>
      <c r="AP27" s="258"/>
      <c r="AQ27" s="258"/>
      <c r="AR27" s="258"/>
      <c r="AS27" s="258"/>
      <c r="AT27" s="258"/>
      <c r="AU27" s="258"/>
      <c r="AV27" s="258"/>
      <c r="AW27" s="258"/>
      <c r="AX27" s="258"/>
      <c r="AY27" s="258"/>
      <c r="AZ27" s="258"/>
      <c r="BA27" s="258"/>
      <c r="BB27" s="258"/>
      <c r="BC27" s="258"/>
      <c r="BD27" s="258"/>
      <c r="BE27" s="258"/>
      <c r="BF27" s="258"/>
    </row>
    <row r="28" spans="1:58">
      <c r="A28" s="248" t="s">
        <v>190</v>
      </c>
      <c r="B28" s="249"/>
      <c r="C28" s="250"/>
      <c r="D28" s="250"/>
      <c r="E28" s="250"/>
      <c r="F28" s="250"/>
      <c r="G28" s="250"/>
      <c r="H28" s="251">
        <f>SUM(H21:H27)</f>
        <v>112</v>
      </c>
      <c r="I28" s="252">
        <f>SUM(I21:I27)</f>
        <v>69440</v>
      </c>
      <c r="J28" s="252">
        <f>SUM(J21:J27)</f>
        <v>0</v>
      </c>
      <c r="K28" s="253"/>
      <c r="L28" s="253"/>
      <c r="M28" s="253"/>
      <c r="N28" s="253"/>
      <c r="O28" s="253"/>
      <c r="P28" s="253"/>
      <c r="Q28" s="253"/>
      <c r="R28" s="253"/>
      <c r="S28" s="253"/>
      <c r="T28" s="253"/>
      <c r="U28" s="253"/>
      <c r="V28" s="253"/>
      <c r="W28" s="253"/>
      <c r="X28" s="253"/>
      <c r="Y28" s="253"/>
      <c r="Z28" s="253"/>
      <c r="AA28" s="253"/>
      <c r="AB28" s="253"/>
      <c r="AC28" s="253"/>
      <c r="AD28" s="253"/>
      <c r="AE28" s="253"/>
      <c r="AF28" s="253"/>
      <c r="AG28" s="253"/>
      <c r="AH28" s="253"/>
      <c r="AI28" s="253"/>
      <c r="AJ28" s="253"/>
      <c r="AK28" s="253"/>
      <c r="AL28" s="253"/>
      <c r="AM28" s="253"/>
      <c r="AN28" s="253"/>
      <c r="AO28" s="253"/>
      <c r="AP28" s="253"/>
      <c r="AQ28" s="253"/>
      <c r="AR28" s="253"/>
      <c r="AS28" s="253"/>
      <c r="AT28" s="253"/>
      <c r="AU28" s="253"/>
      <c r="AV28" s="253"/>
      <c r="AW28" s="253"/>
      <c r="AX28" s="253"/>
      <c r="AY28" s="253"/>
      <c r="AZ28" s="253"/>
      <c r="BA28" s="253"/>
      <c r="BB28" s="253"/>
      <c r="BC28" s="253"/>
      <c r="BD28" s="253"/>
      <c r="BE28" s="253"/>
      <c r="BF28" s="253"/>
    </row>
    <row r="29" spans="1:58">
      <c r="A29" s="225"/>
      <c r="B29" s="225"/>
      <c r="C29" s="226"/>
      <c r="D29" s="226"/>
      <c r="E29" s="226"/>
      <c r="F29" s="226"/>
      <c r="G29" s="226"/>
      <c r="H29" s="227"/>
      <c r="I29" s="228"/>
      <c r="J29" s="228"/>
      <c r="K29" s="229"/>
      <c r="L29" s="230"/>
      <c r="M29" s="230"/>
      <c r="N29" s="226"/>
      <c r="O29" s="226"/>
      <c r="P29" s="226"/>
      <c r="Q29" s="226"/>
      <c r="R29" s="226"/>
      <c r="S29" s="226"/>
      <c r="T29" s="226"/>
      <c r="U29" s="226"/>
      <c r="V29" s="226"/>
      <c r="W29" s="226"/>
      <c r="X29" s="226"/>
      <c r="Y29" s="226"/>
      <c r="Z29" s="226"/>
      <c r="AA29" s="226"/>
      <c r="AB29" s="226"/>
      <c r="AC29" s="226"/>
      <c r="AD29" s="226"/>
      <c r="AE29" s="229"/>
      <c r="AF29" s="226"/>
      <c r="AG29" s="226"/>
      <c r="AH29" s="226"/>
      <c r="AI29" s="226"/>
      <c r="AJ29" s="226"/>
      <c r="AK29" s="226"/>
      <c r="AL29" s="226"/>
      <c r="AM29" s="226"/>
      <c r="AN29" s="226"/>
      <c r="AO29" s="226"/>
      <c r="AP29" s="226"/>
      <c r="AQ29" s="226"/>
      <c r="AR29" s="226"/>
      <c r="AS29" s="226"/>
      <c r="AT29" s="226"/>
      <c r="AU29" s="226"/>
      <c r="AV29" s="226"/>
      <c r="AW29" s="226"/>
      <c r="AX29" s="226"/>
      <c r="AY29" s="226"/>
      <c r="AZ29" s="226"/>
      <c r="BA29" s="226"/>
      <c r="BB29" s="226"/>
      <c r="BC29" s="226"/>
      <c r="BD29" s="226"/>
      <c r="BE29" s="226"/>
      <c r="BF29" s="226"/>
    </row>
    <row r="30" spans="1:58">
      <c r="A30" s="231" t="s">
        <v>191</v>
      </c>
      <c r="B30" s="232"/>
      <c r="C30" s="233"/>
      <c r="D30" s="233"/>
      <c r="E30" s="233"/>
      <c r="F30" s="233"/>
      <c r="G30" s="233"/>
      <c r="H30" s="234"/>
      <c r="I30" s="234"/>
      <c r="J30" s="237"/>
      <c r="K30" s="236"/>
      <c r="L30" s="255"/>
      <c r="M30" s="255"/>
      <c r="N30" s="237"/>
      <c r="O30" s="237"/>
      <c r="P30" s="237"/>
      <c r="Q30" s="237"/>
      <c r="R30" s="237"/>
      <c r="S30" s="237"/>
      <c r="T30" s="237"/>
      <c r="U30" s="237"/>
      <c r="V30" s="237"/>
      <c r="W30" s="237"/>
      <c r="X30" s="237"/>
      <c r="Y30" s="237"/>
      <c r="Z30" s="237"/>
      <c r="AA30" s="237"/>
      <c r="AB30" s="237"/>
      <c r="AC30" s="237"/>
      <c r="AD30" s="237"/>
      <c r="AE30" s="236"/>
      <c r="AF30" s="237"/>
      <c r="AG30" s="237"/>
      <c r="AH30" s="237"/>
      <c r="AI30" s="237"/>
      <c r="AJ30" s="237"/>
      <c r="AK30" s="237"/>
      <c r="AL30" s="237"/>
      <c r="AM30" s="237"/>
      <c r="AN30" s="237"/>
      <c r="AO30" s="237"/>
      <c r="AP30" s="237"/>
      <c r="AQ30" s="237"/>
      <c r="AR30" s="237"/>
      <c r="AS30" s="237"/>
      <c r="AT30" s="237"/>
      <c r="AU30" s="237"/>
      <c r="AV30" s="237"/>
      <c r="AW30" s="237"/>
      <c r="AX30" s="237"/>
      <c r="AY30" s="237"/>
      <c r="AZ30" s="237"/>
      <c r="BA30" s="237"/>
      <c r="BB30" s="237"/>
      <c r="BC30" s="237"/>
      <c r="BD30" s="237"/>
      <c r="BE30" s="237"/>
      <c r="BF30" s="237"/>
    </row>
    <row r="31" spans="1:58">
      <c r="A31" s="263" t="s">
        <v>180</v>
      </c>
      <c r="B31" s="264"/>
      <c r="C31" s="244"/>
      <c r="D31" s="244"/>
      <c r="E31" s="244"/>
      <c r="F31" s="244"/>
      <c r="G31" s="244"/>
      <c r="H31" s="265">
        <f t="shared" ref="H31:H38" si="2">ROUNDUP(SUM(K31:BF31),1)</f>
        <v>0</v>
      </c>
      <c r="I31" s="266">
        <f>H31*$H$7</f>
        <v>0</v>
      </c>
      <c r="J31" s="267"/>
      <c r="K31" s="244"/>
      <c r="L31" s="244"/>
      <c r="M31" s="244"/>
      <c r="N31" s="244"/>
      <c r="O31" s="244"/>
      <c r="P31" s="244"/>
      <c r="Q31" s="244"/>
      <c r="R31" s="244"/>
      <c r="S31" s="244"/>
      <c r="T31" s="244"/>
      <c r="U31" s="244"/>
      <c r="V31" s="244"/>
      <c r="W31" s="244"/>
      <c r="X31" s="244"/>
      <c r="Y31" s="244"/>
      <c r="Z31" s="244"/>
      <c r="AA31" s="244"/>
      <c r="AB31" s="244"/>
      <c r="AC31" s="244"/>
      <c r="AD31" s="244"/>
      <c r="AE31" s="244"/>
      <c r="AF31" s="244"/>
      <c r="AG31" s="244"/>
      <c r="AH31" s="244"/>
      <c r="AI31" s="244"/>
      <c r="AJ31" s="244"/>
      <c r="AK31" s="244"/>
      <c r="AL31" s="244"/>
      <c r="AM31" s="244"/>
      <c r="AN31" s="244"/>
      <c r="AO31" s="244"/>
      <c r="AP31" s="244"/>
      <c r="AQ31" s="244"/>
      <c r="AR31" s="244"/>
      <c r="AS31" s="244"/>
      <c r="AT31" s="244"/>
      <c r="AU31" s="244"/>
      <c r="AV31" s="244"/>
      <c r="AW31" s="244"/>
      <c r="AX31" s="244"/>
      <c r="AY31" s="244"/>
      <c r="AZ31" s="244"/>
      <c r="BA31" s="244"/>
      <c r="BB31" s="244"/>
      <c r="BC31" s="244"/>
      <c r="BD31" s="244"/>
      <c r="BE31" s="244"/>
      <c r="BF31" s="244"/>
    </row>
    <row r="32" spans="1:58">
      <c r="A32" s="263" t="s">
        <v>192</v>
      </c>
      <c r="B32" s="264"/>
      <c r="C32" s="244"/>
      <c r="D32" s="244"/>
      <c r="E32" s="244"/>
      <c r="F32" s="244"/>
      <c r="G32" s="244"/>
      <c r="H32" s="265">
        <f t="shared" si="2"/>
        <v>0</v>
      </c>
      <c r="I32" s="266">
        <f>H32*$H$7</f>
        <v>0</v>
      </c>
      <c r="J32" s="266"/>
      <c r="K32" s="244"/>
      <c r="L32" s="244"/>
      <c r="M32" s="244"/>
      <c r="N32" s="244"/>
      <c r="O32" s="244"/>
      <c r="P32" s="244"/>
      <c r="Q32" s="244"/>
      <c r="R32" s="244"/>
      <c r="S32" s="244"/>
      <c r="T32" s="244"/>
      <c r="U32" s="244"/>
      <c r="V32" s="244"/>
      <c r="W32" s="244"/>
      <c r="X32" s="244"/>
      <c r="Y32" s="244"/>
      <c r="Z32" s="244"/>
      <c r="AA32" s="244"/>
      <c r="AB32" s="244"/>
      <c r="AC32" s="244"/>
      <c r="AD32" s="244"/>
      <c r="AE32" s="244"/>
      <c r="AF32" s="244"/>
      <c r="AG32" s="244"/>
      <c r="AH32" s="244"/>
      <c r="AI32" s="244"/>
      <c r="AJ32" s="244"/>
      <c r="AK32" s="244"/>
      <c r="AL32" s="244"/>
      <c r="AM32" s="244"/>
      <c r="AN32" s="244"/>
      <c r="AO32" s="244"/>
      <c r="AP32" s="244"/>
      <c r="AQ32" s="244"/>
      <c r="AR32" s="244"/>
      <c r="AS32" s="244"/>
      <c r="AT32" s="244"/>
      <c r="AU32" s="244"/>
      <c r="AV32" s="244"/>
      <c r="AW32" s="244"/>
      <c r="AX32" s="244"/>
      <c r="AY32" s="244"/>
      <c r="AZ32" s="244"/>
      <c r="BA32" s="244"/>
      <c r="BB32" s="244"/>
      <c r="BC32" s="244"/>
      <c r="BD32" s="244"/>
      <c r="BE32" s="244"/>
      <c r="BF32" s="244"/>
    </row>
    <row r="33" spans="1:58">
      <c r="A33" s="263" t="s">
        <v>186</v>
      </c>
      <c r="B33" s="264"/>
      <c r="C33" s="244"/>
      <c r="D33" s="244"/>
      <c r="E33" s="244"/>
      <c r="F33" s="244"/>
      <c r="G33" s="244"/>
      <c r="H33" s="265">
        <f t="shared" si="2"/>
        <v>0</v>
      </c>
      <c r="I33" s="266"/>
      <c r="J33" s="266"/>
      <c r="K33" s="244"/>
      <c r="L33" s="244"/>
      <c r="M33" s="244"/>
      <c r="N33" s="244"/>
      <c r="O33" s="244"/>
      <c r="P33" s="244"/>
      <c r="Q33" s="244"/>
      <c r="R33" s="244"/>
      <c r="S33" s="244"/>
      <c r="T33" s="244"/>
      <c r="U33" s="244"/>
      <c r="V33" s="244"/>
      <c r="W33" s="244"/>
      <c r="X33" s="244"/>
      <c r="Y33" s="244"/>
      <c r="Z33" s="244"/>
      <c r="AA33" s="244"/>
      <c r="AB33" s="244"/>
      <c r="AC33" s="244"/>
      <c r="AD33" s="244"/>
      <c r="AE33" s="244"/>
      <c r="AF33" s="244"/>
      <c r="AG33" s="244"/>
      <c r="AH33" s="244"/>
      <c r="AI33" s="244"/>
      <c r="AJ33" s="244"/>
      <c r="AK33" s="244"/>
      <c r="AL33" s="244"/>
      <c r="AM33" s="244"/>
      <c r="AN33" s="244"/>
      <c r="AO33" s="244"/>
      <c r="AP33" s="244"/>
      <c r="AQ33" s="244"/>
      <c r="AR33" s="244"/>
      <c r="AS33" s="244"/>
      <c r="AT33" s="244"/>
      <c r="AU33" s="244"/>
      <c r="AV33" s="244"/>
      <c r="AW33" s="244"/>
      <c r="AX33" s="244"/>
      <c r="AY33" s="244"/>
      <c r="AZ33" s="244"/>
      <c r="BA33" s="244"/>
      <c r="BB33" s="244"/>
      <c r="BC33" s="244"/>
      <c r="BD33" s="244"/>
      <c r="BE33" s="244"/>
      <c r="BF33" s="244"/>
    </row>
    <row r="34" spans="1:58" ht="27.95">
      <c r="A34" s="268" t="s">
        <v>182</v>
      </c>
      <c r="B34" s="264"/>
      <c r="C34" s="244"/>
      <c r="D34" s="244"/>
      <c r="E34" s="244"/>
      <c r="F34" s="244"/>
      <c r="G34" s="244"/>
      <c r="H34" s="265">
        <f t="shared" si="2"/>
        <v>0</v>
      </c>
      <c r="I34" s="266">
        <f>H34*$H$7</f>
        <v>0</v>
      </c>
      <c r="J34" s="266"/>
      <c r="K34" s="244"/>
      <c r="L34" s="244"/>
      <c r="M34" s="244"/>
      <c r="N34" s="244"/>
      <c r="O34" s="244"/>
      <c r="P34" s="244"/>
      <c r="Q34" s="244"/>
      <c r="R34" s="244"/>
      <c r="S34" s="244"/>
      <c r="T34" s="244"/>
      <c r="U34" s="244"/>
      <c r="V34" s="244"/>
      <c r="W34" s="244"/>
      <c r="X34" s="244"/>
      <c r="Y34" s="244"/>
      <c r="Z34" s="244"/>
      <c r="AA34" s="244"/>
      <c r="AB34" s="244"/>
      <c r="AC34" s="244"/>
      <c r="AD34" s="244"/>
      <c r="AE34" s="244"/>
      <c r="AF34" s="244"/>
      <c r="AG34" s="244"/>
      <c r="AH34" s="244"/>
      <c r="AI34" s="244"/>
      <c r="AJ34" s="244"/>
      <c r="AK34" s="244"/>
      <c r="AL34" s="244"/>
      <c r="AM34" s="244"/>
      <c r="AN34" s="244"/>
      <c r="AO34" s="244"/>
      <c r="AP34" s="244"/>
      <c r="AQ34" s="244"/>
      <c r="AR34" s="244"/>
      <c r="AS34" s="244"/>
      <c r="AT34" s="244"/>
      <c r="AU34" s="244"/>
      <c r="AV34" s="244"/>
      <c r="AW34" s="244"/>
      <c r="AX34" s="244"/>
      <c r="AY34" s="244"/>
      <c r="AZ34" s="244"/>
      <c r="BA34" s="244"/>
      <c r="BB34" s="244"/>
      <c r="BC34" s="244"/>
      <c r="BD34" s="244"/>
      <c r="BE34" s="244"/>
      <c r="BF34" s="244"/>
    </row>
    <row r="35" spans="1:58">
      <c r="A35" s="268" t="s">
        <v>193</v>
      </c>
      <c r="B35" s="264"/>
      <c r="C35" s="244"/>
      <c r="D35" s="244"/>
      <c r="E35" s="244"/>
      <c r="F35" s="244"/>
      <c r="G35" s="244"/>
      <c r="H35" s="265">
        <f t="shared" si="2"/>
        <v>0</v>
      </c>
      <c r="I35" s="266">
        <f>H35*$H$7</f>
        <v>0</v>
      </c>
      <c r="J35" s="266"/>
      <c r="K35" s="244"/>
      <c r="L35" s="244"/>
      <c r="M35" s="244"/>
      <c r="N35" s="244"/>
      <c r="O35" s="244"/>
      <c r="P35" s="244"/>
      <c r="Q35" s="244"/>
      <c r="R35" s="244"/>
      <c r="S35" s="244"/>
      <c r="T35" s="244"/>
      <c r="U35" s="244"/>
      <c r="V35" s="244"/>
      <c r="W35" s="244"/>
      <c r="X35" s="244"/>
      <c r="Y35" s="244"/>
      <c r="Z35" s="244"/>
      <c r="AA35" s="244"/>
      <c r="AB35" s="244"/>
      <c r="AC35" s="244"/>
      <c r="AD35" s="244"/>
      <c r="AE35" s="244"/>
      <c r="AF35" s="244"/>
      <c r="AG35" s="244"/>
      <c r="AH35" s="244"/>
      <c r="AI35" s="244"/>
      <c r="AJ35" s="244"/>
      <c r="AK35" s="244"/>
      <c r="AL35" s="244"/>
      <c r="AM35" s="244"/>
      <c r="AN35" s="244"/>
      <c r="AO35" s="244"/>
      <c r="AP35" s="244"/>
      <c r="AQ35" s="244"/>
      <c r="AR35" s="244"/>
      <c r="AS35" s="244"/>
      <c r="AT35" s="244"/>
      <c r="AU35" s="244"/>
      <c r="AV35" s="244"/>
      <c r="AW35" s="244"/>
      <c r="AX35" s="244"/>
      <c r="AY35" s="244"/>
      <c r="AZ35" s="244"/>
      <c r="BA35" s="244"/>
      <c r="BB35" s="244"/>
      <c r="BC35" s="244"/>
      <c r="BD35" s="244"/>
      <c r="BE35" s="244"/>
      <c r="BF35" s="244"/>
    </row>
    <row r="36" spans="1:58">
      <c r="A36" s="268" t="s">
        <v>187</v>
      </c>
      <c r="B36" s="264"/>
      <c r="C36" s="244"/>
      <c r="D36" s="244"/>
      <c r="E36" s="244"/>
      <c r="F36" s="244"/>
      <c r="G36" s="244"/>
      <c r="H36" s="265">
        <f t="shared" si="2"/>
        <v>0</v>
      </c>
      <c r="I36" s="266">
        <f>H36*$H$7</f>
        <v>0</v>
      </c>
      <c r="J36" s="266"/>
      <c r="K36" s="244"/>
      <c r="L36" s="244"/>
      <c r="M36" s="244"/>
      <c r="N36" s="244"/>
      <c r="O36" s="244"/>
      <c r="P36" s="244"/>
      <c r="Q36" s="244"/>
      <c r="R36" s="244"/>
      <c r="S36" s="244"/>
      <c r="T36" s="244"/>
      <c r="U36" s="244"/>
      <c r="V36" s="244"/>
      <c r="W36" s="244"/>
      <c r="X36" s="244"/>
      <c r="Y36" s="244"/>
      <c r="Z36" s="244"/>
      <c r="AA36" s="244"/>
      <c r="AB36" s="244"/>
      <c r="AC36" s="244"/>
      <c r="AD36" s="244"/>
      <c r="AE36" s="244"/>
      <c r="AF36" s="244"/>
      <c r="AG36" s="244"/>
      <c r="AH36" s="244"/>
      <c r="AI36" s="244"/>
      <c r="AJ36" s="244"/>
      <c r="AK36" s="244"/>
      <c r="AL36" s="244"/>
      <c r="AM36" s="244"/>
      <c r="AN36" s="244"/>
      <c r="AO36" s="244"/>
      <c r="AP36" s="244"/>
      <c r="AQ36" s="244"/>
      <c r="AR36" s="244"/>
      <c r="AS36" s="244"/>
      <c r="AT36" s="244"/>
      <c r="AU36" s="244"/>
      <c r="AV36" s="244"/>
      <c r="AW36" s="244"/>
      <c r="AX36" s="244"/>
      <c r="AY36" s="244"/>
      <c r="AZ36" s="244"/>
      <c r="BA36" s="244"/>
      <c r="BB36" s="244"/>
      <c r="BC36" s="244"/>
      <c r="BD36" s="244"/>
      <c r="BE36" s="244"/>
      <c r="BF36" s="244"/>
    </row>
    <row r="37" spans="1:58">
      <c r="A37" s="268" t="s">
        <v>194</v>
      </c>
      <c r="B37" s="264"/>
      <c r="C37" s="244"/>
      <c r="D37" s="244"/>
      <c r="E37" s="244"/>
      <c r="F37" s="244"/>
      <c r="G37" s="244"/>
      <c r="H37" s="265">
        <f t="shared" si="2"/>
        <v>0</v>
      </c>
      <c r="I37" s="266">
        <f>H37*$H$7</f>
        <v>0</v>
      </c>
      <c r="J37" s="266"/>
      <c r="K37" s="244"/>
      <c r="L37" s="244"/>
      <c r="M37" s="244"/>
      <c r="N37" s="244"/>
      <c r="O37" s="244"/>
      <c r="P37" s="244"/>
      <c r="Q37" s="244"/>
      <c r="R37" s="244"/>
      <c r="S37" s="244"/>
      <c r="T37" s="244"/>
      <c r="U37" s="244"/>
      <c r="V37" s="244"/>
      <c r="W37" s="244"/>
      <c r="X37" s="244"/>
      <c r="Y37" s="244"/>
      <c r="Z37" s="244"/>
      <c r="AA37" s="244"/>
      <c r="AB37" s="244"/>
      <c r="AC37" s="244"/>
      <c r="AD37" s="244"/>
      <c r="AE37" s="244"/>
      <c r="AF37" s="244"/>
      <c r="AG37" s="244"/>
      <c r="AH37" s="244"/>
      <c r="AI37" s="244"/>
      <c r="AJ37" s="244"/>
      <c r="AK37" s="244"/>
      <c r="AL37" s="244"/>
      <c r="AM37" s="244"/>
      <c r="AN37" s="244"/>
      <c r="AO37" s="244"/>
      <c r="AP37" s="244"/>
      <c r="AQ37" s="244"/>
      <c r="AR37" s="244"/>
      <c r="AS37" s="244"/>
      <c r="AT37" s="244"/>
      <c r="AU37" s="244"/>
      <c r="AV37" s="244"/>
      <c r="AW37" s="244"/>
      <c r="AX37" s="244"/>
      <c r="AY37" s="244"/>
      <c r="AZ37" s="244"/>
      <c r="BA37" s="244"/>
      <c r="BB37" s="244"/>
      <c r="BC37" s="244"/>
      <c r="BD37" s="244"/>
      <c r="BE37" s="244"/>
      <c r="BF37" s="244"/>
    </row>
    <row r="38" spans="1:58">
      <c r="A38" s="268" t="s">
        <v>195</v>
      </c>
      <c r="B38" s="264"/>
      <c r="C38" s="244"/>
      <c r="D38" s="244"/>
      <c r="E38" s="244"/>
      <c r="F38" s="244"/>
      <c r="G38" s="244"/>
      <c r="H38" s="265">
        <f t="shared" si="2"/>
        <v>0</v>
      </c>
      <c r="I38" s="266">
        <f>H38*$H$7</f>
        <v>0</v>
      </c>
      <c r="J38" s="266"/>
      <c r="K38" s="244"/>
      <c r="L38" s="244"/>
      <c r="M38" s="244"/>
      <c r="N38" s="244"/>
      <c r="O38" s="244"/>
      <c r="P38" s="244"/>
      <c r="Q38" s="244"/>
      <c r="R38" s="244"/>
      <c r="S38" s="244"/>
      <c r="T38" s="244"/>
      <c r="U38" s="244"/>
      <c r="V38" s="244"/>
      <c r="W38" s="244"/>
      <c r="X38" s="244"/>
      <c r="Y38" s="244"/>
      <c r="Z38" s="244"/>
      <c r="AA38" s="244"/>
      <c r="AB38" s="244"/>
      <c r="AC38" s="244"/>
      <c r="AD38" s="244"/>
      <c r="AE38" s="244"/>
      <c r="AF38" s="244"/>
      <c r="AG38" s="244"/>
      <c r="AH38" s="244"/>
      <c r="AI38" s="244"/>
      <c r="AJ38" s="244"/>
      <c r="AK38" s="244"/>
      <c r="AL38" s="244"/>
      <c r="AM38" s="244"/>
      <c r="AN38" s="244"/>
      <c r="AO38" s="244"/>
      <c r="AP38" s="244"/>
      <c r="AQ38" s="244"/>
      <c r="AR38" s="244"/>
      <c r="AS38" s="244"/>
      <c r="AT38" s="244"/>
      <c r="AU38" s="244"/>
      <c r="AV38" s="244"/>
      <c r="AW38" s="244"/>
      <c r="AX38" s="244"/>
      <c r="AY38" s="244"/>
      <c r="AZ38" s="244"/>
      <c r="BA38" s="244"/>
      <c r="BB38" s="244"/>
      <c r="BC38" s="244"/>
      <c r="BD38" s="244"/>
      <c r="BE38" s="244"/>
      <c r="BF38" s="244"/>
    </row>
    <row r="39" spans="1:58">
      <c r="A39" s="248" t="s">
        <v>196</v>
      </c>
      <c r="B39" s="249"/>
      <c r="C39" s="250"/>
      <c r="D39" s="250"/>
      <c r="E39" s="250"/>
      <c r="F39" s="250"/>
      <c r="G39" s="250"/>
      <c r="H39" s="251">
        <f>SUM(H31:H38)</f>
        <v>0</v>
      </c>
      <c r="I39" s="252">
        <f>SUM(I31:I38)</f>
        <v>0</v>
      </c>
      <c r="J39" s="252">
        <f>SUM(J31:J38)</f>
        <v>0</v>
      </c>
      <c r="K39" s="253"/>
      <c r="L39" s="253"/>
      <c r="M39" s="253"/>
      <c r="N39" s="253"/>
      <c r="O39" s="253"/>
      <c r="P39" s="253"/>
      <c r="Q39" s="253"/>
      <c r="R39" s="253"/>
      <c r="S39" s="253"/>
      <c r="T39" s="253"/>
      <c r="U39" s="253"/>
      <c r="V39" s="253"/>
      <c r="W39" s="253"/>
      <c r="X39" s="253"/>
      <c r="Y39" s="253"/>
      <c r="Z39" s="253"/>
      <c r="AA39" s="253"/>
      <c r="AB39" s="253"/>
      <c r="AC39" s="253"/>
      <c r="AD39" s="253"/>
      <c r="AE39" s="253"/>
      <c r="AF39" s="253"/>
      <c r="AG39" s="253"/>
      <c r="AH39" s="253"/>
      <c r="AI39" s="253"/>
      <c r="AJ39" s="253"/>
      <c r="AK39" s="253"/>
      <c r="AL39" s="253"/>
      <c r="AM39" s="253"/>
      <c r="AN39" s="253"/>
      <c r="AO39" s="253"/>
      <c r="AP39" s="253"/>
      <c r="AQ39" s="253"/>
      <c r="AR39" s="253"/>
      <c r="AS39" s="253"/>
      <c r="AT39" s="253"/>
      <c r="AU39" s="253"/>
      <c r="AV39" s="253"/>
      <c r="AW39" s="253"/>
      <c r="AX39" s="253"/>
      <c r="AY39" s="253"/>
      <c r="AZ39" s="253"/>
      <c r="BA39" s="253"/>
      <c r="BB39" s="253"/>
      <c r="BC39" s="253"/>
      <c r="BD39" s="253"/>
      <c r="BE39" s="253"/>
      <c r="BF39" s="253"/>
    </row>
    <row r="40" spans="1:58">
      <c r="A40" s="225"/>
      <c r="B40" s="225"/>
      <c r="C40" s="226"/>
      <c r="D40" s="226"/>
      <c r="E40" s="226"/>
      <c r="F40" s="226"/>
      <c r="G40" s="226"/>
      <c r="H40" s="227"/>
      <c r="I40" s="228"/>
      <c r="J40" s="228"/>
      <c r="K40" s="229"/>
      <c r="L40" s="226"/>
      <c r="M40" s="226"/>
      <c r="N40" s="226"/>
      <c r="O40" s="226"/>
      <c r="P40" s="226"/>
      <c r="Q40" s="226"/>
      <c r="R40" s="226"/>
      <c r="S40" s="226"/>
      <c r="T40" s="226"/>
      <c r="U40" s="226"/>
      <c r="V40" s="226"/>
      <c r="W40" s="226"/>
      <c r="X40" s="226"/>
      <c r="Y40" s="226"/>
      <c r="Z40" s="226"/>
      <c r="AA40" s="226"/>
      <c r="AB40" s="226"/>
      <c r="AC40" s="226"/>
      <c r="AD40" s="226"/>
      <c r="AE40" s="229"/>
      <c r="AF40" s="226"/>
      <c r="AG40" s="226"/>
      <c r="AH40" s="226"/>
      <c r="AI40" s="226"/>
      <c r="AJ40" s="226"/>
      <c r="AK40" s="226"/>
      <c r="AL40" s="226"/>
      <c r="AM40" s="226"/>
      <c r="AN40" s="226"/>
      <c r="AO40" s="226"/>
      <c r="AP40" s="226"/>
      <c r="AQ40" s="226"/>
      <c r="AR40" s="226"/>
      <c r="AS40" s="226"/>
      <c r="AT40" s="226"/>
      <c r="AU40" s="226"/>
      <c r="AV40" s="226"/>
      <c r="AW40" s="226"/>
      <c r="AX40" s="226"/>
      <c r="AY40" s="226"/>
      <c r="AZ40" s="226"/>
      <c r="BA40" s="226"/>
      <c r="BB40" s="226"/>
      <c r="BC40" s="226"/>
      <c r="BD40" s="226"/>
      <c r="BE40" s="226"/>
      <c r="BF40" s="226"/>
    </row>
    <row r="41" spans="1:58">
      <c r="A41" s="269" t="s">
        <v>150</v>
      </c>
      <c r="B41" s="232"/>
      <c r="C41" s="233"/>
      <c r="D41" s="233"/>
      <c r="E41" s="233"/>
      <c r="F41" s="233"/>
      <c r="G41" s="233"/>
      <c r="H41" s="234"/>
      <c r="I41" s="234"/>
      <c r="J41" s="234"/>
      <c r="K41" s="270"/>
      <c r="L41" s="233"/>
      <c r="M41" s="233"/>
      <c r="N41" s="233"/>
      <c r="O41" s="233"/>
      <c r="P41" s="233"/>
      <c r="Q41" s="233"/>
      <c r="R41" s="233"/>
      <c r="S41" s="233"/>
      <c r="T41" s="233"/>
      <c r="U41" s="233"/>
      <c r="V41" s="233"/>
      <c r="W41" s="233"/>
      <c r="X41" s="233"/>
      <c r="Y41" s="233"/>
      <c r="Z41" s="233"/>
      <c r="AA41" s="233"/>
      <c r="AB41" s="233"/>
      <c r="AC41" s="233"/>
      <c r="AD41" s="233"/>
      <c r="AE41" s="270"/>
      <c r="AF41" s="233"/>
      <c r="AG41" s="233"/>
      <c r="AH41" s="233"/>
      <c r="AI41" s="233"/>
      <c r="AJ41" s="233"/>
      <c r="AK41" s="233"/>
      <c r="AL41" s="233"/>
      <c r="AM41" s="233"/>
      <c r="AN41" s="233"/>
      <c r="AO41" s="233"/>
      <c r="AP41" s="233"/>
      <c r="AQ41" s="233"/>
      <c r="AR41" s="233"/>
      <c r="AS41" s="233"/>
      <c r="AT41" s="233"/>
      <c r="AU41" s="233"/>
      <c r="AV41" s="233"/>
      <c r="AW41" s="233"/>
      <c r="AX41" s="233"/>
      <c r="AY41" s="233"/>
      <c r="AZ41" s="233"/>
      <c r="BA41" s="233"/>
      <c r="BB41" s="233"/>
      <c r="BC41" s="233"/>
      <c r="BD41" s="233"/>
      <c r="BE41" s="233"/>
      <c r="BF41" s="233"/>
    </row>
    <row r="42" spans="1:58">
      <c r="A42" s="271" t="s">
        <v>197</v>
      </c>
      <c r="B42" s="272"/>
      <c r="C42" s="273"/>
      <c r="D42" s="273"/>
      <c r="E42" s="273"/>
      <c r="F42" s="273"/>
      <c r="G42" s="273"/>
      <c r="H42" s="274">
        <f t="shared" ref="H42:H47" si="3">ROUNDUP(SUM(K42:BF42),1)</f>
        <v>0</v>
      </c>
      <c r="I42" s="275">
        <f t="shared" ref="I42:I47" si="4">H42*$H$7</f>
        <v>0</v>
      </c>
      <c r="J42" s="275"/>
      <c r="K42" s="276"/>
      <c r="L42" s="276"/>
      <c r="M42" s="276"/>
      <c r="N42" s="276"/>
      <c r="O42" s="276"/>
      <c r="P42" s="276"/>
      <c r="Q42" s="276"/>
      <c r="R42" s="276"/>
      <c r="S42" s="276"/>
      <c r="T42" s="276"/>
      <c r="U42" s="276"/>
      <c r="V42" s="276"/>
      <c r="W42" s="276"/>
      <c r="X42" s="276"/>
      <c r="Y42" s="276"/>
      <c r="Z42" s="276"/>
      <c r="AA42" s="276"/>
      <c r="AB42" s="276"/>
      <c r="AC42" s="276"/>
      <c r="AD42" s="276"/>
      <c r="AE42" s="276"/>
      <c r="AF42" s="276"/>
      <c r="AG42" s="276"/>
      <c r="AH42" s="276"/>
      <c r="AI42" s="276"/>
      <c r="AJ42" s="276"/>
      <c r="AK42" s="276"/>
      <c r="AL42" s="276"/>
      <c r="AM42" s="276"/>
      <c r="AN42" s="276"/>
      <c r="AO42" s="276"/>
      <c r="AP42" s="276"/>
      <c r="AQ42" s="276"/>
      <c r="AR42" s="276"/>
      <c r="AS42" s="276"/>
      <c r="AT42" s="276"/>
      <c r="AU42" s="276"/>
      <c r="AV42" s="276"/>
      <c r="AW42" s="276"/>
      <c r="AX42" s="276"/>
      <c r="AY42" s="276"/>
      <c r="AZ42" s="276"/>
      <c r="BA42" s="276"/>
      <c r="BB42" s="276"/>
      <c r="BC42" s="276"/>
      <c r="BD42" s="276"/>
      <c r="BE42" s="276"/>
      <c r="BF42" s="276"/>
    </row>
    <row r="43" spans="1:58">
      <c r="A43" s="271" t="s">
        <v>198</v>
      </c>
      <c r="B43" s="272"/>
      <c r="C43" s="273"/>
      <c r="D43" s="273"/>
      <c r="E43" s="273"/>
      <c r="F43" s="273"/>
      <c r="G43" s="273"/>
      <c r="H43" s="274">
        <f t="shared" si="3"/>
        <v>0</v>
      </c>
      <c r="I43" s="275">
        <f t="shared" si="4"/>
        <v>0</v>
      </c>
      <c r="J43" s="275"/>
      <c r="K43" s="276"/>
      <c r="L43" s="276"/>
      <c r="M43" s="276"/>
      <c r="N43" s="276"/>
      <c r="O43" s="276"/>
      <c r="P43" s="276"/>
      <c r="Q43" s="276"/>
      <c r="R43" s="276"/>
      <c r="S43" s="276"/>
      <c r="T43" s="276"/>
      <c r="U43" s="276"/>
      <c r="V43" s="276"/>
      <c r="W43" s="276"/>
      <c r="X43" s="276"/>
      <c r="Y43" s="276"/>
      <c r="Z43" s="276"/>
      <c r="AA43" s="276"/>
      <c r="AB43" s="276"/>
      <c r="AC43" s="276"/>
      <c r="AD43" s="276"/>
      <c r="AE43" s="276"/>
      <c r="AF43" s="276"/>
      <c r="AG43" s="276"/>
      <c r="AH43" s="276"/>
      <c r="AI43" s="276"/>
      <c r="AJ43" s="276"/>
      <c r="AK43" s="276"/>
      <c r="AL43" s="276"/>
      <c r="AM43" s="276"/>
      <c r="AN43" s="276"/>
      <c r="AO43" s="276"/>
      <c r="AP43" s="276"/>
      <c r="AQ43" s="276"/>
      <c r="AR43" s="276"/>
      <c r="AS43" s="276"/>
      <c r="AT43" s="276"/>
      <c r="AU43" s="276"/>
      <c r="AV43" s="276"/>
      <c r="AW43" s="276"/>
      <c r="AX43" s="276"/>
      <c r="AY43" s="276"/>
      <c r="AZ43" s="276"/>
      <c r="BA43" s="276"/>
      <c r="BB43" s="276"/>
      <c r="BC43" s="276"/>
      <c r="BD43" s="276"/>
      <c r="BE43" s="276"/>
      <c r="BF43" s="276"/>
    </row>
    <row r="44" spans="1:58">
      <c r="A44" s="271" t="s">
        <v>199</v>
      </c>
      <c r="B44" s="277"/>
      <c r="C44" s="278"/>
      <c r="D44" s="273"/>
      <c r="E44" s="278"/>
      <c r="F44" s="278"/>
      <c r="G44" s="278"/>
      <c r="H44" s="274">
        <f t="shared" si="3"/>
        <v>0</v>
      </c>
      <c r="I44" s="275">
        <f t="shared" si="4"/>
        <v>0</v>
      </c>
      <c r="J44" s="275"/>
      <c r="K44" s="276"/>
      <c r="L44" s="276"/>
      <c r="M44" s="276"/>
      <c r="N44" s="276"/>
      <c r="O44" s="276"/>
      <c r="P44" s="276"/>
      <c r="Q44" s="276"/>
      <c r="R44" s="276"/>
      <c r="S44" s="276"/>
      <c r="T44" s="276"/>
      <c r="U44" s="276"/>
      <c r="V44" s="276"/>
      <c r="W44" s="276"/>
      <c r="X44" s="276"/>
      <c r="Y44" s="276"/>
      <c r="Z44" s="276"/>
      <c r="AA44" s="276"/>
      <c r="AB44" s="276"/>
      <c r="AC44" s="276"/>
      <c r="AD44" s="276"/>
      <c r="AE44" s="276"/>
      <c r="AF44" s="276"/>
      <c r="AG44" s="276"/>
      <c r="AH44" s="276"/>
      <c r="AI44" s="276"/>
      <c r="AJ44" s="276"/>
      <c r="AK44" s="276"/>
      <c r="AL44" s="276"/>
      <c r="AM44" s="276"/>
      <c r="AN44" s="276"/>
      <c r="AO44" s="276"/>
      <c r="AP44" s="276"/>
      <c r="AQ44" s="276"/>
      <c r="AR44" s="276"/>
      <c r="AS44" s="276"/>
      <c r="AT44" s="276"/>
      <c r="AU44" s="276"/>
      <c r="AV44" s="276"/>
      <c r="AW44" s="276"/>
      <c r="AX44" s="276"/>
      <c r="AY44" s="276"/>
      <c r="AZ44" s="276"/>
      <c r="BA44" s="276"/>
      <c r="BB44" s="276"/>
      <c r="BC44" s="276"/>
      <c r="BD44" s="276"/>
      <c r="BE44" s="276"/>
      <c r="BF44" s="276"/>
    </row>
    <row r="45" spans="1:58">
      <c r="A45" s="271" t="s">
        <v>200</v>
      </c>
      <c r="B45" s="272"/>
      <c r="C45" s="273"/>
      <c r="D45" s="273"/>
      <c r="E45" s="273"/>
      <c r="F45" s="273"/>
      <c r="G45" s="273"/>
      <c r="H45" s="274">
        <f t="shared" si="3"/>
        <v>0</v>
      </c>
      <c r="I45" s="275">
        <f t="shared" si="4"/>
        <v>0</v>
      </c>
      <c r="J45" s="275"/>
      <c r="K45" s="276"/>
      <c r="L45" s="276"/>
      <c r="M45" s="276"/>
      <c r="N45" s="276"/>
      <c r="O45" s="276"/>
      <c r="P45" s="276"/>
      <c r="Q45" s="276"/>
      <c r="R45" s="276"/>
      <c r="S45" s="276"/>
      <c r="T45" s="276"/>
      <c r="U45" s="276"/>
      <c r="V45" s="276"/>
      <c r="W45" s="276"/>
      <c r="X45" s="276"/>
      <c r="Y45" s="276"/>
      <c r="Z45" s="276"/>
      <c r="AA45" s="276"/>
      <c r="AB45" s="276"/>
      <c r="AC45" s="276"/>
      <c r="AD45" s="276"/>
      <c r="AE45" s="276"/>
      <c r="AF45" s="276"/>
      <c r="AG45" s="276"/>
      <c r="AH45" s="276"/>
      <c r="AI45" s="276"/>
      <c r="AJ45" s="276"/>
      <c r="AK45" s="276"/>
      <c r="AL45" s="276"/>
      <c r="AM45" s="276"/>
      <c r="AN45" s="276"/>
      <c r="AO45" s="276"/>
      <c r="AP45" s="276"/>
      <c r="AQ45" s="276"/>
      <c r="AR45" s="276"/>
      <c r="AS45" s="276"/>
      <c r="AT45" s="276"/>
      <c r="AU45" s="276"/>
      <c r="AV45" s="276"/>
      <c r="AW45" s="276"/>
      <c r="AX45" s="276"/>
      <c r="AY45" s="276"/>
      <c r="AZ45" s="276"/>
      <c r="BA45" s="276"/>
      <c r="BB45" s="276"/>
      <c r="BC45" s="276"/>
      <c r="BD45" s="276"/>
      <c r="BE45" s="276"/>
      <c r="BF45" s="276"/>
    </row>
    <row r="46" spans="1:58">
      <c r="A46" s="279" t="s">
        <v>201</v>
      </c>
      <c r="B46" s="272"/>
      <c r="C46" s="273"/>
      <c r="D46" s="273"/>
      <c r="E46" s="273"/>
      <c r="F46" s="273"/>
      <c r="G46" s="273"/>
      <c r="H46" s="274">
        <f t="shared" si="3"/>
        <v>0</v>
      </c>
      <c r="I46" s="275">
        <f t="shared" si="4"/>
        <v>0</v>
      </c>
      <c r="J46" s="275"/>
      <c r="K46" s="276"/>
      <c r="L46" s="276"/>
      <c r="M46" s="276"/>
      <c r="N46" s="276"/>
      <c r="O46" s="276"/>
      <c r="P46" s="276"/>
      <c r="Q46" s="276"/>
      <c r="R46" s="276"/>
      <c r="S46" s="276"/>
      <c r="T46" s="276"/>
      <c r="U46" s="276"/>
      <c r="V46" s="276"/>
      <c r="W46" s="276"/>
      <c r="X46" s="276"/>
      <c r="Y46" s="276"/>
      <c r="Z46" s="276"/>
      <c r="AA46" s="276"/>
      <c r="AB46" s="276"/>
      <c r="AC46" s="276"/>
      <c r="AD46" s="276"/>
      <c r="AE46" s="276"/>
      <c r="AF46" s="276"/>
      <c r="AG46" s="276"/>
      <c r="AH46" s="276"/>
      <c r="AI46" s="276"/>
      <c r="AJ46" s="276"/>
      <c r="AK46" s="276"/>
      <c r="AL46" s="276"/>
      <c r="AM46" s="276"/>
      <c r="AN46" s="276"/>
      <c r="AO46" s="276"/>
      <c r="AP46" s="276"/>
      <c r="AQ46" s="276"/>
      <c r="AR46" s="276"/>
      <c r="AS46" s="276"/>
      <c r="AT46" s="276"/>
      <c r="AU46" s="276"/>
      <c r="AV46" s="276"/>
      <c r="AW46" s="276"/>
      <c r="AX46" s="276"/>
      <c r="AY46" s="276"/>
      <c r="AZ46" s="276"/>
      <c r="BA46" s="276"/>
      <c r="BB46" s="276"/>
      <c r="BC46" s="276"/>
      <c r="BD46" s="276"/>
      <c r="BE46" s="276"/>
      <c r="BF46" s="276"/>
    </row>
    <row r="47" spans="1:58">
      <c r="A47" s="279" t="s">
        <v>202</v>
      </c>
      <c r="B47" s="272"/>
      <c r="C47" s="273"/>
      <c r="D47" s="273"/>
      <c r="E47" s="273"/>
      <c r="F47" s="273"/>
      <c r="G47" s="273"/>
      <c r="H47" s="274">
        <f t="shared" si="3"/>
        <v>0</v>
      </c>
      <c r="I47" s="275">
        <f t="shared" si="4"/>
        <v>0</v>
      </c>
      <c r="J47" s="275"/>
      <c r="K47" s="276"/>
      <c r="L47" s="276"/>
      <c r="M47" s="276"/>
      <c r="N47" s="276"/>
      <c r="O47" s="276"/>
      <c r="P47" s="276"/>
      <c r="Q47" s="276"/>
      <c r="R47" s="276"/>
      <c r="S47" s="276"/>
      <c r="T47" s="276"/>
      <c r="U47" s="276"/>
      <c r="V47" s="276"/>
      <c r="W47" s="276"/>
      <c r="X47" s="276"/>
      <c r="Y47" s="276"/>
      <c r="Z47" s="276"/>
      <c r="AA47" s="276"/>
      <c r="AB47" s="276"/>
      <c r="AC47" s="276"/>
      <c r="AD47" s="276"/>
      <c r="AE47" s="276"/>
      <c r="AF47" s="276"/>
      <c r="AG47" s="276"/>
      <c r="AH47" s="276"/>
      <c r="AI47" s="276"/>
      <c r="AJ47" s="276"/>
      <c r="AK47" s="276"/>
      <c r="AL47" s="276"/>
      <c r="AM47" s="276"/>
      <c r="AN47" s="276"/>
      <c r="AO47" s="276"/>
      <c r="AP47" s="276"/>
      <c r="AQ47" s="276"/>
      <c r="AR47" s="276"/>
      <c r="AS47" s="276"/>
      <c r="AT47" s="276"/>
      <c r="AU47" s="276"/>
      <c r="AV47" s="276"/>
      <c r="AW47" s="276"/>
      <c r="AX47" s="276"/>
      <c r="AY47" s="276"/>
      <c r="AZ47" s="276"/>
      <c r="BA47" s="276"/>
      <c r="BB47" s="276"/>
      <c r="BC47" s="276"/>
      <c r="BD47" s="276"/>
      <c r="BE47" s="276"/>
      <c r="BF47" s="276"/>
    </row>
    <row r="48" spans="1:58">
      <c r="A48" s="280" t="s">
        <v>203</v>
      </c>
      <c r="B48" s="281"/>
      <c r="C48" s="282"/>
      <c r="D48" s="282"/>
      <c r="E48" s="282"/>
      <c r="F48" s="282"/>
      <c r="G48" s="282"/>
      <c r="H48" s="251">
        <f>SUM(H42:H47)</f>
        <v>0</v>
      </c>
      <c r="I48" s="252">
        <f>SUM(I42:I47)</f>
        <v>0</v>
      </c>
      <c r="J48" s="252">
        <f>SUM(J42:J47)</f>
        <v>0</v>
      </c>
      <c r="K48" s="253"/>
      <c r="L48" s="253"/>
      <c r="M48" s="253"/>
      <c r="N48" s="253"/>
      <c r="O48" s="253"/>
      <c r="P48" s="253"/>
      <c r="Q48" s="253"/>
      <c r="R48" s="253"/>
      <c r="S48" s="253"/>
      <c r="T48" s="253"/>
      <c r="U48" s="253"/>
      <c r="V48" s="253"/>
      <c r="W48" s="253"/>
      <c r="X48" s="253"/>
      <c r="Y48" s="253"/>
      <c r="Z48" s="253"/>
      <c r="AA48" s="253"/>
      <c r="AB48" s="253"/>
      <c r="AC48" s="253"/>
      <c r="AD48" s="253"/>
      <c r="AE48" s="253"/>
      <c r="AF48" s="253"/>
      <c r="AG48" s="253"/>
      <c r="AH48" s="253"/>
      <c r="AI48" s="253"/>
      <c r="AJ48" s="253"/>
      <c r="AK48" s="253"/>
      <c r="AL48" s="253"/>
      <c r="AM48" s="253"/>
      <c r="AN48" s="253"/>
      <c r="AO48" s="253"/>
      <c r="AP48" s="253"/>
      <c r="AQ48" s="253"/>
      <c r="AR48" s="253"/>
      <c r="AS48" s="253"/>
      <c r="AT48" s="253"/>
      <c r="AU48" s="253"/>
      <c r="AV48" s="253"/>
      <c r="AW48" s="253"/>
      <c r="AX48" s="253"/>
      <c r="AY48" s="253"/>
      <c r="AZ48" s="253"/>
      <c r="BA48" s="253"/>
      <c r="BB48" s="253"/>
      <c r="BC48" s="253"/>
      <c r="BD48" s="253"/>
      <c r="BE48" s="253"/>
      <c r="BF48" s="253"/>
    </row>
    <row r="49" spans="1:58">
      <c r="A49" s="225"/>
      <c r="B49" s="225"/>
      <c r="C49" s="226"/>
      <c r="D49" s="226"/>
      <c r="E49" s="226"/>
      <c r="F49" s="226"/>
      <c r="G49" s="226"/>
      <c r="H49" s="227"/>
      <c r="I49" s="228"/>
      <c r="J49" s="228"/>
      <c r="K49" s="229"/>
      <c r="L49" s="226"/>
      <c r="M49" s="226"/>
      <c r="N49" s="226"/>
      <c r="O49" s="226"/>
      <c r="P49" s="226"/>
      <c r="Q49" s="226"/>
      <c r="R49" s="226"/>
      <c r="S49" s="226"/>
      <c r="T49" s="226"/>
      <c r="U49" s="226"/>
      <c r="V49" s="226"/>
      <c r="W49" s="226"/>
      <c r="X49" s="226"/>
      <c r="Y49" s="226"/>
      <c r="Z49" s="226"/>
      <c r="AA49" s="226"/>
      <c r="AB49" s="226"/>
      <c r="AC49" s="226"/>
      <c r="AD49" s="226"/>
      <c r="AE49" s="229"/>
      <c r="AF49" s="226"/>
      <c r="AG49" s="226"/>
      <c r="AH49" s="226"/>
      <c r="AI49" s="226"/>
      <c r="AJ49" s="226"/>
      <c r="AK49" s="226"/>
      <c r="AL49" s="226"/>
      <c r="AM49" s="226"/>
      <c r="AN49" s="226"/>
      <c r="AO49" s="226"/>
      <c r="AP49" s="226"/>
      <c r="AQ49" s="226"/>
      <c r="AR49" s="226"/>
      <c r="AS49" s="226"/>
      <c r="AT49" s="226"/>
      <c r="AU49" s="226"/>
      <c r="AV49" s="226"/>
      <c r="AW49" s="226"/>
      <c r="AX49" s="226"/>
      <c r="AY49" s="226"/>
      <c r="AZ49" s="226"/>
      <c r="BA49" s="226"/>
      <c r="BB49" s="226"/>
      <c r="BC49" s="226"/>
      <c r="BD49" s="226"/>
      <c r="BE49" s="226"/>
      <c r="BF49" s="226"/>
    </row>
    <row r="50" spans="1:58">
      <c r="A50" s="231" t="s">
        <v>151</v>
      </c>
      <c r="B50" s="232"/>
      <c r="C50" s="233"/>
      <c r="D50" s="233"/>
      <c r="E50" s="233"/>
      <c r="F50" s="233"/>
      <c r="G50" s="233"/>
      <c r="H50" s="234"/>
      <c r="I50" s="234"/>
      <c r="J50" s="234"/>
      <c r="K50" s="270"/>
      <c r="L50" s="233"/>
      <c r="M50" s="233"/>
      <c r="N50" s="233"/>
      <c r="O50" s="233"/>
      <c r="P50" s="233"/>
      <c r="Q50" s="233"/>
      <c r="R50" s="233"/>
      <c r="S50" s="233"/>
      <c r="T50" s="233"/>
      <c r="U50" s="233"/>
      <c r="V50" s="233"/>
      <c r="W50" s="233"/>
      <c r="X50" s="233"/>
      <c r="Y50" s="233"/>
      <c r="Z50" s="233"/>
      <c r="AA50" s="233"/>
      <c r="AB50" s="233"/>
      <c r="AC50" s="233"/>
      <c r="AD50" s="233"/>
      <c r="AE50" s="270"/>
      <c r="AF50" s="233"/>
      <c r="AG50" s="233"/>
      <c r="AH50" s="233"/>
      <c r="AI50" s="233"/>
      <c r="AJ50" s="233"/>
      <c r="AK50" s="233"/>
      <c r="AL50" s="233"/>
      <c r="AM50" s="233"/>
      <c r="AN50" s="233"/>
      <c r="AO50" s="233"/>
      <c r="AP50" s="233"/>
      <c r="AQ50" s="233"/>
      <c r="AR50" s="233"/>
      <c r="AS50" s="233"/>
      <c r="AT50" s="233"/>
      <c r="AU50" s="233"/>
      <c r="AV50" s="233"/>
      <c r="AW50" s="233"/>
      <c r="AX50" s="233"/>
      <c r="AY50" s="233"/>
      <c r="AZ50" s="233"/>
      <c r="BA50" s="233"/>
      <c r="BB50" s="233"/>
      <c r="BC50" s="233"/>
      <c r="BD50" s="233"/>
      <c r="BE50" s="233"/>
      <c r="BF50" s="233"/>
    </row>
    <row r="51" spans="1:58">
      <c r="A51" s="283" t="s">
        <v>204</v>
      </c>
      <c r="B51" s="284"/>
      <c r="C51" s="247"/>
      <c r="D51" s="247"/>
      <c r="E51" s="247"/>
      <c r="F51" s="247"/>
      <c r="G51" s="247"/>
      <c r="H51" s="285">
        <f>ROUNDUP(SUM(K51:BF51),1)</f>
        <v>0</v>
      </c>
      <c r="I51" s="286">
        <f>H51*$H$7</f>
        <v>0</v>
      </c>
      <c r="J51" s="286"/>
      <c r="K51" s="247"/>
      <c r="L51" s="247"/>
      <c r="M51" s="247"/>
      <c r="N51" s="247"/>
      <c r="O51" s="247"/>
      <c r="P51" s="247"/>
      <c r="Q51" s="247"/>
      <c r="R51" s="247"/>
      <c r="S51" s="247"/>
      <c r="T51" s="247"/>
      <c r="U51" s="247"/>
      <c r="V51" s="247"/>
      <c r="W51" s="247"/>
      <c r="X51" s="247"/>
      <c r="Y51" s="247"/>
      <c r="Z51" s="247"/>
      <c r="AA51" s="247"/>
      <c r="AB51" s="247"/>
      <c r="AC51" s="247"/>
      <c r="AD51" s="247"/>
      <c r="AE51" s="247"/>
      <c r="AF51" s="247"/>
      <c r="AG51" s="247"/>
      <c r="AH51" s="247"/>
      <c r="AI51" s="247"/>
      <c r="AJ51" s="247"/>
      <c r="AK51" s="247"/>
      <c r="AL51" s="247"/>
      <c r="AM51" s="247"/>
      <c r="AN51" s="247"/>
      <c r="AO51" s="247"/>
      <c r="AP51" s="247"/>
      <c r="AQ51" s="247"/>
      <c r="AR51" s="247"/>
      <c r="AS51" s="247"/>
      <c r="AT51" s="247"/>
      <c r="AU51" s="247"/>
      <c r="AV51" s="247"/>
      <c r="AW51" s="247"/>
      <c r="AX51" s="247"/>
      <c r="AY51" s="247"/>
      <c r="AZ51" s="247"/>
      <c r="BA51" s="247"/>
      <c r="BB51" s="247"/>
      <c r="BC51" s="247"/>
      <c r="BD51" s="247"/>
      <c r="BE51" s="247"/>
      <c r="BF51" s="247"/>
    </row>
    <row r="52" spans="1:58">
      <c r="A52" s="287" t="s">
        <v>205</v>
      </c>
      <c r="B52" s="284"/>
      <c r="C52" s="284"/>
      <c r="D52" s="247"/>
      <c r="E52" s="247"/>
      <c r="F52" s="284"/>
      <c r="G52" s="247"/>
      <c r="H52" s="285">
        <f>ROUNDUP(SUM(K52:BF52),1)</f>
        <v>0</v>
      </c>
      <c r="I52" s="286">
        <f>H52*$H$7</f>
        <v>0</v>
      </c>
      <c r="J52" s="286"/>
      <c r="K52" s="247"/>
      <c r="L52" s="247"/>
      <c r="M52" s="247"/>
      <c r="N52" s="247"/>
      <c r="O52" s="247"/>
      <c r="P52" s="247"/>
      <c r="Q52" s="247"/>
      <c r="R52" s="247"/>
      <c r="S52" s="247"/>
      <c r="T52" s="247"/>
      <c r="U52" s="247"/>
      <c r="V52" s="247"/>
      <c r="W52" s="247"/>
      <c r="X52" s="247"/>
      <c r="Y52" s="247"/>
      <c r="Z52" s="247"/>
      <c r="AA52" s="247"/>
      <c r="AB52" s="247"/>
      <c r="AC52" s="247"/>
      <c r="AD52" s="247"/>
      <c r="AE52" s="247"/>
      <c r="AF52" s="247"/>
      <c r="AG52" s="247"/>
      <c r="AH52" s="247"/>
      <c r="AI52" s="247"/>
      <c r="AJ52" s="247"/>
      <c r="AK52" s="247"/>
      <c r="AL52" s="247"/>
      <c r="AM52" s="247"/>
      <c r="AN52" s="247"/>
      <c r="AO52" s="247"/>
      <c r="AP52" s="247"/>
      <c r="AQ52" s="247"/>
      <c r="AR52" s="247"/>
      <c r="AS52" s="247"/>
      <c r="AT52" s="247"/>
      <c r="AU52" s="247"/>
      <c r="AV52" s="247"/>
      <c r="AW52" s="247"/>
      <c r="AX52" s="247"/>
      <c r="AY52" s="247"/>
      <c r="AZ52" s="247"/>
      <c r="BA52" s="247"/>
      <c r="BB52" s="247"/>
      <c r="BC52" s="247"/>
      <c r="BD52" s="247"/>
      <c r="BE52" s="247"/>
      <c r="BF52" s="247"/>
    </row>
    <row r="53" spans="1:58">
      <c r="A53" s="287" t="s">
        <v>206</v>
      </c>
      <c r="B53" s="284"/>
      <c r="C53" s="284"/>
      <c r="D53" s="247"/>
      <c r="E53" s="247"/>
      <c r="F53" s="284"/>
      <c r="G53" s="247"/>
      <c r="H53" s="285">
        <f>ROUNDUP(SUM(K53:BF53),1)</f>
        <v>0</v>
      </c>
      <c r="I53" s="286">
        <f>H53*$H$7</f>
        <v>0</v>
      </c>
      <c r="J53" s="284"/>
      <c r="K53" s="247"/>
      <c r="L53" s="247"/>
      <c r="M53" s="247"/>
      <c r="N53" s="247"/>
      <c r="O53" s="247"/>
      <c r="P53" s="247"/>
      <c r="Q53" s="247"/>
      <c r="R53" s="247"/>
      <c r="S53" s="247"/>
      <c r="T53" s="247"/>
      <c r="U53" s="247"/>
      <c r="V53" s="247"/>
      <c r="W53" s="247"/>
      <c r="X53" s="247"/>
      <c r="Y53" s="247"/>
      <c r="Z53" s="247"/>
      <c r="AA53" s="247"/>
      <c r="AB53" s="247"/>
      <c r="AC53" s="247"/>
      <c r="AD53" s="247"/>
      <c r="AE53" s="247"/>
      <c r="AF53" s="247"/>
      <c r="AG53" s="247"/>
      <c r="AH53" s="247"/>
      <c r="AI53" s="247"/>
      <c r="AJ53" s="247"/>
      <c r="AK53" s="247"/>
      <c r="AL53" s="247"/>
      <c r="AM53" s="247"/>
      <c r="AN53" s="247"/>
      <c r="AO53" s="247"/>
      <c r="AP53" s="247"/>
      <c r="AQ53" s="247"/>
      <c r="AR53" s="247"/>
      <c r="AS53" s="247"/>
      <c r="AT53" s="247"/>
      <c r="AU53" s="247"/>
      <c r="AV53" s="247"/>
      <c r="AW53" s="247"/>
      <c r="AX53" s="247"/>
      <c r="AY53" s="247"/>
      <c r="AZ53" s="247"/>
      <c r="BA53" s="247"/>
      <c r="BB53" s="247"/>
      <c r="BC53" s="247"/>
      <c r="BD53" s="247"/>
      <c r="BE53" s="247"/>
      <c r="BF53" s="247"/>
    </row>
    <row r="54" spans="1:58">
      <c r="A54" s="287" t="s">
        <v>207</v>
      </c>
      <c r="B54" s="284"/>
      <c r="C54" s="247"/>
      <c r="D54" s="247"/>
      <c r="E54" s="247"/>
      <c r="F54" s="247"/>
      <c r="G54" s="247"/>
      <c r="H54" s="285">
        <f>ROUNDUP(SUM(K54:BF54),1)</f>
        <v>0</v>
      </c>
      <c r="I54" s="286">
        <f>H54*$H$7</f>
        <v>0</v>
      </c>
      <c r="J54" s="286"/>
      <c r="K54" s="247"/>
      <c r="L54" s="247"/>
      <c r="M54" s="247"/>
      <c r="N54" s="247"/>
      <c r="O54" s="247"/>
      <c r="P54" s="247"/>
      <c r="Q54" s="247"/>
      <c r="R54" s="247"/>
      <c r="S54" s="247"/>
      <c r="T54" s="247"/>
      <c r="U54" s="247"/>
      <c r="V54" s="247"/>
      <c r="W54" s="247"/>
      <c r="X54" s="247"/>
      <c r="Y54" s="247"/>
      <c r="Z54" s="247"/>
      <c r="AA54" s="247"/>
      <c r="AB54" s="247"/>
      <c r="AC54" s="247"/>
      <c r="AD54" s="247"/>
      <c r="AE54" s="247"/>
      <c r="AF54" s="247"/>
      <c r="AG54" s="247"/>
      <c r="AH54" s="247"/>
      <c r="AI54" s="247"/>
      <c r="AJ54" s="247"/>
      <c r="AK54" s="247"/>
      <c r="AL54" s="247"/>
      <c r="AM54" s="247"/>
      <c r="AN54" s="247"/>
      <c r="AO54" s="247"/>
      <c r="AP54" s="247"/>
      <c r="AQ54" s="247"/>
      <c r="AR54" s="247"/>
      <c r="AS54" s="247"/>
      <c r="AT54" s="247"/>
      <c r="AU54" s="247"/>
      <c r="AV54" s="247"/>
      <c r="AW54" s="247"/>
      <c r="AX54" s="247"/>
      <c r="AY54" s="247"/>
      <c r="AZ54" s="247"/>
      <c r="BA54" s="247"/>
      <c r="BB54" s="247"/>
      <c r="BC54" s="247"/>
      <c r="BD54" s="247"/>
      <c r="BE54" s="247"/>
      <c r="BF54" s="247"/>
    </row>
    <row r="55" spans="1:58">
      <c r="A55" s="287" t="s">
        <v>187</v>
      </c>
      <c r="B55" s="284"/>
      <c r="C55" s="247"/>
      <c r="D55" s="247"/>
      <c r="E55" s="247"/>
      <c r="F55" s="247"/>
      <c r="G55" s="247"/>
      <c r="H55" s="285">
        <f t="shared" ref="H55:H57" si="5">ROUNDUP(SUM(K55:BF55),1)</f>
        <v>0</v>
      </c>
      <c r="I55" s="286">
        <f t="shared" ref="I55:I57" si="6">H55*$H$7</f>
        <v>0</v>
      </c>
      <c r="J55" s="286"/>
      <c r="K55" s="247"/>
      <c r="L55" s="247"/>
      <c r="M55" s="247"/>
      <c r="N55" s="247"/>
      <c r="O55" s="247"/>
      <c r="P55" s="247"/>
      <c r="Q55" s="247"/>
      <c r="R55" s="247"/>
      <c r="S55" s="247"/>
      <c r="T55" s="247"/>
      <c r="U55" s="247"/>
      <c r="V55" s="247"/>
      <c r="W55" s="247"/>
      <c r="X55" s="247"/>
      <c r="Y55" s="247"/>
      <c r="Z55" s="247"/>
      <c r="AA55" s="247"/>
      <c r="AB55" s="247"/>
      <c r="AC55" s="247"/>
      <c r="AD55" s="247"/>
      <c r="AE55" s="247"/>
      <c r="AF55" s="247"/>
      <c r="AG55" s="247"/>
      <c r="AH55" s="247"/>
      <c r="AI55" s="247"/>
      <c r="AJ55" s="247"/>
      <c r="AK55" s="247"/>
      <c r="AL55" s="247"/>
      <c r="AM55" s="247"/>
      <c r="AN55" s="247"/>
      <c r="AO55" s="247"/>
      <c r="AP55" s="247"/>
      <c r="AQ55" s="247"/>
      <c r="AR55" s="247"/>
      <c r="AS55" s="247"/>
      <c r="AT55" s="247"/>
      <c r="AU55" s="247"/>
      <c r="AV55" s="247"/>
      <c r="AW55" s="247"/>
      <c r="AX55" s="247"/>
      <c r="AY55" s="247"/>
      <c r="AZ55" s="247"/>
      <c r="BA55" s="247"/>
      <c r="BB55" s="247"/>
      <c r="BC55" s="247"/>
      <c r="BD55" s="247"/>
      <c r="BE55" s="247"/>
      <c r="BF55" s="247"/>
    </row>
    <row r="56" spans="1:58">
      <c r="A56" s="287" t="s">
        <v>208</v>
      </c>
      <c r="B56" s="284"/>
      <c r="C56" s="247"/>
      <c r="D56" s="247"/>
      <c r="E56" s="247"/>
      <c r="F56" s="247"/>
      <c r="G56" s="247"/>
      <c r="H56" s="285">
        <f t="shared" si="5"/>
        <v>0</v>
      </c>
      <c r="I56" s="286">
        <f t="shared" si="6"/>
        <v>0</v>
      </c>
      <c r="J56" s="286"/>
      <c r="K56" s="247"/>
      <c r="L56" s="247"/>
      <c r="M56" s="247"/>
      <c r="N56" s="247"/>
      <c r="O56" s="247"/>
      <c r="P56" s="247"/>
      <c r="Q56" s="247"/>
      <c r="R56" s="247"/>
      <c r="S56" s="247"/>
      <c r="T56" s="247"/>
      <c r="U56" s="247"/>
      <c r="V56" s="247"/>
      <c r="W56" s="247"/>
      <c r="X56" s="247"/>
      <c r="Y56" s="247"/>
      <c r="Z56" s="247"/>
      <c r="AA56" s="247"/>
      <c r="AB56" s="247"/>
      <c r="AC56" s="247"/>
      <c r="AD56" s="247"/>
      <c r="AE56" s="247"/>
      <c r="AF56" s="247"/>
      <c r="AG56" s="247"/>
      <c r="AH56" s="247"/>
      <c r="AI56" s="247"/>
      <c r="AJ56" s="247"/>
      <c r="AK56" s="247"/>
      <c r="AL56" s="247"/>
      <c r="AM56" s="247"/>
      <c r="AN56" s="247"/>
      <c r="AO56" s="247"/>
      <c r="AP56" s="247"/>
      <c r="AQ56" s="247"/>
      <c r="AR56" s="247"/>
      <c r="AS56" s="247"/>
      <c r="AT56" s="247"/>
      <c r="AU56" s="247"/>
      <c r="AV56" s="247"/>
      <c r="AW56" s="247"/>
      <c r="AX56" s="247"/>
      <c r="AY56" s="247"/>
      <c r="AZ56" s="247"/>
      <c r="BA56" s="247"/>
      <c r="BB56" s="247"/>
      <c r="BC56" s="247"/>
      <c r="BD56" s="247"/>
      <c r="BE56" s="247"/>
      <c r="BF56" s="247"/>
    </row>
    <row r="57" spans="1:58">
      <c r="A57" s="287" t="s">
        <v>209</v>
      </c>
      <c r="B57" s="284"/>
      <c r="C57" s="247"/>
      <c r="D57" s="247"/>
      <c r="E57" s="247"/>
      <c r="F57" s="247"/>
      <c r="G57" s="247"/>
      <c r="H57" s="285">
        <f t="shared" si="5"/>
        <v>0</v>
      </c>
      <c r="I57" s="286">
        <f t="shared" si="6"/>
        <v>0</v>
      </c>
      <c r="J57" s="286"/>
      <c r="K57" s="247"/>
      <c r="L57" s="247"/>
      <c r="M57" s="247"/>
      <c r="N57" s="247"/>
      <c r="O57" s="247"/>
      <c r="P57" s="247"/>
      <c r="Q57" s="247"/>
      <c r="R57" s="247"/>
      <c r="S57" s="247"/>
      <c r="T57" s="247"/>
      <c r="U57" s="247"/>
      <c r="V57" s="247"/>
      <c r="W57" s="247"/>
      <c r="X57" s="247"/>
      <c r="Y57" s="247"/>
      <c r="Z57" s="247"/>
      <c r="AA57" s="247"/>
      <c r="AB57" s="247"/>
      <c r="AC57" s="247"/>
      <c r="AD57" s="247"/>
      <c r="AE57" s="247"/>
      <c r="AF57" s="247"/>
      <c r="AG57" s="247"/>
      <c r="AH57" s="247"/>
      <c r="AI57" s="247"/>
      <c r="AJ57" s="247"/>
      <c r="AK57" s="247"/>
      <c r="AL57" s="247"/>
      <c r="AM57" s="247"/>
      <c r="AN57" s="247"/>
      <c r="AO57" s="247"/>
      <c r="AP57" s="247"/>
      <c r="AQ57" s="247"/>
      <c r="AR57" s="247"/>
      <c r="AS57" s="247"/>
      <c r="AT57" s="247"/>
      <c r="AU57" s="247"/>
      <c r="AV57" s="247"/>
      <c r="AW57" s="247"/>
      <c r="AX57" s="247"/>
      <c r="AY57" s="247"/>
      <c r="AZ57" s="247"/>
      <c r="BA57" s="247"/>
      <c r="BB57" s="247"/>
      <c r="BC57" s="247"/>
      <c r="BD57" s="247"/>
      <c r="BE57" s="247"/>
      <c r="BF57" s="247"/>
    </row>
    <row r="58" spans="1:58">
      <c r="A58" s="288" t="s">
        <v>210</v>
      </c>
      <c r="B58" s="284"/>
      <c r="C58" s="247"/>
      <c r="D58" s="247"/>
      <c r="E58" s="247"/>
      <c r="F58" s="247"/>
      <c r="G58" s="247"/>
      <c r="H58" s="285">
        <f>ROUNDUP(SUM(K58:BF58),1)</f>
        <v>0</v>
      </c>
      <c r="I58" s="286">
        <f>H58*$H$7</f>
        <v>0</v>
      </c>
      <c r="J58" s="286"/>
      <c r="K58" s="247"/>
      <c r="L58" s="247"/>
      <c r="M58" s="247"/>
      <c r="N58" s="247"/>
      <c r="O58" s="247"/>
      <c r="P58" s="247"/>
      <c r="Q58" s="247"/>
      <c r="R58" s="247"/>
      <c r="S58" s="247"/>
      <c r="T58" s="247"/>
      <c r="U58" s="247"/>
      <c r="V58" s="247"/>
      <c r="W58" s="247"/>
      <c r="X58" s="247"/>
      <c r="Y58" s="247"/>
      <c r="Z58" s="247"/>
      <c r="AA58" s="247"/>
      <c r="AB58" s="247"/>
      <c r="AC58" s="247"/>
      <c r="AD58" s="247"/>
      <c r="AE58" s="247"/>
      <c r="AF58" s="247"/>
      <c r="AG58" s="247"/>
      <c r="AH58" s="247"/>
      <c r="AI58" s="247"/>
      <c r="AJ58" s="247"/>
      <c r="AK58" s="247"/>
      <c r="AL58" s="247"/>
      <c r="AM58" s="247"/>
      <c r="AN58" s="247"/>
      <c r="AO58" s="247"/>
      <c r="AP58" s="247"/>
      <c r="AQ58" s="247"/>
      <c r="AR58" s="247"/>
      <c r="AS58" s="247"/>
      <c r="AT58" s="247"/>
      <c r="AU58" s="247"/>
      <c r="AV58" s="247"/>
      <c r="AW58" s="247"/>
      <c r="AX58" s="247"/>
      <c r="AY58" s="247"/>
      <c r="AZ58" s="247"/>
      <c r="BA58" s="247"/>
      <c r="BB58" s="247"/>
      <c r="BC58" s="247"/>
      <c r="BD58" s="247"/>
      <c r="BE58" s="247"/>
      <c r="BF58" s="247"/>
    </row>
    <row r="59" spans="1:58">
      <c r="A59" s="280" t="s">
        <v>211</v>
      </c>
      <c r="B59" s="281"/>
      <c r="C59" s="282"/>
      <c r="D59" s="282"/>
      <c r="E59" s="282"/>
      <c r="F59" s="282"/>
      <c r="G59" s="282"/>
      <c r="H59" s="251">
        <f>SUM(H51:H58)</f>
        <v>0</v>
      </c>
      <c r="I59" s="252">
        <f>SUM(I51:I58)</f>
        <v>0</v>
      </c>
      <c r="J59" s="252">
        <f>SUM(J51:J58)</f>
        <v>0</v>
      </c>
      <c r="K59" s="253"/>
      <c r="L59" s="253"/>
      <c r="M59" s="253"/>
      <c r="N59" s="253"/>
      <c r="O59" s="253"/>
      <c r="P59" s="253"/>
      <c r="Q59" s="253"/>
      <c r="R59" s="253"/>
      <c r="S59" s="253"/>
      <c r="T59" s="253"/>
      <c r="U59" s="253"/>
      <c r="V59" s="253"/>
      <c r="W59" s="253"/>
      <c r="X59" s="253"/>
      <c r="Y59" s="253"/>
      <c r="Z59" s="253"/>
      <c r="AA59" s="253"/>
      <c r="AB59" s="253"/>
      <c r="AC59" s="253"/>
      <c r="AD59" s="253"/>
      <c r="AE59" s="253"/>
      <c r="AF59" s="253"/>
      <c r="AG59" s="253"/>
      <c r="AH59" s="253"/>
      <c r="AI59" s="253"/>
      <c r="AJ59" s="253"/>
      <c r="AK59" s="253"/>
      <c r="AL59" s="253"/>
      <c r="AM59" s="253"/>
      <c r="AN59" s="253"/>
      <c r="AO59" s="253"/>
      <c r="AP59" s="253"/>
      <c r="AQ59" s="253"/>
      <c r="AR59" s="253"/>
      <c r="AS59" s="253"/>
      <c r="AT59" s="253"/>
      <c r="AU59" s="253"/>
      <c r="AV59" s="253"/>
      <c r="AW59" s="253"/>
      <c r="AX59" s="253"/>
      <c r="AY59" s="253"/>
      <c r="AZ59" s="253"/>
      <c r="BA59" s="253"/>
      <c r="BB59" s="253"/>
      <c r="BC59" s="253"/>
      <c r="BD59" s="253"/>
      <c r="BE59" s="253"/>
      <c r="BF59" s="253"/>
    </row>
    <row r="60" spans="1:58">
      <c r="A60" s="289"/>
      <c r="B60" s="225"/>
      <c r="C60" s="226"/>
      <c r="D60" s="226"/>
      <c r="E60" s="226"/>
      <c r="F60" s="226"/>
      <c r="G60" s="226"/>
      <c r="H60" s="227"/>
      <c r="I60" s="228"/>
      <c r="J60" s="228"/>
      <c r="K60" s="229"/>
      <c r="L60" s="226"/>
      <c r="M60" s="226"/>
      <c r="N60" s="226"/>
      <c r="O60" s="229"/>
      <c r="P60" s="226"/>
      <c r="Q60" s="226"/>
      <c r="R60" s="226"/>
      <c r="S60" s="229"/>
      <c r="T60" s="226"/>
      <c r="U60" s="226"/>
      <c r="V60" s="226"/>
      <c r="W60" s="229"/>
      <c r="X60" s="226"/>
      <c r="Y60" s="226"/>
      <c r="Z60" s="226"/>
      <c r="AA60" s="229"/>
      <c r="AB60" s="226"/>
      <c r="AC60" s="226"/>
      <c r="AD60" s="226"/>
      <c r="AE60" s="229"/>
      <c r="AF60" s="226"/>
      <c r="AG60" s="226"/>
      <c r="AH60" s="226"/>
      <c r="AI60" s="229"/>
      <c r="AJ60" s="226"/>
      <c r="AK60" s="226"/>
      <c r="AL60" s="226"/>
      <c r="AM60" s="229"/>
      <c r="AN60" s="226"/>
      <c r="AO60" s="226"/>
      <c r="AP60" s="226"/>
      <c r="AQ60" s="229"/>
      <c r="AR60" s="226"/>
      <c r="AS60" s="226"/>
      <c r="AT60" s="226"/>
      <c r="AU60" s="229"/>
      <c r="AV60" s="226"/>
      <c r="AW60" s="226"/>
      <c r="AX60" s="226"/>
      <c r="AY60" s="229"/>
      <c r="AZ60" s="226"/>
      <c r="BA60" s="226"/>
      <c r="BB60" s="226"/>
      <c r="BC60" s="229"/>
      <c r="BD60" s="226"/>
      <c r="BE60" s="226"/>
      <c r="BF60" s="226"/>
    </row>
    <row r="61" spans="1:58">
      <c r="A61" s="269" t="s">
        <v>152</v>
      </c>
      <c r="B61" s="232"/>
      <c r="C61" s="290"/>
      <c r="D61" s="290"/>
      <c r="E61" s="290"/>
      <c r="F61" s="290"/>
      <c r="G61" s="290"/>
      <c r="H61" s="234"/>
      <c r="I61" s="290"/>
      <c r="J61" s="235"/>
      <c r="K61" s="236"/>
      <c r="L61" s="237"/>
      <c r="M61" s="237"/>
      <c r="N61" s="237"/>
      <c r="O61" s="236"/>
      <c r="P61" s="237"/>
      <c r="Q61" s="237"/>
      <c r="R61" s="237"/>
      <c r="S61" s="236"/>
      <c r="T61" s="237"/>
      <c r="U61" s="237"/>
      <c r="V61" s="237"/>
      <c r="W61" s="236"/>
      <c r="X61" s="237"/>
      <c r="Y61" s="237"/>
      <c r="Z61" s="237"/>
      <c r="AA61" s="236"/>
      <c r="AB61" s="237"/>
      <c r="AC61" s="237"/>
      <c r="AD61" s="237"/>
      <c r="AE61" s="236"/>
      <c r="AF61" s="237"/>
      <c r="AG61" s="237"/>
      <c r="AH61" s="237"/>
      <c r="AI61" s="236"/>
      <c r="AJ61" s="237"/>
      <c r="AK61" s="237"/>
      <c r="AL61" s="237"/>
      <c r="AM61" s="236"/>
      <c r="AN61" s="237"/>
      <c r="AO61" s="237"/>
      <c r="AP61" s="237"/>
      <c r="AQ61" s="236"/>
      <c r="AR61" s="237"/>
      <c r="AS61" s="237"/>
      <c r="AT61" s="237"/>
      <c r="AU61" s="236"/>
      <c r="AV61" s="237"/>
      <c r="AW61" s="237"/>
      <c r="AX61" s="237"/>
      <c r="AY61" s="236"/>
      <c r="AZ61" s="237"/>
      <c r="BA61" s="237"/>
      <c r="BB61" s="237"/>
      <c r="BC61" s="236"/>
      <c r="BD61" s="237"/>
      <c r="BE61" s="237"/>
      <c r="BF61" s="237"/>
    </row>
    <row r="62" spans="1:58">
      <c r="A62" s="291" t="s">
        <v>212</v>
      </c>
      <c r="B62" s="292"/>
      <c r="C62" s="292"/>
      <c r="D62" s="224"/>
      <c r="E62" s="224"/>
      <c r="F62" s="292"/>
      <c r="G62" s="292"/>
      <c r="H62" s="224">
        <f>ROUNDUP(SUM(K62:BF62),1)</f>
        <v>0</v>
      </c>
      <c r="I62" s="224">
        <f>H62*$H$7</f>
        <v>0</v>
      </c>
      <c r="J62" s="292"/>
      <c r="K62" s="224"/>
      <c r="L62" s="224"/>
      <c r="M62" s="224"/>
      <c r="N62" s="224"/>
      <c r="O62" s="224"/>
      <c r="P62" s="224"/>
      <c r="Q62" s="224"/>
      <c r="R62" s="224"/>
      <c r="S62" s="224"/>
      <c r="T62" s="224"/>
      <c r="U62" s="224"/>
      <c r="V62" s="224"/>
      <c r="W62" s="224"/>
      <c r="X62" s="224"/>
      <c r="Y62" s="224"/>
      <c r="Z62" s="224"/>
      <c r="AA62" s="224"/>
      <c r="AB62" s="224"/>
      <c r="AC62" s="224"/>
      <c r="AD62" s="224"/>
      <c r="AE62" s="224"/>
      <c r="AF62" s="224"/>
      <c r="AG62" s="224"/>
      <c r="AH62" s="224"/>
      <c r="AI62" s="224"/>
      <c r="AJ62" s="224"/>
      <c r="AK62" s="224"/>
      <c r="AL62" s="224"/>
      <c r="AM62" s="224"/>
      <c r="AN62" s="224"/>
      <c r="AO62" s="224"/>
      <c r="AP62" s="224"/>
      <c r="AQ62" s="224"/>
      <c r="AR62" s="224"/>
      <c r="AS62" s="224"/>
      <c r="AT62" s="224"/>
      <c r="AU62" s="224"/>
      <c r="AV62" s="224"/>
      <c r="AW62" s="224"/>
      <c r="AX62" s="224"/>
      <c r="AY62" s="224"/>
      <c r="AZ62" s="224"/>
      <c r="BA62" s="224"/>
      <c r="BB62" s="224"/>
      <c r="BC62" s="224"/>
      <c r="BD62" s="224"/>
      <c r="BE62" s="224"/>
      <c r="BF62" s="224"/>
    </row>
    <row r="63" spans="1:58">
      <c r="A63" s="291" t="s">
        <v>213</v>
      </c>
      <c r="B63" s="292"/>
      <c r="C63" s="224"/>
      <c r="D63" s="224"/>
      <c r="E63" s="224"/>
      <c r="F63" s="224"/>
      <c r="G63" s="224"/>
      <c r="H63" s="224">
        <f>ROUNDUP(SUM(K63:BF63),1)</f>
        <v>0</v>
      </c>
      <c r="I63" s="293">
        <f>H63*$H$7</f>
        <v>0</v>
      </c>
      <c r="J63" s="293"/>
      <c r="K63" s="224"/>
      <c r="L63" s="224"/>
      <c r="M63" s="224"/>
      <c r="N63" s="224"/>
      <c r="O63" s="224"/>
      <c r="P63" s="224"/>
      <c r="Q63" s="224"/>
      <c r="R63" s="224"/>
      <c r="S63" s="224"/>
      <c r="T63" s="224"/>
      <c r="U63" s="224"/>
      <c r="V63" s="224"/>
      <c r="W63" s="224"/>
      <c r="X63" s="224"/>
      <c r="Y63" s="224"/>
      <c r="Z63" s="224"/>
      <c r="AA63" s="224"/>
      <c r="AB63" s="224"/>
      <c r="AC63" s="224"/>
      <c r="AD63" s="224"/>
      <c r="AE63" s="224"/>
      <c r="AF63" s="224"/>
      <c r="AG63" s="224"/>
      <c r="AH63" s="224"/>
      <c r="AI63" s="224"/>
      <c r="AJ63" s="224"/>
      <c r="AK63" s="224"/>
      <c r="AL63" s="224"/>
      <c r="AM63" s="224"/>
      <c r="AN63" s="224"/>
      <c r="AO63" s="224"/>
      <c r="AP63" s="224"/>
      <c r="AQ63" s="224"/>
      <c r="AR63" s="224"/>
      <c r="AS63" s="224"/>
      <c r="AT63" s="224"/>
      <c r="AU63" s="224"/>
      <c r="AV63" s="224"/>
      <c r="AW63" s="224"/>
      <c r="AX63" s="224"/>
      <c r="AY63" s="224"/>
      <c r="AZ63" s="224"/>
      <c r="BA63" s="224"/>
      <c r="BB63" s="224"/>
      <c r="BC63" s="224"/>
      <c r="BD63" s="224"/>
      <c r="BE63" s="224"/>
      <c r="BF63" s="224"/>
    </row>
    <row r="64" spans="1:58">
      <c r="A64" s="291" t="s">
        <v>214</v>
      </c>
      <c r="B64" s="292"/>
      <c r="C64" s="224"/>
      <c r="D64" s="224"/>
      <c r="E64" s="224"/>
      <c r="F64" s="224"/>
      <c r="G64" s="224"/>
      <c r="H64" s="224">
        <f>ROUNDUP(SUM(K64:BF64),1)</f>
        <v>0</v>
      </c>
      <c r="I64" s="293">
        <f>H64*$H$7</f>
        <v>0</v>
      </c>
      <c r="J64" s="293"/>
      <c r="K64" s="224"/>
      <c r="L64" s="224"/>
      <c r="M64" s="224"/>
      <c r="N64" s="224"/>
      <c r="O64" s="224"/>
      <c r="P64" s="224"/>
      <c r="Q64" s="224"/>
      <c r="R64" s="224"/>
      <c r="S64" s="224"/>
      <c r="T64" s="224"/>
      <c r="U64" s="224"/>
      <c r="V64" s="224"/>
      <c r="W64" s="224"/>
      <c r="X64" s="224"/>
      <c r="Y64" s="224"/>
      <c r="Z64" s="224"/>
      <c r="AA64" s="224"/>
      <c r="AB64" s="224"/>
      <c r="AC64" s="224"/>
      <c r="AD64" s="224"/>
      <c r="AE64" s="224"/>
      <c r="AF64" s="224"/>
      <c r="AG64" s="224"/>
      <c r="AH64" s="224"/>
      <c r="AI64" s="224"/>
      <c r="AJ64" s="224"/>
      <c r="AK64" s="224"/>
      <c r="AL64" s="224"/>
      <c r="AM64" s="224"/>
      <c r="AN64" s="224"/>
      <c r="AO64" s="224"/>
      <c r="AP64" s="224"/>
      <c r="AQ64" s="224"/>
      <c r="AR64" s="224"/>
      <c r="AS64" s="224"/>
      <c r="AT64" s="224"/>
      <c r="AU64" s="224"/>
      <c r="AV64" s="224"/>
      <c r="AW64" s="224"/>
      <c r="AX64" s="224"/>
      <c r="AY64" s="224"/>
      <c r="AZ64" s="224"/>
      <c r="BA64" s="224"/>
      <c r="BB64" s="224"/>
      <c r="BC64" s="224"/>
      <c r="BD64" s="224"/>
      <c r="BE64" s="224"/>
      <c r="BF64" s="224"/>
    </row>
    <row r="65" spans="1:58">
      <c r="A65" s="291" t="s">
        <v>215</v>
      </c>
      <c r="B65" s="292"/>
      <c r="C65" s="224"/>
      <c r="D65" s="224"/>
      <c r="E65" s="224"/>
      <c r="F65" s="224"/>
      <c r="G65" s="224"/>
      <c r="H65" s="224">
        <f>ROUNDUP(SUM(K65:BF65),1)</f>
        <v>0</v>
      </c>
      <c r="I65" s="293">
        <f>H65*$H$7</f>
        <v>0</v>
      </c>
      <c r="J65" s="293"/>
      <c r="K65" s="224"/>
      <c r="L65" s="224"/>
      <c r="M65" s="224"/>
      <c r="N65" s="224"/>
      <c r="O65" s="224"/>
      <c r="P65" s="224"/>
      <c r="Q65" s="224"/>
      <c r="R65" s="224"/>
      <c r="S65" s="224"/>
      <c r="T65" s="224"/>
      <c r="U65" s="224"/>
      <c r="V65" s="224"/>
      <c r="W65" s="224"/>
      <c r="X65" s="224"/>
      <c r="Y65" s="224"/>
      <c r="Z65" s="224"/>
      <c r="AA65" s="224"/>
      <c r="AB65" s="224"/>
      <c r="AC65" s="224"/>
      <c r="AD65" s="224"/>
      <c r="AE65" s="224"/>
      <c r="AF65" s="224"/>
      <c r="AG65" s="224"/>
      <c r="AH65" s="224"/>
      <c r="AI65" s="224"/>
      <c r="AJ65" s="224"/>
      <c r="AK65" s="224"/>
      <c r="AL65" s="224"/>
      <c r="AM65" s="224"/>
      <c r="AN65" s="224"/>
      <c r="AO65" s="224"/>
      <c r="AP65" s="224"/>
      <c r="AQ65" s="224"/>
      <c r="AR65" s="224"/>
      <c r="AS65" s="224"/>
      <c r="AT65" s="224"/>
      <c r="AU65" s="224"/>
      <c r="AV65" s="224"/>
      <c r="AW65" s="224"/>
      <c r="AX65" s="224"/>
      <c r="AY65" s="224"/>
      <c r="AZ65" s="224"/>
      <c r="BA65" s="224"/>
      <c r="BB65" s="224"/>
      <c r="BC65" s="224"/>
      <c r="BD65" s="224"/>
      <c r="BE65" s="224"/>
      <c r="BF65" s="224"/>
    </row>
    <row r="66" spans="1:58">
      <c r="A66" s="291" t="s">
        <v>216</v>
      </c>
      <c r="B66" s="292"/>
      <c r="C66" s="224"/>
      <c r="D66" s="224"/>
      <c r="E66" s="224"/>
      <c r="F66" s="224"/>
      <c r="G66" s="224"/>
      <c r="H66" s="224">
        <f>ROUNDUP(SUM(K66:BF66),1)</f>
        <v>0</v>
      </c>
      <c r="I66" s="293">
        <f>H66*$H$7</f>
        <v>0</v>
      </c>
      <c r="J66" s="293"/>
      <c r="K66" s="224"/>
      <c r="L66" s="224"/>
      <c r="M66" s="224"/>
      <c r="N66" s="224"/>
      <c r="O66" s="224"/>
      <c r="P66" s="224"/>
      <c r="Q66" s="224"/>
      <c r="R66" s="224"/>
      <c r="S66" s="224"/>
      <c r="T66" s="224"/>
      <c r="U66" s="224"/>
      <c r="V66" s="224"/>
      <c r="W66" s="224"/>
      <c r="X66" s="224"/>
      <c r="Y66" s="224"/>
      <c r="Z66" s="224"/>
      <c r="AA66" s="224"/>
      <c r="AB66" s="224"/>
      <c r="AC66" s="224"/>
      <c r="AD66" s="224"/>
      <c r="AE66" s="224"/>
      <c r="AF66" s="224"/>
      <c r="AG66" s="224"/>
      <c r="AH66" s="224"/>
      <c r="AI66" s="224"/>
      <c r="AJ66" s="224"/>
      <c r="AK66" s="224"/>
      <c r="AL66" s="224"/>
      <c r="AM66" s="224"/>
      <c r="AN66" s="224"/>
      <c r="AO66" s="224"/>
      <c r="AP66" s="224"/>
      <c r="AQ66" s="224"/>
      <c r="AR66" s="224"/>
      <c r="AS66" s="224"/>
      <c r="AT66" s="224"/>
      <c r="AU66" s="224"/>
      <c r="AV66" s="224"/>
      <c r="AW66" s="224"/>
      <c r="AX66" s="224"/>
      <c r="AY66" s="224"/>
      <c r="AZ66" s="224"/>
      <c r="BA66" s="224"/>
      <c r="BB66" s="224"/>
      <c r="BC66" s="224"/>
      <c r="BD66" s="224"/>
      <c r="BE66" s="224"/>
      <c r="BF66" s="224"/>
    </row>
    <row r="67" spans="1:58">
      <c r="A67" s="294" t="s">
        <v>217</v>
      </c>
      <c r="B67" s="295"/>
      <c r="C67" s="295"/>
      <c r="D67" s="295"/>
      <c r="E67" s="295"/>
      <c r="F67" s="295"/>
      <c r="G67" s="295"/>
      <c r="H67" s="296">
        <f>SUM(H62:H66)</f>
        <v>0</v>
      </c>
      <c r="I67" s="297">
        <f>SUM(I62:I66)</f>
        <v>0</v>
      </c>
      <c r="J67" s="297">
        <f>SUM(J62:J66)</f>
        <v>0</v>
      </c>
      <c r="K67" s="253"/>
      <c r="L67" s="253"/>
      <c r="M67" s="253"/>
      <c r="N67" s="253"/>
      <c r="O67" s="253"/>
      <c r="P67" s="253"/>
      <c r="Q67" s="253"/>
      <c r="R67" s="253"/>
      <c r="S67" s="253"/>
      <c r="T67" s="253"/>
      <c r="U67" s="253"/>
      <c r="V67" s="253"/>
      <c r="W67" s="253"/>
      <c r="X67" s="253"/>
      <c r="Y67" s="253"/>
      <c r="Z67" s="253"/>
      <c r="AA67" s="253"/>
      <c r="AB67" s="253"/>
      <c r="AC67" s="253"/>
      <c r="AD67" s="253"/>
      <c r="AE67" s="253"/>
      <c r="AF67" s="253"/>
      <c r="AG67" s="253"/>
      <c r="AH67" s="253"/>
      <c r="AI67" s="253"/>
      <c r="AJ67" s="253"/>
      <c r="AK67" s="253"/>
      <c r="AL67" s="253"/>
      <c r="AM67" s="253"/>
      <c r="AN67" s="253"/>
      <c r="AO67" s="253"/>
      <c r="AP67" s="253"/>
      <c r="AQ67" s="253"/>
      <c r="AR67" s="253"/>
      <c r="AS67" s="253"/>
      <c r="AT67" s="253"/>
      <c r="AU67" s="253"/>
      <c r="AV67" s="253"/>
      <c r="AW67" s="253"/>
      <c r="AX67" s="253"/>
      <c r="AY67" s="253"/>
      <c r="AZ67" s="253"/>
      <c r="BA67" s="253"/>
      <c r="BB67" s="253"/>
      <c r="BC67" s="253"/>
      <c r="BD67" s="253"/>
      <c r="BE67" s="253"/>
      <c r="BF67" s="253"/>
    </row>
    <row r="68" spans="1:58" ht="17.45">
      <c r="A68" s="712" t="s">
        <v>136</v>
      </c>
      <c r="B68" s="712"/>
      <c r="C68" s="712"/>
      <c r="D68" s="712"/>
      <c r="E68" s="712"/>
      <c r="F68" s="712"/>
      <c r="G68" s="712"/>
      <c r="H68" s="298">
        <f>H12+H18+H28+H39+H48+H59+H67</f>
        <v>157</v>
      </c>
      <c r="I68" s="299">
        <f>I12+I18+I28+I39+I48+I59+I67</f>
        <v>97340</v>
      </c>
      <c r="J68" s="299">
        <f>J12+J18+J28+J39+J48+J59+J67</f>
        <v>0</v>
      </c>
      <c r="K68" s="215"/>
      <c r="L68" s="215"/>
      <c r="M68" s="215"/>
      <c r="N68" s="215"/>
      <c r="O68" s="215"/>
      <c r="P68" s="215"/>
      <c r="Q68" s="215"/>
      <c r="R68" s="215"/>
      <c r="S68" s="215"/>
      <c r="T68" s="215"/>
      <c r="U68" s="215"/>
      <c r="V68" s="215"/>
      <c r="W68" s="215"/>
      <c r="X68" s="215"/>
      <c r="Y68" s="215"/>
      <c r="Z68" s="215"/>
      <c r="AA68" s="215"/>
      <c r="AB68" s="215"/>
      <c r="AC68" s="215"/>
      <c r="AD68" s="215"/>
      <c r="AE68" s="215"/>
      <c r="AF68" s="215"/>
      <c r="AG68" s="215"/>
      <c r="AH68" s="215"/>
      <c r="AI68" s="215"/>
      <c r="AJ68" s="215"/>
      <c r="AK68" s="215"/>
      <c r="AL68" s="215"/>
      <c r="AM68" s="215"/>
      <c r="AN68" s="215"/>
      <c r="AO68" s="215"/>
      <c r="AP68" s="215"/>
      <c r="AQ68" s="215"/>
      <c r="AR68" s="215"/>
      <c r="AS68" s="215"/>
      <c r="AT68" s="215"/>
      <c r="AU68" s="215"/>
      <c r="AV68" s="215"/>
      <c r="AW68" s="215"/>
      <c r="AX68" s="215"/>
      <c r="AY68" s="215"/>
      <c r="AZ68" s="215"/>
      <c r="BA68" s="215"/>
      <c r="BB68" s="215"/>
      <c r="BC68" s="215"/>
      <c r="BD68" s="215"/>
      <c r="BE68" s="215"/>
      <c r="BF68" s="215"/>
    </row>
  </sheetData>
  <mergeCells count="26">
    <mergeCell ref="AU7:AX7"/>
    <mergeCell ref="AY7:BB7"/>
    <mergeCell ref="BC7:BF7"/>
    <mergeCell ref="A68:G68"/>
    <mergeCell ref="BC1:BF1"/>
    <mergeCell ref="K7:N7"/>
    <mergeCell ref="O7:R7"/>
    <mergeCell ref="S7:V7"/>
    <mergeCell ref="W7:Z7"/>
    <mergeCell ref="AA7:AD7"/>
    <mergeCell ref="AE7:AH7"/>
    <mergeCell ref="AI7:AL7"/>
    <mergeCell ref="AM7:AP7"/>
    <mergeCell ref="AQ7:AT7"/>
    <mergeCell ref="AE1:AH1"/>
    <mergeCell ref="AI1:AL1"/>
    <mergeCell ref="AM1:AP1"/>
    <mergeCell ref="AQ1:AT1"/>
    <mergeCell ref="AU1:AX1"/>
    <mergeCell ref="AY1:BB1"/>
    <mergeCell ref="A1:I1"/>
    <mergeCell ref="K1:N1"/>
    <mergeCell ref="O1:R1"/>
    <mergeCell ref="S1:V1"/>
    <mergeCell ref="W1:Z1"/>
    <mergeCell ref="AA1:AD1"/>
  </mergeCells>
  <conditionalFormatting sqref="H68:J68">
    <cfRule type="cellIs" dxfId="1" priority="1" stopIfTrue="1" operator="equal">
      <formula>#REF!</formula>
    </cfRule>
    <cfRule type="cellIs" dxfId="0" priority="2" stopIfTrue="1" operator="notEqual">
      <formula>#REF!</formula>
    </cfRule>
  </conditionalFormatting>
  <printOptions horizontalCentered="1" verticalCentered="1"/>
  <pageMargins left="0" right="0" top="0" bottom="0" header="0" footer="0"/>
  <pageSetup paperSize="9" scale="39"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426C37-7BCA-4F24-9870-8671030C2523}">
  <sheetPr codeName="Feuil4">
    <tabColor rgb="FFFF0000"/>
    <outlinePr summaryBelow="0"/>
    <pageSetUpPr fitToPage="1"/>
  </sheetPr>
  <dimension ref="A1:AV784"/>
  <sheetViews>
    <sheetView topLeftCell="AA1" zoomScale="85" zoomScaleNormal="85" workbookViewId="0">
      <selection activeCell="AI8" sqref="AI8"/>
    </sheetView>
  </sheetViews>
  <sheetFormatPr defaultColWidth="11.42578125" defaultRowHeight="15.6" outlineLevelRow="2"/>
  <cols>
    <col min="1" max="1" width="13.5703125" style="155" customWidth="1"/>
    <col min="2" max="2" width="95.85546875" style="156" customWidth="1"/>
    <col min="3" max="3" width="7.5703125" style="157" customWidth="1"/>
    <col min="4" max="4" width="2.85546875" style="11" customWidth="1"/>
    <col min="5" max="5" width="13.140625" style="11" customWidth="1"/>
    <col min="6" max="6" width="13.42578125" style="11" customWidth="1"/>
    <col min="7" max="7" width="14.42578125" style="11" customWidth="1"/>
    <col min="8" max="8" width="6.42578125" style="11" customWidth="1"/>
    <col min="9" max="9" width="13.140625" style="11" customWidth="1"/>
    <col min="10" max="10" width="13.42578125" style="11" customWidth="1"/>
    <col min="11" max="11" width="14.42578125" style="11" customWidth="1"/>
    <col min="12" max="12" width="2.5703125" style="11" customWidth="1"/>
    <col min="13" max="13" width="3.140625" style="11" customWidth="1"/>
    <col min="14" max="15" width="14" style="11" customWidth="1"/>
    <col min="16" max="16" width="13.85546875" style="11" customWidth="1"/>
    <col min="17" max="17" width="3.42578125" style="11" customWidth="1"/>
    <col min="18" max="18" width="15.140625" style="11" customWidth="1"/>
    <col min="19" max="19" width="13.85546875" style="11" customWidth="1"/>
    <col min="20" max="20" width="14.140625" style="11" customWidth="1"/>
    <col min="21" max="21" width="3" style="11" customWidth="1"/>
    <col min="22" max="22" width="13.42578125" style="11" customWidth="1"/>
    <col min="23" max="23" width="15" style="11" customWidth="1"/>
    <col min="24" max="24" width="14.85546875" style="11" customWidth="1"/>
    <col min="25" max="25" width="2.42578125" style="11" customWidth="1"/>
    <col min="26" max="26" width="13.42578125" style="11" customWidth="1"/>
    <col min="27" max="27" width="14.42578125" style="11" customWidth="1"/>
    <col min="28" max="28" width="14.5703125" style="11" customWidth="1"/>
    <col min="29" max="29" width="2.42578125" style="11" customWidth="1"/>
    <col min="30" max="30" width="15.42578125" style="11" customWidth="1"/>
    <col min="31" max="31" width="14.5703125" style="11" customWidth="1"/>
    <col min="32" max="32" width="14.140625" style="11" customWidth="1"/>
    <col min="33" max="33" width="11.42578125" style="11"/>
    <col min="34" max="35" width="14" style="11" customWidth="1"/>
    <col min="36" max="36" width="13.85546875" style="11" customWidth="1"/>
    <col min="37" max="37" width="15.140625" style="11" customWidth="1"/>
    <col min="38" max="38" width="13.85546875" style="11" customWidth="1"/>
    <col min="39" max="39" width="14.140625" style="11" customWidth="1"/>
    <col min="40" max="40" width="13.42578125" style="11" customWidth="1"/>
    <col min="41" max="41" width="15" style="11" customWidth="1"/>
    <col min="42" max="42" width="14.85546875" style="11" customWidth="1"/>
    <col min="43" max="43" width="13.42578125" style="11" customWidth="1"/>
    <col min="44" max="44" width="14.42578125" style="11" customWidth="1"/>
    <col min="45" max="45" width="14.5703125" style="11" customWidth="1"/>
    <col min="46" max="46" width="15.42578125" style="11" customWidth="1"/>
    <col min="47" max="47" width="14.5703125" style="11" customWidth="1"/>
    <col min="48" max="48" width="14.140625" style="11" customWidth="1"/>
    <col min="49" max="16384" width="11.42578125" style="11"/>
  </cols>
  <sheetData>
    <row r="1" spans="1:48">
      <c r="N1" s="718" t="s">
        <v>218</v>
      </c>
      <c r="O1" s="719"/>
      <c r="P1" s="719"/>
      <c r="Q1" s="719"/>
      <c r="R1" s="719"/>
      <c r="S1" s="719"/>
      <c r="T1" s="719"/>
      <c r="U1" s="719"/>
      <c r="V1" s="719"/>
      <c r="W1" s="719"/>
      <c r="X1" s="719"/>
      <c r="Y1" s="719"/>
      <c r="Z1" s="719"/>
      <c r="AA1" s="719"/>
      <c r="AB1" s="719"/>
      <c r="AC1" s="719"/>
      <c r="AD1" s="719"/>
      <c r="AE1" s="719"/>
      <c r="AF1" s="719"/>
      <c r="AH1" s="720" t="s">
        <v>219</v>
      </c>
      <c r="AI1" s="721"/>
      <c r="AJ1" s="721"/>
      <c r="AK1" s="721"/>
      <c r="AL1" s="721"/>
      <c r="AM1" s="721"/>
      <c r="AN1" s="721"/>
      <c r="AO1" s="721"/>
      <c r="AP1" s="721"/>
      <c r="AQ1" s="721"/>
      <c r="AR1" s="721"/>
      <c r="AS1" s="721"/>
      <c r="AT1" s="721"/>
      <c r="AU1" s="721"/>
      <c r="AV1" s="721"/>
    </row>
    <row r="2" spans="1:48" ht="42" customHeight="1" thickBot="1">
      <c r="A2" s="716" t="s">
        <v>220</v>
      </c>
      <c r="B2" s="717"/>
      <c r="C2" s="717"/>
      <c r="E2" s="2" t="s">
        <v>221</v>
      </c>
      <c r="F2" s="3"/>
      <c r="G2" s="4"/>
      <c r="H2" s="83"/>
      <c r="I2" s="2" t="s">
        <v>222</v>
      </c>
      <c r="J2" s="3"/>
      <c r="K2" s="4"/>
      <c r="N2" s="84" t="s">
        <v>223</v>
      </c>
      <c r="O2" s="85"/>
      <c r="P2" s="85"/>
      <c r="R2" s="86" t="s">
        <v>224</v>
      </c>
      <c r="S2" s="87"/>
      <c r="T2" s="87"/>
      <c r="V2" s="88" t="s">
        <v>225</v>
      </c>
      <c r="W2" s="89"/>
      <c r="X2" s="89"/>
      <c r="Z2" s="90" t="s">
        <v>226</v>
      </c>
      <c r="AA2" s="91"/>
      <c r="AB2" s="91"/>
      <c r="AD2" s="10" t="s">
        <v>227</v>
      </c>
      <c r="AE2" s="92"/>
      <c r="AF2" s="92"/>
      <c r="AH2" s="84" t="s">
        <v>223</v>
      </c>
      <c r="AI2" s="85"/>
      <c r="AJ2" s="85"/>
      <c r="AK2" s="86" t="s">
        <v>224</v>
      </c>
      <c r="AL2" s="87"/>
      <c r="AM2" s="87"/>
      <c r="AN2" s="88" t="s">
        <v>225</v>
      </c>
      <c r="AO2" s="89"/>
      <c r="AP2" s="89"/>
      <c r="AQ2" s="90" t="s">
        <v>226</v>
      </c>
      <c r="AR2" s="91"/>
      <c r="AS2" s="91"/>
      <c r="AT2" s="10" t="s">
        <v>227</v>
      </c>
      <c r="AU2" s="92"/>
      <c r="AV2" s="92"/>
    </row>
    <row r="3" spans="1:48" customFormat="1" ht="79.5" customHeight="1" thickBot="1">
      <c r="A3" s="93" t="s">
        <v>228</v>
      </c>
      <c r="B3" s="94" t="s">
        <v>15</v>
      </c>
      <c r="C3" s="93" t="s">
        <v>16</v>
      </c>
      <c r="E3" s="14" t="s">
        <v>229</v>
      </c>
      <c r="F3" s="15" t="s">
        <v>230</v>
      </c>
      <c r="G3" s="16" t="s">
        <v>231</v>
      </c>
      <c r="H3" s="95"/>
      <c r="I3" s="14" t="s">
        <v>229</v>
      </c>
      <c r="J3" s="15" t="s">
        <v>230</v>
      </c>
      <c r="K3" s="16" t="s">
        <v>231</v>
      </c>
      <c r="N3" s="17" t="s">
        <v>221</v>
      </c>
      <c r="O3" s="17" t="s">
        <v>232</v>
      </c>
      <c r="P3" s="17" t="s">
        <v>233</v>
      </c>
      <c r="R3" s="18" t="s">
        <v>221</v>
      </c>
      <c r="S3" s="18" t="s">
        <v>232</v>
      </c>
      <c r="T3" s="18" t="s">
        <v>233</v>
      </c>
      <c r="V3" s="19" t="s">
        <v>221</v>
      </c>
      <c r="W3" s="19" t="s">
        <v>232</v>
      </c>
      <c r="X3" s="19" t="s">
        <v>233</v>
      </c>
      <c r="Z3" s="20" t="s">
        <v>221</v>
      </c>
      <c r="AA3" s="20" t="s">
        <v>232</v>
      </c>
      <c r="AB3" s="20" t="s">
        <v>233</v>
      </c>
      <c r="AD3" s="21" t="s">
        <v>221</v>
      </c>
      <c r="AE3" s="21" t="s">
        <v>232</v>
      </c>
      <c r="AF3" s="21" t="s">
        <v>233</v>
      </c>
      <c r="AH3" s="17" t="s">
        <v>234</v>
      </c>
      <c r="AI3" s="17" t="s">
        <v>235</v>
      </c>
      <c r="AJ3" s="17" t="s">
        <v>236</v>
      </c>
      <c r="AK3" s="18" t="s">
        <v>234</v>
      </c>
      <c r="AL3" s="18" t="s">
        <v>235</v>
      </c>
      <c r="AM3" s="18" t="s">
        <v>236</v>
      </c>
      <c r="AN3" s="19" t="s">
        <v>234</v>
      </c>
      <c r="AO3" s="19" t="s">
        <v>235</v>
      </c>
      <c r="AP3" s="19" t="s">
        <v>236</v>
      </c>
      <c r="AQ3" s="20" t="s">
        <v>234</v>
      </c>
      <c r="AR3" s="20" t="s">
        <v>235</v>
      </c>
      <c r="AS3" s="20" t="s">
        <v>236</v>
      </c>
      <c r="AT3" s="21" t="s">
        <v>234</v>
      </c>
      <c r="AU3" s="21" t="s">
        <v>235</v>
      </c>
      <c r="AV3" s="21" t="s">
        <v>236</v>
      </c>
    </row>
    <row r="4" spans="1:48" ht="30" customHeight="1" thickBot="1">
      <c r="A4" s="96" t="s">
        <v>237</v>
      </c>
      <c r="B4" s="97" t="s">
        <v>238</v>
      </c>
      <c r="C4" s="98"/>
      <c r="N4" s="11" t="str">
        <f t="shared" ref="N4:N67" si="0" xml:space="preserve"> IF(ISBLANK(AH4),"",_k_EIFFAGE * AH4)</f>
        <v/>
      </c>
      <c r="O4" s="11" t="str">
        <f t="shared" ref="O4:O67" si="1" xml:space="preserve"> IF(ISBLANK(AI4),"",_k_EIFFAGE * AI4)</f>
        <v/>
      </c>
      <c r="P4" s="11" t="str">
        <f t="shared" ref="P4:P67" si="2" xml:space="preserve"> IF(ISBLANK(AJ4),"",_k_EIFFAGE * AJ4)</f>
        <v/>
      </c>
      <c r="R4" s="11" t="str">
        <f t="shared" ref="R4:R67" si="3" xml:space="preserve"> IF(ISBLANK(AK4),"",_k_ERI * AK4)</f>
        <v/>
      </c>
      <c r="S4" s="11" t="str">
        <f t="shared" ref="S4:S67" si="4" xml:space="preserve"> IF(ISBLANK(AL4),"",_k_ERI * AL4)</f>
        <v/>
      </c>
      <c r="T4" s="11" t="str">
        <f t="shared" ref="T4:T67" si="5" xml:space="preserve"> IF(ISBLANK(AM4),"",_k_ERI * AM4)</f>
        <v/>
      </c>
      <c r="V4" s="11" t="str">
        <f t="shared" ref="V4:V67" si="6" xml:space="preserve"> IF(ISBLANK(AN4),"",_k_INEO * AN4)</f>
        <v/>
      </c>
      <c r="W4" s="11" t="str">
        <f t="shared" ref="W4:W67" si="7" xml:space="preserve"> IF(ISBLANK(AO4),"",_k_INEO * AO4)</f>
        <v/>
      </c>
      <c r="X4" s="11" t="str">
        <f t="shared" ref="X4:X67" si="8" xml:space="preserve"> IF(ISBLANK(AP4),"",_k_INEO * AP4)</f>
        <v/>
      </c>
      <c r="Z4" s="11" t="str">
        <f t="shared" ref="Z4:Z67" si="9" xml:space="preserve"> IF(ISBLANK(AQ4),"",_k_SDEL * AQ4)</f>
        <v/>
      </c>
      <c r="AA4" s="11" t="str">
        <f t="shared" ref="AA4:AA67" si="10" xml:space="preserve"> IF(ISBLANK(AR4),"",_k_SDEL * AR4)</f>
        <v/>
      </c>
      <c r="AB4" s="11" t="str">
        <f t="shared" ref="AB4:AB67" si="11" xml:space="preserve"> IF(ISBLANK(AS4),"",_k_SDEL * AS4)</f>
        <v/>
      </c>
      <c r="AD4" s="11" t="str">
        <f t="shared" ref="AD4:AD67" si="12" xml:space="preserve"> IF(ISBLANK(AT4),"",_k_SOGETREL * AT4)</f>
        <v/>
      </c>
      <c r="AE4" s="11" t="str">
        <f t="shared" ref="AE4:AE67" si="13" xml:space="preserve"> IF(ISBLANK(AU4),"",_k_SOGETREL * AU4)</f>
        <v/>
      </c>
      <c r="AF4" s="11" t="str">
        <f t="shared" ref="AF4:AF67" si="14" xml:space="preserve"> IF(ISBLANK(AV4),"",_k_SOGETREL * AV4)</f>
        <v/>
      </c>
    </row>
    <row r="5" spans="1:48" ht="30" customHeight="1" outlineLevel="1">
      <c r="A5" s="99" t="s">
        <v>239</v>
      </c>
      <c r="B5" s="100" t="s">
        <v>238</v>
      </c>
      <c r="C5" s="101"/>
      <c r="N5" s="11" t="str">
        <f t="shared" si="0"/>
        <v/>
      </c>
      <c r="O5" s="11" t="str">
        <f t="shared" si="1"/>
        <v/>
      </c>
      <c r="P5" s="11" t="str">
        <f t="shared" si="2"/>
        <v/>
      </c>
      <c r="R5" s="11" t="str">
        <f t="shared" si="3"/>
        <v/>
      </c>
      <c r="S5" s="11" t="str">
        <f t="shared" si="4"/>
        <v/>
      </c>
      <c r="T5" s="11" t="str">
        <f t="shared" si="5"/>
        <v/>
      </c>
      <c r="V5" s="11" t="str">
        <f t="shared" si="6"/>
        <v/>
      </c>
      <c r="W5" s="11" t="str">
        <f t="shared" si="7"/>
        <v/>
      </c>
      <c r="X5" s="11" t="str">
        <f t="shared" si="8"/>
        <v/>
      </c>
      <c r="Z5" s="11" t="str">
        <f t="shared" si="9"/>
        <v/>
      </c>
      <c r="AA5" s="11" t="str">
        <f t="shared" si="10"/>
        <v/>
      </c>
      <c r="AB5" s="11" t="str">
        <f t="shared" si="11"/>
        <v/>
      </c>
      <c r="AD5" s="11" t="str">
        <f t="shared" si="12"/>
        <v/>
      </c>
      <c r="AE5" s="11" t="str">
        <f t="shared" si="13"/>
        <v/>
      </c>
      <c r="AF5" s="11" t="str">
        <f t="shared" si="14"/>
        <v/>
      </c>
    </row>
    <row r="6" spans="1:48" ht="30" customHeight="1" outlineLevel="2">
      <c r="A6" s="102" t="s">
        <v>240</v>
      </c>
      <c r="B6" s="103" t="s">
        <v>241</v>
      </c>
      <c r="C6" s="104" t="s">
        <v>242</v>
      </c>
      <c r="E6" s="105">
        <f>MIN(N6,R6,V6,Z6,AD6)</f>
        <v>14.3</v>
      </c>
      <c r="F6" s="105">
        <f>AVERAGE(N6,R6,V6,Z6,AD6)</f>
        <v>33.473000000000006</v>
      </c>
      <c r="G6" s="105">
        <f>MAX(N6,R6,V6,Z6,AD6)</f>
        <v>58.750999999999998</v>
      </c>
      <c r="H6" s="106"/>
      <c r="I6" s="105">
        <f>MIN(T6,X6,AB6,AF6,P6)</f>
        <v>11.693</v>
      </c>
      <c r="J6" s="105">
        <f>AVERAGE(P6,T6,X6,AB6,AF6)</f>
        <v>49.200800000000001</v>
      </c>
      <c r="K6" s="105">
        <f>MAX(P6,T6,X6,AB6,AF6)</f>
        <v>87.78</v>
      </c>
      <c r="N6" s="107">
        <f t="shared" si="0"/>
        <v>34.309000000000005</v>
      </c>
      <c r="O6" s="108">
        <f t="shared" si="1"/>
        <v>6.3690000000000007</v>
      </c>
      <c r="P6" s="107">
        <f t="shared" si="2"/>
        <v>14.333</v>
      </c>
      <c r="R6" s="107">
        <f t="shared" si="3"/>
        <v>39.512000000000008</v>
      </c>
      <c r="S6" s="107">
        <f t="shared" si="4"/>
        <v>55.220000000000006</v>
      </c>
      <c r="T6" s="107">
        <f t="shared" si="5"/>
        <v>78.518000000000001</v>
      </c>
      <c r="V6" s="107">
        <f t="shared" si="6"/>
        <v>20.493000000000006</v>
      </c>
      <c r="W6" s="107">
        <f t="shared" si="7"/>
        <v>19.877000000000002</v>
      </c>
      <c r="X6" s="107">
        <f t="shared" si="8"/>
        <v>87.78</v>
      </c>
      <c r="Z6" s="107">
        <f t="shared" si="9"/>
        <v>58.750999999999998</v>
      </c>
      <c r="AA6" s="107">
        <f t="shared" si="10"/>
        <v>4.1470000000000002</v>
      </c>
      <c r="AB6" s="107">
        <f t="shared" si="11"/>
        <v>11.693</v>
      </c>
      <c r="AD6" s="107">
        <f t="shared" si="12"/>
        <v>14.3</v>
      </c>
      <c r="AE6" s="107">
        <f t="shared" si="13"/>
        <v>23.1</v>
      </c>
      <c r="AF6" s="107">
        <f t="shared" si="14"/>
        <v>53.68</v>
      </c>
      <c r="AH6" s="107">
        <v>31.19</v>
      </c>
      <c r="AI6" s="107">
        <v>5.79</v>
      </c>
      <c r="AJ6" s="107">
        <v>13.03</v>
      </c>
      <c r="AK6" s="107">
        <v>35.92</v>
      </c>
      <c r="AL6" s="107">
        <v>50.2</v>
      </c>
      <c r="AM6" s="107">
        <v>71.38</v>
      </c>
      <c r="AN6" s="107">
        <v>18.630000000000003</v>
      </c>
      <c r="AO6" s="107">
        <v>18.07</v>
      </c>
      <c r="AP6" s="107">
        <v>79.8</v>
      </c>
      <c r="AQ6" s="107">
        <v>53.41</v>
      </c>
      <c r="AR6" s="107">
        <v>3.7699999999999996</v>
      </c>
      <c r="AS6" s="107">
        <v>10.629999999999999</v>
      </c>
      <c r="AT6" s="107">
        <v>13</v>
      </c>
      <c r="AU6" s="107">
        <v>21</v>
      </c>
      <c r="AV6" s="107">
        <v>48.8</v>
      </c>
    </row>
    <row r="7" spans="1:48" ht="30" customHeight="1" outlineLevel="1">
      <c r="A7" s="109" t="s">
        <v>243</v>
      </c>
      <c r="B7" s="110" t="s">
        <v>244</v>
      </c>
      <c r="C7" s="111"/>
      <c r="N7" s="11" t="str">
        <f t="shared" si="0"/>
        <v/>
      </c>
      <c r="O7" s="11" t="str">
        <f t="shared" si="1"/>
        <v/>
      </c>
      <c r="P7" s="11" t="str">
        <f t="shared" si="2"/>
        <v/>
      </c>
      <c r="R7" s="11" t="str">
        <f t="shared" si="3"/>
        <v/>
      </c>
      <c r="S7" s="11" t="str">
        <f t="shared" si="4"/>
        <v/>
      </c>
      <c r="T7" s="11" t="str">
        <f t="shared" si="5"/>
        <v/>
      </c>
      <c r="V7" s="11" t="str">
        <f t="shared" si="6"/>
        <v/>
      </c>
      <c r="W7" s="11" t="str">
        <f t="shared" si="7"/>
        <v/>
      </c>
      <c r="X7" s="11" t="str">
        <f t="shared" si="8"/>
        <v/>
      </c>
      <c r="Z7" s="11" t="str">
        <f t="shared" si="9"/>
        <v/>
      </c>
      <c r="AA7" s="11" t="str">
        <f t="shared" si="10"/>
        <v/>
      </c>
      <c r="AB7" s="11" t="str">
        <f t="shared" si="11"/>
        <v/>
      </c>
      <c r="AD7" s="11" t="str">
        <f t="shared" si="12"/>
        <v/>
      </c>
      <c r="AE7" s="11" t="str">
        <f t="shared" si="13"/>
        <v/>
      </c>
      <c r="AF7" s="11" t="str">
        <f t="shared" si="14"/>
        <v/>
      </c>
    </row>
    <row r="8" spans="1:48" ht="30" customHeight="1" outlineLevel="2" thickBot="1">
      <c r="A8" s="112" t="s">
        <v>245</v>
      </c>
      <c r="B8" s="113" t="s">
        <v>246</v>
      </c>
      <c r="C8" s="114" t="s">
        <v>242</v>
      </c>
      <c r="E8" s="105">
        <f>MIN(N8,R8,V8,Z8,AD8)</f>
        <v>8.4700000000000006</v>
      </c>
      <c r="F8" s="105">
        <f>AVERAGE(N8,R8,V8,Z8,AD8)</f>
        <v>27.662800000000004</v>
      </c>
      <c r="G8" s="105">
        <f>MAX(N8,R8,V8,Z8,AD8)</f>
        <v>58.828000000000003</v>
      </c>
      <c r="H8" s="106"/>
      <c r="I8" s="105">
        <f>MIN(T8,X8,AB8,AF8,P8)</f>
        <v>11.814000000000002</v>
      </c>
      <c r="J8" s="105">
        <f>AVERAGE(P8,T8,X8,AB8,AF8)</f>
        <v>40.216000000000001</v>
      </c>
      <c r="K8" s="105">
        <f>MAX(P8,T8,X8,AB8,AF8)</f>
        <v>87.78</v>
      </c>
      <c r="N8" s="107">
        <f t="shared" si="0"/>
        <v>33.517000000000003</v>
      </c>
      <c r="O8" s="107">
        <f t="shared" si="1"/>
        <v>5.5770000000000008</v>
      </c>
      <c r="P8" s="107">
        <f t="shared" si="2"/>
        <v>13.541000000000002</v>
      </c>
      <c r="R8" s="107">
        <f t="shared" si="3"/>
        <v>17.006000000000004</v>
      </c>
      <c r="S8" s="107">
        <f t="shared" si="4"/>
        <v>25.960000000000004</v>
      </c>
      <c r="T8" s="107">
        <f t="shared" si="5"/>
        <v>44.759</v>
      </c>
      <c r="V8" s="107">
        <f t="shared" si="6"/>
        <v>20.493000000000006</v>
      </c>
      <c r="W8" s="107">
        <f t="shared" si="7"/>
        <v>19.877000000000002</v>
      </c>
      <c r="X8" s="107">
        <f t="shared" si="8"/>
        <v>87.78</v>
      </c>
      <c r="Z8" s="107">
        <f t="shared" si="9"/>
        <v>58.828000000000003</v>
      </c>
      <c r="AA8" s="107">
        <f t="shared" si="10"/>
        <v>4.2570000000000006</v>
      </c>
      <c r="AB8" s="107">
        <f t="shared" si="11"/>
        <v>11.814000000000002</v>
      </c>
      <c r="AD8" s="107">
        <f t="shared" si="12"/>
        <v>8.4700000000000006</v>
      </c>
      <c r="AE8" s="107">
        <f t="shared" si="13"/>
        <v>14.355000000000002</v>
      </c>
      <c r="AF8" s="107">
        <f t="shared" si="14"/>
        <v>43.186000000000007</v>
      </c>
      <c r="AH8" s="107">
        <v>30.47</v>
      </c>
      <c r="AI8" s="107">
        <v>5.07</v>
      </c>
      <c r="AJ8" s="107">
        <v>12.31</v>
      </c>
      <c r="AK8" s="107">
        <v>15.46</v>
      </c>
      <c r="AL8" s="107">
        <v>23.6</v>
      </c>
      <c r="AM8" s="107">
        <v>40.69</v>
      </c>
      <c r="AN8" s="107">
        <v>18.630000000000003</v>
      </c>
      <c r="AO8" s="107">
        <v>18.07</v>
      </c>
      <c r="AP8" s="107">
        <v>79.8</v>
      </c>
      <c r="AQ8" s="107">
        <v>53.48</v>
      </c>
      <c r="AR8" s="107">
        <v>3.87</v>
      </c>
      <c r="AS8" s="107">
        <v>10.74</v>
      </c>
      <c r="AT8" s="107">
        <v>7.6999999999999993</v>
      </c>
      <c r="AU8" s="107">
        <v>13.05</v>
      </c>
      <c r="AV8" s="107">
        <v>39.260000000000005</v>
      </c>
    </row>
    <row r="9" spans="1:48" ht="30" customHeight="1" thickBot="1">
      <c r="A9" s="96" t="s">
        <v>247</v>
      </c>
      <c r="B9" s="115" t="s">
        <v>248</v>
      </c>
      <c r="C9" s="98"/>
      <c r="N9" s="11" t="str">
        <f t="shared" si="0"/>
        <v/>
      </c>
      <c r="O9" s="11" t="str">
        <f t="shared" si="1"/>
        <v/>
      </c>
      <c r="P9" s="11" t="str">
        <f t="shared" si="2"/>
        <v/>
      </c>
      <c r="R9" s="11" t="str">
        <f t="shared" si="3"/>
        <v/>
      </c>
      <c r="S9" s="11" t="str">
        <f t="shared" si="4"/>
        <v/>
      </c>
      <c r="T9" s="11" t="str">
        <f t="shared" si="5"/>
        <v/>
      </c>
      <c r="V9" s="11" t="str">
        <f t="shared" si="6"/>
        <v/>
      </c>
      <c r="W9" s="11" t="str">
        <f t="shared" si="7"/>
        <v/>
      </c>
      <c r="X9" s="11" t="str">
        <f t="shared" si="8"/>
        <v/>
      </c>
      <c r="Z9" s="11" t="str">
        <f t="shared" si="9"/>
        <v/>
      </c>
      <c r="AA9" s="11" t="str">
        <f t="shared" si="10"/>
        <v/>
      </c>
      <c r="AB9" s="11" t="str">
        <f t="shared" si="11"/>
        <v/>
      </c>
      <c r="AD9" s="11" t="str">
        <f t="shared" si="12"/>
        <v/>
      </c>
      <c r="AE9" s="11" t="str">
        <f t="shared" si="13"/>
        <v/>
      </c>
      <c r="AF9" s="11" t="str">
        <f t="shared" si="14"/>
        <v/>
      </c>
    </row>
    <row r="10" spans="1:48" ht="30" customHeight="1" outlineLevel="1">
      <c r="A10" s="109" t="s">
        <v>249</v>
      </c>
      <c r="B10" s="110" t="s">
        <v>250</v>
      </c>
      <c r="C10" s="111"/>
      <c r="N10" s="11" t="str">
        <f t="shared" si="0"/>
        <v/>
      </c>
      <c r="O10" s="11" t="str">
        <f t="shared" si="1"/>
        <v/>
      </c>
      <c r="P10" s="11" t="str">
        <f t="shared" si="2"/>
        <v/>
      </c>
      <c r="R10" s="11" t="str">
        <f t="shared" si="3"/>
        <v/>
      </c>
      <c r="S10" s="11" t="str">
        <f t="shared" si="4"/>
        <v/>
      </c>
      <c r="T10" s="11" t="str">
        <f t="shared" si="5"/>
        <v/>
      </c>
      <c r="V10" s="11" t="str">
        <f t="shared" si="6"/>
        <v/>
      </c>
      <c r="W10" s="11" t="str">
        <f t="shared" si="7"/>
        <v/>
      </c>
      <c r="X10" s="11" t="str">
        <f t="shared" si="8"/>
        <v/>
      </c>
      <c r="Z10" s="11" t="str">
        <f t="shared" si="9"/>
        <v/>
      </c>
      <c r="AA10" s="11" t="str">
        <f t="shared" si="10"/>
        <v/>
      </c>
      <c r="AB10" s="11" t="str">
        <f t="shared" si="11"/>
        <v/>
      </c>
      <c r="AD10" s="11" t="str">
        <f t="shared" si="12"/>
        <v/>
      </c>
      <c r="AE10" s="11" t="str">
        <f t="shared" si="13"/>
        <v/>
      </c>
      <c r="AF10" s="11" t="str">
        <f t="shared" si="14"/>
        <v/>
      </c>
    </row>
    <row r="11" spans="1:48" ht="30" customHeight="1" outlineLevel="2">
      <c r="A11" s="116" t="s">
        <v>251</v>
      </c>
      <c r="B11" s="117" t="s">
        <v>252</v>
      </c>
      <c r="C11" s="104" t="s">
        <v>253</v>
      </c>
      <c r="E11" s="105">
        <f t="shared" ref="E11:E21" si="15">MIN(N11,R11,V11,Z11,AD11)</f>
        <v>17.006000000000004</v>
      </c>
      <c r="F11" s="105">
        <f t="shared" ref="F11:F21" si="16">AVERAGE(N11,R11,V11,Z11,AD11)</f>
        <v>36.786200000000008</v>
      </c>
      <c r="G11" s="105">
        <f t="shared" ref="G11:G21" si="17">MAX(N11,R11,V11,Z11,AD11)</f>
        <v>67.287000000000006</v>
      </c>
      <c r="H11" s="106"/>
      <c r="I11" s="105">
        <f t="shared" ref="I11:I21" si="18">MIN(T11,X11,AB11,AF11,P11)</f>
        <v>25.773000000000003</v>
      </c>
      <c r="J11" s="105">
        <f t="shared" ref="J11:J21" si="19">AVERAGE(P11,T11,X11,AB11,AF11)</f>
        <v>57.943600000000004</v>
      </c>
      <c r="K11" s="105">
        <f t="shared" ref="K11:K21" si="20">MAX(P11,T11,X11,AB11,AF11)</f>
        <v>110.74800000000002</v>
      </c>
      <c r="N11" s="107">
        <f t="shared" si="0"/>
        <v>49.951000000000001</v>
      </c>
      <c r="O11" s="107">
        <f t="shared" si="1"/>
        <v>29.018000000000001</v>
      </c>
      <c r="P11" s="107">
        <f t="shared" si="2"/>
        <v>46.838000000000001</v>
      </c>
      <c r="R11" s="107">
        <f t="shared" si="3"/>
        <v>17.006000000000004</v>
      </c>
      <c r="S11" s="107">
        <f t="shared" si="4"/>
        <v>25.960000000000004</v>
      </c>
      <c r="T11" s="107">
        <f t="shared" si="5"/>
        <v>44.759</v>
      </c>
      <c r="V11" s="107">
        <f t="shared" si="6"/>
        <v>30.987000000000005</v>
      </c>
      <c r="W11" s="107">
        <f t="shared" si="7"/>
        <v>36.894000000000005</v>
      </c>
      <c r="X11" s="107">
        <f t="shared" si="8"/>
        <v>110.74800000000002</v>
      </c>
      <c r="Z11" s="107">
        <f t="shared" si="9"/>
        <v>67.287000000000006</v>
      </c>
      <c r="AA11" s="107">
        <f t="shared" si="10"/>
        <v>16.104000000000003</v>
      </c>
      <c r="AB11" s="107">
        <f t="shared" si="11"/>
        <v>25.773000000000003</v>
      </c>
      <c r="AD11" s="107">
        <f t="shared" si="12"/>
        <v>18.700000000000003</v>
      </c>
      <c r="AE11" s="107">
        <f t="shared" si="13"/>
        <v>29.700000000000003</v>
      </c>
      <c r="AF11" s="107">
        <f t="shared" si="14"/>
        <v>61.600000000000009</v>
      </c>
      <c r="AH11" s="107">
        <v>45.41</v>
      </c>
      <c r="AI11" s="107">
        <v>26.38</v>
      </c>
      <c r="AJ11" s="107">
        <v>42.58</v>
      </c>
      <c r="AK11" s="107">
        <v>15.46</v>
      </c>
      <c r="AL11" s="107">
        <v>23.6</v>
      </c>
      <c r="AM11" s="107">
        <v>40.69</v>
      </c>
      <c r="AN11" s="107">
        <v>28.17</v>
      </c>
      <c r="AO11" s="107">
        <v>33.54</v>
      </c>
      <c r="AP11" s="107">
        <v>100.68</v>
      </c>
      <c r="AQ11" s="107">
        <v>61.17</v>
      </c>
      <c r="AR11" s="107">
        <v>14.64</v>
      </c>
      <c r="AS11" s="107">
        <v>23.43</v>
      </c>
      <c r="AT11" s="107">
        <v>17</v>
      </c>
      <c r="AU11" s="107">
        <v>27</v>
      </c>
      <c r="AV11" s="107">
        <v>56</v>
      </c>
    </row>
    <row r="12" spans="1:48" ht="30" customHeight="1" outlineLevel="2">
      <c r="A12" s="116" t="s">
        <v>254</v>
      </c>
      <c r="B12" s="117" t="s">
        <v>255</v>
      </c>
      <c r="C12" s="104" t="s">
        <v>253</v>
      </c>
      <c r="E12" s="105">
        <f t="shared" si="15"/>
        <v>19.360000000000003</v>
      </c>
      <c r="F12" s="105">
        <f t="shared" si="16"/>
        <v>43.542400000000008</v>
      </c>
      <c r="G12" s="105">
        <f t="shared" si="17"/>
        <v>69.916000000000011</v>
      </c>
      <c r="H12" s="106"/>
      <c r="I12" s="105">
        <f t="shared" si="18"/>
        <v>30.107000000000003</v>
      </c>
      <c r="J12" s="105">
        <f t="shared" si="19"/>
        <v>71.022600000000011</v>
      </c>
      <c r="K12" s="105">
        <f t="shared" si="20"/>
        <v>151.72300000000001</v>
      </c>
      <c r="N12" s="107">
        <f t="shared" si="0"/>
        <v>52.701000000000001</v>
      </c>
      <c r="O12" s="107">
        <f t="shared" si="1"/>
        <v>32.868000000000002</v>
      </c>
      <c r="P12" s="107">
        <f t="shared" si="2"/>
        <v>52.228000000000002</v>
      </c>
      <c r="R12" s="107">
        <f t="shared" si="3"/>
        <v>26.004000000000001</v>
      </c>
      <c r="S12" s="107">
        <f t="shared" si="4"/>
        <v>37.664000000000009</v>
      </c>
      <c r="T12" s="107">
        <f t="shared" si="5"/>
        <v>58.267000000000003</v>
      </c>
      <c r="V12" s="107">
        <f t="shared" si="6"/>
        <v>49.731000000000002</v>
      </c>
      <c r="W12" s="107">
        <f t="shared" si="7"/>
        <v>67.254000000000005</v>
      </c>
      <c r="X12" s="107">
        <f t="shared" si="8"/>
        <v>151.72300000000001</v>
      </c>
      <c r="Z12" s="107">
        <f t="shared" si="9"/>
        <v>69.916000000000011</v>
      </c>
      <c r="AA12" s="107">
        <f t="shared" si="10"/>
        <v>19.778000000000002</v>
      </c>
      <c r="AB12" s="107">
        <f t="shared" si="11"/>
        <v>30.107000000000003</v>
      </c>
      <c r="AD12" s="107">
        <f t="shared" si="12"/>
        <v>19.360000000000003</v>
      </c>
      <c r="AE12" s="107">
        <f t="shared" si="13"/>
        <v>30.69</v>
      </c>
      <c r="AF12" s="107">
        <f t="shared" si="14"/>
        <v>62.788000000000004</v>
      </c>
      <c r="AH12" s="107">
        <v>47.91</v>
      </c>
      <c r="AI12" s="107">
        <v>29.88</v>
      </c>
      <c r="AJ12" s="107">
        <v>47.48</v>
      </c>
      <c r="AK12" s="107">
        <v>23.64</v>
      </c>
      <c r="AL12" s="107">
        <v>34.24</v>
      </c>
      <c r="AM12" s="107">
        <v>52.97</v>
      </c>
      <c r="AN12" s="107">
        <v>45.21</v>
      </c>
      <c r="AO12" s="107">
        <v>61.14</v>
      </c>
      <c r="AP12" s="107">
        <v>137.93</v>
      </c>
      <c r="AQ12" s="107">
        <v>63.56</v>
      </c>
      <c r="AR12" s="107">
        <v>17.98</v>
      </c>
      <c r="AS12" s="107">
        <v>27.37</v>
      </c>
      <c r="AT12" s="107">
        <v>17.600000000000001</v>
      </c>
      <c r="AU12" s="107">
        <v>27.9</v>
      </c>
      <c r="AV12" s="107">
        <v>57.08</v>
      </c>
    </row>
    <row r="13" spans="1:48" ht="30" customHeight="1" outlineLevel="2">
      <c r="A13" s="116" t="s">
        <v>256</v>
      </c>
      <c r="B13" s="117" t="s">
        <v>257</v>
      </c>
      <c r="C13" s="104" t="s">
        <v>253</v>
      </c>
      <c r="E13" s="105">
        <f t="shared" si="15"/>
        <v>18.700000000000003</v>
      </c>
      <c r="F13" s="105">
        <f t="shared" si="16"/>
        <v>39.043399999999998</v>
      </c>
      <c r="G13" s="105">
        <f t="shared" si="17"/>
        <v>79.816000000000003</v>
      </c>
      <c r="H13" s="106"/>
      <c r="I13" s="105">
        <f t="shared" si="18"/>
        <v>41.448</v>
      </c>
      <c r="J13" s="105">
        <f t="shared" si="19"/>
        <v>61.039000000000009</v>
      </c>
      <c r="K13" s="105">
        <f t="shared" si="20"/>
        <v>104.19200000000001</v>
      </c>
      <c r="N13" s="107">
        <f t="shared" si="0"/>
        <v>47.201000000000001</v>
      </c>
      <c r="O13" s="107">
        <f t="shared" si="1"/>
        <v>25.167999999999999</v>
      </c>
      <c r="P13" s="107">
        <f t="shared" si="2"/>
        <v>41.448</v>
      </c>
      <c r="R13" s="107">
        <f t="shared" si="3"/>
        <v>21.505000000000003</v>
      </c>
      <c r="S13" s="107">
        <f t="shared" si="4"/>
        <v>31.812000000000005</v>
      </c>
      <c r="T13" s="107">
        <f t="shared" si="5"/>
        <v>51.513000000000005</v>
      </c>
      <c r="V13" s="107">
        <f t="shared" si="6"/>
        <v>27.995000000000001</v>
      </c>
      <c r="W13" s="107">
        <f t="shared" si="7"/>
        <v>32.043000000000006</v>
      </c>
      <c r="X13" s="107">
        <f t="shared" si="8"/>
        <v>104.19200000000001</v>
      </c>
      <c r="Z13" s="107">
        <f t="shared" si="9"/>
        <v>79.816000000000003</v>
      </c>
      <c r="AA13" s="107">
        <f t="shared" si="10"/>
        <v>33.637999999999998</v>
      </c>
      <c r="AB13" s="107">
        <f t="shared" si="11"/>
        <v>46.442</v>
      </c>
      <c r="AD13" s="107">
        <f t="shared" si="12"/>
        <v>18.700000000000003</v>
      </c>
      <c r="AE13" s="107">
        <f t="shared" si="13"/>
        <v>29.700000000000003</v>
      </c>
      <c r="AF13" s="107">
        <f t="shared" si="14"/>
        <v>61.600000000000009</v>
      </c>
      <c r="AH13" s="107">
        <v>42.91</v>
      </c>
      <c r="AI13" s="107">
        <v>22.88</v>
      </c>
      <c r="AJ13" s="107">
        <v>37.68</v>
      </c>
      <c r="AK13" s="107">
        <v>19.55</v>
      </c>
      <c r="AL13" s="107">
        <v>28.92</v>
      </c>
      <c r="AM13" s="107">
        <v>46.83</v>
      </c>
      <c r="AN13" s="107">
        <v>25.45</v>
      </c>
      <c r="AO13" s="107">
        <v>29.130000000000003</v>
      </c>
      <c r="AP13" s="107">
        <v>94.72</v>
      </c>
      <c r="AQ13" s="107">
        <v>72.56</v>
      </c>
      <c r="AR13" s="107">
        <v>30.58</v>
      </c>
      <c r="AS13" s="107">
        <v>42.22</v>
      </c>
      <c r="AT13" s="107">
        <v>17</v>
      </c>
      <c r="AU13" s="107">
        <v>27</v>
      </c>
      <c r="AV13" s="107">
        <v>56</v>
      </c>
    </row>
    <row r="14" spans="1:48" ht="30" customHeight="1" outlineLevel="2">
      <c r="A14" s="116" t="s">
        <v>258</v>
      </c>
      <c r="B14" s="117" t="s">
        <v>259</v>
      </c>
      <c r="C14" s="104" t="s">
        <v>253</v>
      </c>
      <c r="E14" s="105">
        <f t="shared" si="15"/>
        <v>5.753000000000001</v>
      </c>
      <c r="F14" s="105">
        <f t="shared" si="16"/>
        <v>35.345200000000006</v>
      </c>
      <c r="G14" s="105">
        <f t="shared" si="17"/>
        <v>66.231000000000009</v>
      </c>
      <c r="H14" s="106"/>
      <c r="I14" s="105">
        <f t="shared" si="18"/>
        <v>24.035000000000004</v>
      </c>
      <c r="J14" s="105">
        <f t="shared" si="19"/>
        <v>57.556400000000011</v>
      </c>
      <c r="K14" s="105">
        <f t="shared" si="20"/>
        <v>159.94000000000003</v>
      </c>
      <c r="N14" s="107">
        <f t="shared" si="0"/>
        <v>42.24</v>
      </c>
      <c r="O14" s="107">
        <f t="shared" si="1"/>
        <v>18.238</v>
      </c>
      <c r="P14" s="107">
        <f t="shared" si="2"/>
        <v>31.746000000000002</v>
      </c>
      <c r="R14" s="107">
        <f t="shared" si="3"/>
        <v>5.753000000000001</v>
      </c>
      <c r="S14" s="107">
        <f t="shared" si="4"/>
        <v>11.330000000000002</v>
      </c>
      <c r="T14" s="107">
        <f t="shared" si="5"/>
        <v>27.885000000000005</v>
      </c>
      <c r="V14" s="107">
        <f t="shared" si="6"/>
        <v>53.481999999999999</v>
      </c>
      <c r="W14" s="107">
        <f t="shared" si="7"/>
        <v>73.337000000000003</v>
      </c>
      <c r="X14" s="107">
        <f t="shared" si="8"/>
        <v>159.94000000000003</v>
      </c>
      <c r="Z14" s="107">
        <f t="shared" si="9"/>
        <v>66.231000000000009</v>
      </c>
      <c r="AA14" s="107">
        <f t="shared" si="10"/>
        <v>14.619</v>
      </c>
      <c r="AB14" s="107">
        <f t="shared" si="11"/>
        <v>24.035000000000004</v>
      </c>
      <c r="AD14" s="107">
        <f t="shared" si="12"/>
        <v>9.02</v>
      </c>
      <c r="AE14" s="107">
        <f t="shared" si="13"/>
        <v>15.180000000000001</v>
      </c>
      <c r="AF14" s="107">
        <f t="shared" si="14"/>
        <v>44.176000000000002</v>
      </c>
      <c r="AH14" s="107">
        <v>38.4</v>
      </c>
      <c r="AI14" s="107">
        <v>16.579999999999998</v>
      </c>
      <c r="AJ14" s="107">
        <v>28.86</v>
      </c>
      <c r="AK14" s="107">
        <v>5.23</v>
      </c>
      <c r="AL14" s="107">
        <v>10.3</v>
      </c>
      <c r="AM14" s="107">
        <v>25.35</v>
      </c>
      <c r="AN14" s="107">
        <v>48.62</v>
      </c>
      <c r="AO14" s="107">
        <v>66.67</v>
      </c>
      <c r="AP14" s="107">
        <v>145.4</v>
      </c>
      <c r="AQ14" s="107">
        <v>60.21</v>
      </c>
      <c r="AR14" s="107">
        <v>13.29</v>
      </c>
      <c r="AS14" s="107">
        <v>21.85</v>
      </c>
      <c r="AT14" s="107">
        <v>8.1999999999999993</v>
      </c>
      <c r="AU14" s="107">
        <v>13.8</v>
      </c>
      <c r="AV14" s="107">
        <v>40.159999999999997</v>
      </c>
    </row>
    <row r="15" spans="1:48" ht="30" customHeight="1" outlineLevel="2">
      <c r="A15" s="116" t="s">
        <v>260</v>
      </c>
      <c r="B15" s="117" t="s">
        <v>261</v>
      </c>
      <c r="C15" s="104" t="s">
        <v>253</v>
      </c>
      <c r="E15" s="105">
        <f t="shared" si="15"/>
        <v>8.0079999999999991</v>
      </c>
      <c r="F15" s="105">
        <f t="shared" si="16"/>
        <v>34.588400000000007</v>
      </c>
      <c r="G15" s="105">
        <f t="shared" si="17"/>
        <v>66.296999999999997</v>
      </c>
      <c r="H15" s="106"/>
      <c r="I15" s="105">
        <f t="shared" si="18"/>
        <v>24.145</v>
      </c>
      <c r="J15" s="105">
        <f t="shared" si="19"/>
        <v>55.572000000000017</v>
      </c>
      <c r="K15" s="105">
        <f t="shared" si="20"/>
        <v>146.82800000000003</v>
      </c>
      <c r="N15" s="107">
        <f t="shared" si="0"/>
        <v>41.690000000000005</v>
      </c>
      <c r="O15" s="107">
        <f t="shared" si="1"/>
        <v>17.468</v>
      </c>
      <c r="P15" s="107">
        <f t="shared" si="2"/>
        <v>30.668000000000003</v>
      </c>
      <c r="R15" s="107">
        <f t="shared" si="3"/>
        <v>8.0079999999999991</v>
      </c>
      <c r="S15" s="107">
        <f t="shared" si="4"/>
        <v>14.256000000000002</v>
      </c>
      <c r="T15" s="107">
        <f t="shared" si="5"/>
        <v>31.251000000000001</v>
      </c>
      <c r="V15" s="107">
        <f t="shared" si="6"/>
        <v>47.487000000000009</v>
      </c>
      <c r="W15" s="107">
        <f t="shared" si="7"/>
        <v>63.624000000000009</v>
      </c>
      <c r="X15" s="107">
        <f t="shared" si="8"/>
        <v>146.82800000000003</v>
      </c>
      <c r="Z15" s="107">
        <f t="shared" si="9"/>
        <v>66.296999999999997</v>
      </c>
      <c r="AA15" s="107">
        <f t="shared" si="10"/>
        <v>14.718000000000002</v>
      </c>
      <c r="AB15" s="107">
        <f t="shared" si="11"/>
        <v>24.145</v>
      </c>
      <c r="AD15" s="107">
        <f t="shared" si="12"/>
        <v>9.4600000000000009</v>
      </c>
      <c r="AE15" s="107">
        <f t="shared" si="13"/>
        <v>15.84</v>
      </c>
      <c r="AF15" s="107">
        <f t="shared" si="14"/>
        <v>44.967999999999996</v>
      </c>
      <c r="AH15" s="107">
        <v>37.9</v>
      </c>
      <c r="AI15" s="107">
        <v>15.879999999999999</v>
      </c>
      <c r="AJ15" s="107">
        <v>27.88</v>
      </c>
      <c r="AK15" s="107">
        <v>7.2799999999999994</v>
      </c>
      <c r="AL15" s="107">
        <v>12.96</v>
      </c>
      <c r="AM15" s="107">
        <v>28.41</v>
      </c>
      <c r="AN15" s="107">
        <v>43.17</v>
      </c>
      <c r="AO15" s="107">
        <v>57.84</v>
      </c>
      <c r="AP15" s="107">
        <v>133.48000000000002</v>
      </c>
      <c r="AQ15" s="107">
        <v>60.269999999999996</v>
      </c>
      <c r="AR15" s="107">
        <v>13.38</v>
      </c>
      <c r="AS15" s="107">
        <v>21.95</v>
      </c>
      <c r="AT15" s="107">
        <v>8.6</v>
      </c>
      <c r="AU15" s="107">
        <v>14.399999999999999</v>
      </c>
      <c r="AV15" s="107">
        <v>40.879999999999995</v>
      </c>
    </row>
    <row r="16" spans="1:48" ht="30" customHeight="1" outlineLevel="2">
      <c r="A16" s="116" t="s">
        <v>262</v>
      </c>
      <c r="B16" s="117" t="s">
        <v>263</v>
      </c>
      <c r="C16" s="104" t="s">
        <v>253</v>
      </c>
      <c r="E16" s="105">
        <f t="shared" si="15"/>
        <v>5.753000000000001</v>
      </c>
      <c r="F16" s="105">
        <f t="shared" si="16"/>
        <v>28.063200000000002</v>
      </c>
      <c r="G16" s="105">
        <f t="shared" si="17"/>
        <v>63.14</v>
      </c>
      <c r="H16" s="106"/>
      <c r="I16" s="105">
        <f t="shared" si="18"/>
        <v>18.931000000000001</v>
      </c>
      <c r="J16" s="105">
        <f t="shared" si="19"/>
        <v>42.119000000000007</v>
      </c>
      <c r="K16" s="105">
        <f t="shared" si="20"/>
        <v>94.325000000000003</v>
      </c>
      <c r="N16" s="107">
        <f t="shared" si="0"/>
        <v>38.929000000000002</v>
      </c>
      <c r="O16" s="107">
        <f t="shared" si="1"/>
        <v>13.618000000000002</v>
      </c>
      <c r="P16" s="107">
        <f t="shared" si="2"/>
        <v>25.278000000000002</v>
      </c>
      <c r="R16" s="107">
        <f t="shared" si="3"/>
        <v>5.753000000000001</v>
      </c>
      <c r="S16" s="107">
        <f t="shared" si="4"/>
        <v>11.330000000000002</v>
      </c>
      <c r="T16" s="107">
        <f t="shared" si="5"/>
        <v>27.885000000000005</v>
      </c>
      <c r="V16" s="107">
        <f t="shared" si="6"/>
        <v>23.474</v>
      </c>
      <c r="W16" s="107">
        <f t="shared" si="7"/>
        <v>24.728000000000002</v>
      </c>
      <c r="X16" s="107">
        <f t="shared" si="8"/>
        <v>94.325000000000003</v>
      </c>
      <c r="Z16" s="107">
        <f t="shared" si="9"/>
        <v>63.14</v>
      </c>
      <c r="AA16" s="107">
        <f t="shared" si="10"/>
        <v>10.295999999999999</v>
      </c>
      <c r="AB16" s="107">
        <f t="shared" si="11"/>
        <v>18.931000000000001</v>
      </c>
      <c r="AD16" s="107">
        <f t="shared" si="12"/>
        <v>9.02</v>
      </c>
      <c r="AE16" s="107">
        <f t="shared" si="13"/>
        <v>15.180000000000001</v>
      </c>
      <c r="AF16" s="107">
        <f t="shared" si="14"/>
        <v>44.176000000000002</v>
      </c>
      <c r="AH16" s="107">
        <v>35.39</v>
      </c>
      <c r="AI16" s="107">
        <v>12.38</v>
      </c>
      <c r="AJ16" s="107">
        <v>22.98</v>
      </c>
      <c r="AK16" s="107">
        <v>5.23</v>
      </c>
      <c r="AL16" s="107">
        <v>10.3</v>
      </c>
      <c r="AM16" s="107">
        <v>25.35</v>
      </c>
      <c r="AN16" s="107">
        <v>21.34</v>
      </c>
      <c r="AO16" s="107">
        <v>22.48</v>
      </c>
      <c r="AP16" s="107">
        <v>85.75</v>
      </c>
      <c r="AQ16" s="107">
        <v>57.4</v>
      </c>
      <c r="AR16" s="107">
        <v>9.36</v>
      </c>
      <c r="AS16" s="107">
        <v>17.21</v>
      </c>
      <c r="AT16" s="107">
        <v>8.1999999999999993</v>
      </c>
      <c r="AU16" s="107">
        <v>13.8</v>
      </c>
      <c r="AV16" s="107">
        <v>40.159999999999997</v>
      </c>
    </row>
    <row r="17" spans="1:48" ht="30" customHeight="1" outlineLevel="2">
      <c r="A17" s="116" t="s">
        <v>264</v>
      </c>
      <c r="B17" s="117" t="s">
        <v>265</v>
      </c>
      <c r="C17" s="104" t="s">
        <v>253</v>
      </c>
      <c r="E17" s="105">
        <f t="shared" si="15"/>
        <v>8.0079999999999991</v>
      </c>
      <c r="F17" s="105">
        <f t="shared" si="16"/>
        <v>30.9848</v>
      </c>
      <c r="G17" s="105">
        <f t="shared" si="17"/>
        <v>66.296999999999997</v>
      </c>
      <c r="H17" s="106"/>
      <c r="I17" s="105">
        <f t="shared" si="18"/>
        <v>24.145</v>
      </c>
      <c r="J17" s="105">
        <f t="shared" si="19"/>
        <v>47.691600000000001</v>
      </c>
      <c r="K17" s="105">
        <f t="shared" si="20"/>
        <v>107.426</v>
      </c>
      <c r="N17" s="107">
        <f t="shared" si="0"/>
        <v>41.690000000000005</v>
      </c>
      <c r="O17" s="107">
        <f t="shared" si="1"/>
        <v>17.468</v>
      </c>
      <c r="P17" s="107">
        <f t="shared" si="2"/>
        <v>30.668000000000003</v>
      </c>
      <c r="R17" s="107">
        <f t="shared" si="3"/>
        <v>8.0079999999999991</v>
      </c>
      <c r="S17" s="107">
        <f t="shared" si="4"/>
        <v>14.256000000000002</v>
      </c>
      <c r="T17" s="107">
        <f t="shared" si="5"/>
        <v>31.251000000000001</v>
      </c>
      <c r="V17" s="107">
        <f t="shared" si="6"/>
        <v>29.469000000000001</v>
      </c>
      <c r="W17" s="107">
        <f t="shared" si="7"/>
        <v>34.43</v>
      </c>
      <c r="X17" s="107">
        <f t="shared" si="8"/>
        <v>107.426</v>
      </c>
      <c r="Z17" s="107">
        <f t="shared" si="9"/>
        <v>66.296999999999997</v>
      </c>
      <c r="AA17" s="107">
        <f t="shared" si="10"/>
        <v>14.718000000000002</v>
      </c>
      <c r="AB17" s="107">
        <f t="shared" si="11"/>
        <v>24.145</v>
      </c>
      <c r="AD17" s="107">
        <f t="shared" si="12"/>
        <v>9.4600000000000009</v>
      </c>
      <c r="AE17" s="107">
        <f t="shared" si="13"/>
        <v>15.84</v>
      </c>
      <c r="AF17" s="107">
        <f t="shared" si="14"/>
        <v>44.967999999999996</v>
      </c>
      <c r="AH17" s="107">
        <v>37.9</v>
      </c>
      <c r="AI17" s="107">
        <v>15.879999999999999</v>
      </c>
      <c r="AJ17" s="107">
        <v>27.88</v>
      </c>
      <c r="AK17" s="107">
        <v>7.2799999999999994</v>
      </c>
      <c r="AL17" s="107">
        <v>12.96</v>
      </c>
      <c r="AM17" s="107">
        <v>28.41</v>
      </c>
      <c r="AN17" s="107">
        <v>26.79</v>
      </c>
      <c r="AO17" s="107">
        <v>31.299999999999997</v>
      </c>
      <c r="AP17" s="107">
        <v>97.66</v>
      </c>
      <c r="AQ17" s="107">
        <v>60.269999999999996</v>
      </c>
      <c r="AR17" s="107">
        <v>13.38</v>
      </c>
      <c r="AS17" s="107">
        <v>21.95</v>
      </c>
      <c r="AT17" s="107">
        <v>8.6</v>
      </c>
      <c r="AU17" s="107">
        <v>14.399999999999999</v>
      </c>
      <c r="AV17" s="107">
        <v>40.879999999999995</v>
      </c>
    </row>
    <row r="18" spans="1:48" ht="30" customHeight="1" outlineLevel="2">
      <c r="A18" s="116" t="s">
        <v>266</v>
      </c>
      <c r="B18" s="118" t="s">
        <v>267</v>
      </c>
      <c r="C18" s="104" t="s">
        <v>253</v>
      </c>
      <c r="E18" s="105">
        <f t="shared" si="15"/>
        <v>5.753000000000001</v>
      </c>
      <c r="F18" s="105">
        <f t="shared" si="16"/>
        <v>31.097000000000001</v>
      </c>
      <c r="G18" s="105">
        <f t="shared" si="17"/>
        <v>67.287000000000006</v>
      </c>
      <c r="H18" s="106"/>
      <c r="I18" s="105">
        <f t="shared" si="18"/>
        <v>25.773000000000003</v>
      </c>
      <c r="J18" s="105">
        <f t="shared" si="19"/>
        <v>47.799400000000006</v>
      </c>
      <c r="K18" s="105">
        <f t="shared" si="20"/>
        <v>94.325000000000003</v>
      </c>
      <c r="N18" s="107">
        <f t="shared" si="0"/>
        <v>49.951000000000001</v>
      </c>
      <c r="O18" s="107">
        <f t="shared" si="1"/>
        <v>29.018000000000001</v>
      </c>
      <c r="P18" s="107">
        <f t="shared" si="2"/>
        <v>46.838000000000001</v>
      </c>
      <c r="R18" s="107">
        <f t="shared" si="3"/>
        <v>5.753000000000001</v>
      </c>
      <c r="S18" s="107">
        <f t="shared" si="4"/>
        <v>11.330000000000002</v>
      </c>
      <c r="T18" s="107">
        <f t="shared" si="5"/>
        <v>27.885000000000005</v>
      </c>
      <c r="V18" s="107">
        <f t="shared" si="6"/>
        <v>23.474</v>
      </c>
      <c r="W18" s="107">
        <f t="shared" si="7"/>
        <v>24.728000000000002</v>
      </c>
      <c r="X18" s="107">
        <f t="shared" si="8"/>
        <v>94.325000000000003</v>
      </c>
      <c r="Z18" s="107">
        <f t="shared" si="9"/>
        <v>67.287000000000006</v>
      </c>
      <c r="AA18" s="107">
        <f t="shared" si="10"/>
        <v>16.104000000000003</v>
      </c>
      <c r="AB18" s="107">
        <f t="shared" si="11"/>
        <v>25.773000000000003</v>
      </c>
      <c r="AD18" s="107">
        <f t="shared" si="12"/>
        <v>9.02</v>
      </c>
      <c r="AE18" s="107">
        <f t="shared" si="13"/>
        <v>15.180000000000001</v>
      </c>
      <c r="AF18" s="107">
        <f t="shared" si="14"/>
        <v>44.176000000000002</v>
      </c>
      <c r="AH18" s="107">
        <v>45.41</v>
      </c>
      <c r="AI18" s="107">
        <v>26.38</v>
      </c>
      <c r="AJ18" s="107">
        <v>42.58</v>
      </c>
      <c r="AK18" s="107">
        <v>5.23</v>
      </c>
      <c r="AL18" s="107">
        <v>10.3</v>
      </c>
      <c r="AM18" s="107">
        <v>25.35</v>
      </c>
      <c r="AN18" s="107">
        <v>21.34</v>
      </c>
      <c r="AO18" s="107">
        <v>22.48</v>
      </c>
      <c r="AP18" s="107">
        <v>85.75</v>
      </c>
      <c r="AQ18" s="107">
        <v>61.17</v>
      </c>
      <c r="AR18" s="107">
        <v>14.64</v>
      </c>
      <c r="AS18" s="107">
        <v>23.43</v>
      </c>
      <c r="AT18" s="107">
        <v>8.1999999999999993</v>
      </c>
      <c r="AU18" s="107">
        <v>13.8</v>
      </c>
      <c r="AV18" s="107">
        <v>40.159999999999997</v>
      </c>
    </row>
    <row r="19" spans="1:48" ht="30" customHeight="1" outlineLevel="2">
      <c r="A19" s="116" t="s">
        <v>268</v>
      </c>
      <c r="B19" s="118" t="s">
        <v>269</v>
      </c>
      <c r="C19" s="104" t="s">
        <v>253</v>
      </c>
      <c r="E19" s="105">
        <f t="shared" si="15"/>
        <v>9.02</v>
      </c>
      <c r="F19" s="105">
        <f t="shared" si="16"/>
        <v>28.432800000000004</v>
      </c>
      <c r="G19" s="105">
        <f t="shared" si="17"/>
        <v>62.216000000000008</v>
      </c>
      <c r="H19" s="106"/>
      <c r="I19" s="105">
        <f t="shared" si="18"/>
        <v>17.402000000000001</v>
      </c>
      <c r="J19" s="105">
        <f t="shared" si="19"/>
        <v>41.657000000000004</v>
      </c>
      <c r="K19" s="105">
        <f t="shared" si="20"/>
        <v>74.657000000000011</v>
      </c>
      <c r="N19" s="107">
        <f t="shared" si="0"/>
        <v>41.690000000000005</v>
      </c>
      <c r="O19" s="107">
        <f t="shared" si="1"/>
        <v>17.468</v>
      </c>
      <c r="P19" s="107">
        <f t="shared" si="2"/>
        <v>30.668000000000003</v>
      </c>
      <c r="R19" s="107">
        <f t="shared" si="3"/>
        <v>14.751000000000001</v>
      </c>
      <c r="S19" s="107">
        <f t="shared" si="4"/>
        <v>23.034000000000002</v>
      </c>
      <c r="T19" s="107">
        <f t="shared" si="5"/>
        <v>41.382000000000005</v>
      </c>
      <c r="V19" s="107">
        <f t="shared" si="6"/>
        <v>14.487000000000002</v>
      </c>
      <c r="W19" s="107">
        <f t="shared" si="7"/>
        <v>10.164000000000001</v>
      </c>
      <c r="X19" s="107">
        <f t="shared" si="8"/>
        <v>74.657000000000011</v>
      </c>
      <c r="Z19" s="107">
        <f t="shared" si="9"/>
        <v>62.216000000000008</v>
      </c>
      <c r="AA19" s="107">
        <f t="shared" si="10"/>
        <v>8.9980000000000011</v>
      </c>
      <c r="AB19" s="107">
        <f t="shared" si="11"/>
        <v>17.402000000000001</v>
      </c>
      <c r="AD19" s="107">
        <f t="shared" si="12"/>
        <v>9.02</v>
      </c>
      <c r="AE19" s="107">
        <f t="shared" si="13"/>
        <v>15.180000000000001</v>
      </c>
      <c r="AF19" s="107">
        <f t="shared" si="14"/>
        <v>44.176000000000002</v>
      </c>
      <c r="AH19" s="107">
        <v>37.9</v>
      </c>
      <c r="AI19" s="107">
        <v>15.879999999999999</v>
      </c>
      <c r="AJ19" s="107">
        <v>27.88</v>
      </c>
      <c r="AK19" s="107">
        <v>13.41</v>
      </c>
      <c r="AL19" s="107">
        <v>20.94</v>
      </c>
      <c r="AM19" s="107">
        <v>37.620000000000005</v>
      </c>
      <c r="AN19" s="107">
        <v>13.17</v>
      </c>
      <c r="AO19" s="107">
        <v>9.24</v>
      </c>
      <c r="AP19" s="107">
        <v>67.87</v>
      </c>
      <c r="AQ19" s="107">
        <v>56.56</v>
      </c>
      <c r="AR19" s="107">
        <v>8.18</v>
      </c>
      <c r="AS19" s="107">
        <v>15.82</v>
      </c>
      <c r="AT19" s="107">
        <v>8.1999999999999993</v>
      </c>
      <c r="AU19" s="107">
        <v>13.8</v>
      </c>
      <c r="AV19" s="107">
        <v>40.159999999999997</v>
      </c>
    </row>
    <row r="20" spans="1:48" ht="30" customHeight="1" outlineLevel="2">
      <c r="A20" s="116" t="s">
        <v>270</v>
      </c>
      <c r="B20" s="118" t="s">
        <v>271</v>
      </c>
      <c r="C20" s="104" t="s">
        <v>253</v>
      </c>
      <c r="E20" s="105">
        <f t="shared" si="15"/>
        <v>-1.452</v>
      </c>
      <c r="F20" s="105">
        <f t="shared" si="16"/>
        <v>24.428800000000003</v>
      </c>
      <c r="G20" s="105">
        <f t="shared" si="17"/>
        <v>62.799000000000007</v>
      </c>
      <c r="H20" s="106"/>
      <c r="I20" s="105">
        <f t="shared" si="18"/>
        <v>17.071999999999999</v>
      </c>
      <c r="J20" s="105">
        <f t="shared" si="19"/>
        <v>34.999800000000008</v>
      </c>
      <c r="K20" s="105">
        <f t="shared" si="20"/>
        <v>69.421000000000006</v>
      </c>
      <c r="N20" s="107">
        <f t="shared" si="0"/>
        <v>38.808000000000007</v>
      </c>
      <c r="O20" s="107">
        <f t="shared" si="1"/>
        <v>13.519</v>
      </c>
      <c r="P20" s="107">
        <f t="shared" si="2"/>
        <v>28.149000000000001</v>
      </c>
      <c r="R20" s="107">
        <f t="shared" si="3"/>
        <v>-1.452</v>
      </c>
      <c r="S20" s="107">
        <f t="shared" si="4"/>
        <v>1.9690000000000003</v>
      </c>
      <c r="T20" s="107">
        <f t="shared" si="5"/>
        <v>17.071999999999999</v>
      </c>
      <c r="V20" s="107">
        <f t="shared" si="6"/>
        <v>12.089</v>
      </c>
      <c r="W20" s="107">
        <f t="shared" si="7"/>
        <v>6.2810000000000015</v>
      </c>
      <c r="X20" s="107">
        <f t="shared" si="8"/>
        <v>69.421000000000006</v>
      </c>
      <c r="Z20" s="107">
        <f t="shared" si="9"/>
        <v>62.799000000000007</v>
      </c>
      <c r="AA20" s="107">
        <f t="shared" si="10"/>
        <v>8.9540000000000006</v>
      </c>
      <c r="AB20" s="107">
        <f t="shared" si="11"/>
        <v>17.423999999999999</v>
      </c>
      <c r="AD20" s="107">
        <f t="shared" si="12"/>
        <v>9.9</v>
      </c>
      <c r="AE20" s="107">
        <f t="shared" si="13"/>
        <v>14.729000000000001</v>
      </c>
      <c r="AF20" s="107">
        <f t="shared" si="14"/>
        <v>42.933000000000007</v>
      </c>
      <c r="AH20" s="107">
        <v>35.28</v>
      </c>
      <c r="AI20" s="107">
        <v>12.29</v>
      </c>
      <c r="AJ20" s="107">
        <v>25.59</v>
      </c>
      <c r="AK20" s="107">
        <v>-1.3199999999999998</v>
      </c>
      <c r="AL20" s="107">
        <v>1.79</v>
      </c>
      <c r="AM20" s="107">
        <v>15.52</v>
      </c>
      <c r="AN20" s="107">
        <v>10.99</v>
      </c>
      <c r="AO20" s="107">
        <v>5.7100000000000009</v>
      </c>
      <c r="AP20" s="107">
        <v>63.11</v>
      </c>
      <c r="AQ20" s="107">
        <v>57.09</v>
      </c>
      <c r="AR20" s="107">
        <v>8.14</v>
      </c>
      <c r="AS20" s="107">
        <v>15.84</v>
      </c>
      <c r="AT20" s="107">
        <v>9</v>
      </c>
      <c r="AU20" s="107">
        <v>13.39</v>
      </c>
      <c r="AV20" s="107">
        <v>39.03</v>
      </c>
    </row>
    <row r="21" spans="1:48" ht="30" customHeight="1" outlineLevel="2">
      <c r="A21" s="116" t="s">
        <v>272</v>
      </c>
      <c r="B21" s="118" t="s">
        <v>273</v>
      </c>
      <c r="C21" s="104" t="s">
        <v>253</v>
      </c>
      <c r="E21" s="105">
        <f t="shared" si="15"/>
        <v>1.2539999999999998</v>
      </c>
      <c r="F21" s="105">
        <f t="shared" si="16"/>
        <v>28.314000000000004</v>
      </c>
      <c r="G21" s="105">
        <f t="shared" si="17"/>
        <v>65.087000000000003</v>
      </c>
      <c r="H21" s="106"/>
      <c r="I21" s="105">
        <f t="shared" si="18"/>
        <v>21.131000000000004</v>
      </c>
      <c r="J21" s="105">
        <f t="shared" si="19"/>
        <v>42.977000000000011</v>
      </c>
      <c r="K21" s="105">
        <f t="shared" si="20"/>
        <v>85.140000000000015</v>
      </c>
      <c r="N21" s="107">
        <f t="shared" si="0"/>
        <v>46.046000000000006</v>
      </c>
      <c r="O21" s="107">
        <f t="shared" si="1"/>
        <v>23.562000000000005</v>
      </c>
      <c r="P21" s="107">
        <f t="shared" si="2"/>
        <v>44</v>
      </c>
      <c r="R21" s="107">
        <f t="shared" si="3"/>
        <v>1.2539999999999998</v>
      </c>
      <c r="S21" s="107">
        <f t="shared" si="4"/>
        <v>5.4780000000000006</v>
      </c>
      <c r="T21" s="107">
        <f t="shared" si="5"/>
        <v>21.131000000000004</v>
      </c>
      <c r="V21" s="107">
        <f t="shared" si="6"/>
        <v>19.283000000000001</v>
      </c>
      <c r="W21" s="107">
        <f t="shared" si="7"/>
        <v>17.930000000000003</v>
      </c>
      <c r="X21" s="107">
        <f t="shared" si="8"/>
        <v>85.140000000000015</v>
      </c>
      <c r="Z21" s="107">
        <f t="shared" si="9"/>
        <v>65.087000000000003</v>
      </c>
      <c r="AA21" s="107">
        <f t="shared" si="10"/>
        <v>12.628000000000002</v>
      </c>
      <c r="AB21" s="107">
        <f t="shared" si="11"/>
        <v>21.681000000000001</v>
      </c>
      <c r="AD21" s="107">
        <f t="shared" si="12"/>
        <v>9.9</v>
      </c>
      <c r="AE21" s="107">
        <f t="shared" si="13"/>
        <v>14.729000000000001</v>
      </c>
      <c r="AF21" s="107">
        <f t="shared" si="14"/>
        <v>42.933000000000007</v>
      </c>
      <c r="AH21" s="107">
        <v>41.86</v>
      </c>
      <c r="AI21" s="107">
        <v>21.42</v>
      </c>
      <c r="AJ21" s="107">
        <v>40</v>
      </c>
      <c r="AK21" s="107">
        <v>1.1399999999999997</v>
      </c>
      <c r="AL21" s="107">
        <v>4.9800000000000004</v>
      </c>
      <c r="AM21" s="107">
        <v>19.21</v>
      </c>
      <c r="AN21" s="107">
        <v>17.53</v>
      </c>
      <c r="AO21" s="107">
        <v>16.3</v>
      </c>
      <c r="AP21" s="107">
        <v>77.400000000000006</v>
      </c>
      <c r="AQ21" s="107">
        <v>59.17</v>
      </c>
      <c r="AR21" s="107">
        <v>11.48</v>
      </c>
      <c r="AS21" s="107">
        <v>19.71</v>
      </c>
      <c r="AT21" s="107">
        <v>9</v>
      </c>
      <c r="AU21" s="107">
        <v>13.39</v>
      </c>
      <c r="AV21" s="107">
        <v>39.03</v>
      </c>
    </row>
    <row r="22" spans="1:48" ht="30" customHeight="1" outlineLevel="1">
      <c r="A22" s="109" t="s">
        <v>274</v>
      </c>
      <c r="B22" s="110" t="s">
        <v>275</v>
      </c>
      <c r="C22" s="111"/>
      <c r="N22" s="11" t="str">
        <f t="shared" si="0"/>
        <v/>
      </c>
      <c r="O22" s="11" t="str">
        <f t="shared" si="1"/>
        <v/>
      </c>
      <c r="P22" s="11" t="str">
        <f t="shared" si="2"/>
        <v/>
      </c>
      <c r="R22" s="11" t="str">
        <f t="shared" si="3"/>
        <v/>
      </c>
      <c r="S22" s="11" t="str">
        <f t="shared" si="4"/>
        <v/>
      </c>
      <c r="T22" s="11" t="str">
        <f t="shared" si="5"/>
        <v/>
      </c>
      <c r="V22" s="11" t="str">
        <f t="shared" si="6"/>
        <v/>
      </c>
      <c r="W22" s="11" t="str">
        <f t="shared" si="7"/>
        <v/>
      </c>
      <c r="X22" s="11" t="str">
        <f t="shared" si="8"/>
        <v/>
      </c>
      <c r="Z22" s="11" t="str">
        <f t="shared" si="9"/>
        <v/>
      </c>
      <c r="AA22" s="11" t="str">
        <f t="shared" si="10"/>
        <v/>
      </c>
      <c r="AB22" s="11" t="str">
        <f t="shared" si="11"/>
        <v/>
      </c>
      <c r="AD22" s="11" t="str">
        <f t="shared" si="12"/>
        <v/>
      </c>
      <c r="AE22" s="11" t="str">
        <f t="shared" si="13"/>
        <v/>
      </c>
      <c r="AF22" s="11" t="str">
        <f t="shared" si="14"/>
        <v/>
      </c>
    </row>
    <row r="23" spans="1:48" ht="30" customHeight="1" outlineLevel="2" thickBot="1">
      <c r="A23" s="119" t="s">
        <v>276</v>
      </c>
      <c r="B23" s="120" t="s">
        <v>277</v>
      </c>
      <c r="C23" s="114" t="s">
        <v>253</v>
      </c>
      <c r="E23" s="105">
        <f>MIN(N23,R23,V23,Z23,AD23)</f>
        <v>-2.3540000000000005</v>
      </c>
      <c r="F23" s="105">
        <f>AVERAGE(N23,R23,V23,Z23,AD23)</f>
        <v>22.3872</v>
      </c>
      <c r="G23" s="105">
        <f>MAX(N23,R23,V23,Z23,AD23)</f>
        <v>61.611000000000004</v>
      </c>
      <c r="H23" s="106"/>
      <c r="I23" s="105">
        <f>MIN(T23,X23,AB23,AF23,P23)</f>
        <v>15.730000000000002</v>
      </c>
      <c r="J23" s="105">
        <f>AVERAGE(P23,T23,X23,AB23,AF23)</f>
        <v>31.638200000000005</v>
      </c>
      <c r="K23" s="105">
        <f>MAX(P23,T23,X23,AB23,AF23)</f>
        <v>69.421000000000006</v>
      </c>
      <c r="N23" s="107">
        <f t="shared" si="0"/>
        <v>41.690000000000005</v>
      </c>
      <c r="O23" s="107">
        <f t="shared" si="1"/>
        <v>17.468</v>
      </c>
      <c r="P23" s="107">
        <f t="shared" si="2"/>
        <v>30.668000000000003</v>
      </c>
      <c r="R23" s="107">
        <f t="shared" si="3"/>
        <v>-2.3540000000000005</v>
      </c>
      <c r="S23" s="107">
        <f t="shared" si="4"/>
        <v>0.79200000000000026</v>
      </c>
      <c r="T23" s="107">
        <f t="shared" si="5"/>
        <v>15.730000000000002</v>
      </c>
      <c r="V23" s="107">
        <f t="shared" si="6"/>
        <v>12.089</v>
      </c>
      <c r="W23" s="107">
        <f t="shared" si="7"/>
        <v>6.2810000000000015</v>
      </c>
      <c r="X23" s="107">
        <f t="shared" si="8"/>
        <v>69.421000000000006</v>
      </c>
      <c r="Z23" s="107">
        <f t="shared" si="9"/>
        <v>61.611000000000004</v>
      </c>
      <c r="AA23" s="107">
        <f t="shared" si="10"/>
        <v>8.1510000000000016</v>
      </c>
      <c r="AB23" s="107">
        <f t="shared" si="11"/>
        <v>16.412000000000003</v>
      </c>
      <c r="AD23" s="107">
        <f t="shared" si="12"/>
        <v>-1.1000000000000001</v>
      </c>
      <c r="AE23" s="107">
        <f t="shared" si="13"/>
        <v>0</v>
      </c>
      <c r="AF23" s="107">
        <f t="shared" si="14"/>
        <v>25.960000000000004</v>
      </c>
      <c r="AH23" s="107">
        <v>37.9</v>
      </c>
      <c r="AI23" s="107">
        <v>15.879999999999999</v>
      </c>
      <c r="AJ23" s="107">
        <v>27.88</v>
      </c>
      <c r="AK23" s="107">
        <v>-2.14</v>
      </c>
      <c r="AL23" s="107">
        <v>0.7200000000000002</v>
      </c>
      <c r="AM23" s="107">
        <v>14.3</v>
      </c>
      <c r="AN23" s="107">
        <v>10.99</v>
      </c>
      <c r="AO23" s="107">
        <v>5.7100000000000009</v>
      </c>
      <c r="AP23" s="107">
        <v>63.11</v>
      </c>
      <c r="AQ23" s="107">
        <v>56.01</v>
      </c>
      <c r="AR23" s="107">
        <v>7.41</v>
      </c>
      <c r="AS23" s="107">
        <v>14.92</v>
      </c>
      <c r="AT23" s="107">
        <v>-1</v>
      </c>
      <c r="AU23" s="107">
        <v>0</v>
      </c>
      <c r="AV23" s="107">
        <v>23.6</v>
      </c>
    </row>
    <row r="24" spans="1:48" ht="30" customHeight="1" thickBot="1">
      <c r="A24" s="96" t="s">
        <v>278</v>
      </c>
      <c r="B24" s="115" t="s">
        <v>279</v>
      </c>
      <c r="C24" s="98"/>
      <c r="N24" s="11" t="str">
        <f t="shared" si="0"/>
        <v/>
      </c>
      <c r="O24" s="11" t="str">
        <f t="shared" si="1"/>
        <v/>
      </c>
      <c r="P24" s="11" t="str">
        <f t="shared" si="2"/>
        <v/>
      </c>
      <c r="R24" s="11" t="str">
        <f t="shared" si="3"/>
        <v/>
      </c>
      <c r="S24" s="11" t="str">
        <f t="shared" si="4"/>
        <v/>
      </c>
      <c r="T24" s="11" t="str">
        <f t="shared" si="5"/>
        <v/>
      </c>
      <c r="V24" s="11" t="str">
        <f t="shared" si="6"/>
        <v/>
      </c>
      <c r="W24" s="11" t="str">
        <f t="shared" si="7"/>
        <v/>
      </c>
      <c r="X24" s="11" t="str">
        <f t="shared" si="8"/>
        <v/>
      </c>
      <c r="Z24" s="11" t="str">
        <f t="shared" si="9"/>
        <v/>
      </c>
      <c r="AA24" s="11" t="str">
        <f t="shared" si="10"/>
        <v/>
      </c>
      <c r="AB24" s="11" t="str">
        <f t="shared" si="11"/>
        <v/>
      </c>
      <c r="AD24" s="11" t="str">
        <f t="shared" si="12"/>
        <v/>
      </c>
      <c r="AE24" s="11" t="str">
        <f t="shared" si="13"/>
        <v/>
      </c>
      <c r="AF24" s="11" t="str">
        <f t="shared" si="14"/>
        <v/>
      </c>
    </row>
    <row r="25" spans="1:48" s="124" customFormat="1" ht="30" customHeight="1" outlineLevel="1">
      <c r="A25" s="121" t="s">
        <v>280</v>
      </c>
      <c r="B25" s="122" t="s">
        <v>281</v>
      </c>
      <c r="C25" s="123"/>
      <c r="N25" s="11" t="str">
        <f t="shared" si="0"/>
        <v/>
      </c>
      <c r="O25" s="11" t="str">
        <f t="shared" si="1"/>
        <v/>
      </c>
      <c r="P25" s="11" t="str">
        <f t="shared" si="2"/>
        <v/>
      </c>
      <c r="Q25" s="11"/>
      <c r="R25" s="11" t="str">
        <f t="shared" si="3"/>
        <v/>
      </c>
      <c r="S25" s="11" t="str">
        <f t="shared" si="4"/>
        <v/>
      </c>
      <c r="T25" s="11" t="str">
        <f t="shared" si="5"/>
        <v/>
      </c>
      <c r="U25" s="11"/>
      <c r="V25" s="11" t="str">
        <f t="shared" si="6"/>
        <v/>
      </c>
      <c r="W25" s="11" t="str">
        <f t="shared" si="7"/>
        <v/>
      </c>
      <c r="X25" s="11" t="str">
        <f t="shared" si="8"/>
        <v/>
      </c>
      <c r="Y25" s="11"/>
      <c r="Z25" s="11" t="str">
        <f t="shared" si="9"/>
        <v/>
      </c>
      <c r="AA25" s="11" t="str">
        <f t="shared" si="10"/>
        <v/>
      </c>
      <c r="AB25" s="11" t="str">
        <f t="shared" si="11"/>
        <v/>
      </c>
      <c r="AC25" s="11"/>
      <c r="AD25" s="11" t="str">
        <f t="shared" si="12"/>
        <v/>
      </c>
      <c r="AE25" s="11" t="str">
        <f t="shared" si="13"/>
        <v/>
      </c>
      <c r="AF25" s="11" t="str">
        <f t="shared" si="14"/>
        <v/>
      </c>
      <c r="AG25" s="11"/>
      <c r="AH25" s="11"/>
      <c r="AI25" s="11"/>
      <c r="AJ25" s="11"/>
      <c r="AK25" s="11"/>
      <c r="AL25" s="11"/>
      <c r="AM25" s="11"/>
      <c r="AN25" s="11"/>
      <c r="AO25" s="11"/>
      <c r="AP25" s="11"/>
      <c r="AQ25" s="11"/>
      <c r="AR25" s="11"/>
      <c r="AS25" s="11"/>
      <c r="AT25" s="11"/>
      <c r="AU25" s="11"/>
      <c r="AV25" s="11"/>
    </row>
    <row r="26" spans="1:48" s="124" customFormat="1" ht="30" customHeight="1" outlineLevel="2">
      <c r="A26" s="125" t="s">
        <v>282</v>
      </c>
      <c r="B26" s="126" t="s">
        <v>283</v>
      </c>
      <c r="C26" s="104" t="s">
        <v>253</v>
      </c>
      <c r="E26" s="105">
        <f>MIN(N26,R26,V26,Z26,AD26)</f>
        <v>-2.2440000000000002</v>
      </c>
      <c r="F26" s="105">
        <f>AVERAGE(N26,R26,V26,Z26,AD26)</f>
        <v>19.104800000000001</v>
      </c>
      <c r="G26" s="105">
        <f>MAX(N26,R26,V26,Z26,AD26)</f>
        <v>58.377000000000002</v>
      </c>
      <c r="H26" s="106"/>
      <c r="I26" s="105">
        <f>MIN(T26,X26,AB26,AF26,P26)</f>
        <v>8.9429999999999996</v>
      </c>
      <c r="J26" s="105">
        <f>AVERAGE(P26,T26,X26,AB26,AF26)</f>
        <v>25.203200000000002</v>
      </c>
      <c r="K26" s="105">
        <f>MAX(P26,T26,X26,AB26,AF26)</f>
        <v>61.93</v>
      </c>
      <c r="N26" s="107">
        <f t="shared" si="0"/>
        <v>30.503000000000004</v>
      </c>
      <c r="O26" s="107">
        <f t="shared" si="1"/>
        <v>1.903</v>
      </c>
      <c r="P26" s="107">
        <f t="shared" si="2"/>
        <v>8.9429999999999996</v>
      </c>
      <c r="R26" s="107">
        <f t="shared" si="3"/>
        <v>-2.2440000000000002</v>
      </c>
      <c r="S26" s="107">
        <f t="shared" si="4"/>
        <v>0.92399999999999993</v>
      </c>
      <c r="T26" s="107">
        <f t="shared" si="5"/>
        <v>15.884000000000002</v>
      </c>
      <c r="V26" s="107">
        <f t="shared" si="6"/>
        <v>8.668000000000001</v>
      </c>
      <c r="W26" s="107">
        <f t="shared" si="7"/>
        <v>0.7260000000000002</v>
      </c>
      <c r="X26" s="107">
        <f t="shared" si="8"/>
        <v>61.93</v>
      </c>
      <c r="Z26" s="107">
        <f t="shared" si="9"/>
        <v>58.377000000000002</v>
      </c>
      <c r="AA26" s="107">
        <f t="shared" si="10"/>
        <v>3.63</v>
      </c>
      <c r="AB26" s="107">
        <f t="shared" si="11"/>
        <v>11.077000000000002</v>
      </c>
      <c r="AD26" s="107">
        <f t="shared" si="12"/>
        <v>0.22000000000000022</v>
      </c>
      <c r="AE26" s="107">
        <f t="shared" si="13"/>
        <v>1.881</v>
      </c>
      <c r="AF26" s="107">
        <f t="shared" si="14"/>
        <v>28.182000000000002</v>
      </c>
      <c r="AH26" s="107">
        <v>27.73</v>
      </c>
      <c r="AI26" s="107">
        <v>1.73</v>
      </c>
      <c r="AJ26" s="107">
        <v>8.129999999999999</v>
      </c>
      <c r="AK26" s="107">
        <v>-2.04</v>
      </c>
      <c r="AL26" s="107">
        <v>0.83999999999999986</v>
      </c>
      <c r="AM26" s="107">
        <v>14.440000000000001</v>
      </c>
      <c r="AN26" s="107">
        <v>7.88</v>
      </c>
      <c r="AO26" s="107">
        <v>0.66000000000000014</v>
      </c>
      <c r="AP26" s="107">
        <v>56.3</v>
      </c>
      <c r="AQ26" s="107">
        <v>53.07</v>
      </c>
      <c r="AR26" s="107">
        <v>3.3</v>
      </c>
      <c r="AS26" s="107">
        <v>10.07</v>
      </c>
      <c r="AT26" s="107">
        <v>0.20000000000000018</v>
      </c>
      <c r="AU26" s="107">
        <v>1.71</v>
      </c>
      <c r="AV26" s="107">
        <v>25.62</v>
      </c>
    </row>
    <row r="27" spans="1:48" ht="30" customHeight="1" outlineLevel="1">
      <c r="A27" s="127" t="s">
        <v>284</v>
      </c>
      <c r="B27" s="128" t="s">
        <v>285</v>
      </c>
      <c r="C27" s="129"/>
      <c r="N27" s="11" t="str">
        <f t="shared" si="0"/>
        <v/>
      </c>
      <c r="O27" s="11" t="str">
        <f t="shared" si="1"/>
        <v/>
      </c>
      <c r="P27" s="11" t="str">
        <f t="shared" si="2"/>
        <v/>
      </c>
      <c r="R27" s="11" t="str">
        <f t="shared" si="3"/>
        <v/>
      </c>
      <c r="S27" s="11" t="str">
        <f t="shared" si="4"/>
        <v/>
      </c>
      <c r="T27" s="11" t="str">
        <f t="shared" si="5"/>
        <v/>
      </c>
      <c r="V27" s="11" t="str">
        <f t="shared" si="6"/>
        <v/>
      </c>
      <c r="W27" s="11" t="str">
        <f t="shared" si="7"/>
        <v/>
      </c>
      <c r="X27" s="11" t="str">
        <f t="shared" si="8"/>
        <v/>
      </c>
      <c r="Z27" s="11" t="str">
        <f t="shared" si="9"/>
        <v/>
      </c>
      <c r="AA27" s="11" t="str">
        <f t="shared" si="10"/>
        <v/>
      </c>
      <c r="AB27" s="11" t="str">
        <f t="shared" si="11"/>
        <v/>
      </c>
      <c r="AD27" s="11" t="str">
        <f t="shared" si="12"/>
        <v/>
      </c>
      <c r="AE27" s="11" t="str">
        <f t="shared" si="13"/>
        <v/>
      </c>
      <c r="AF27" s="11" t="str">
        <f t="shared" si="14"/>
        <v/>
      </c>
    </row>
    <row r="28" spans="1:48" ht="30" customHeight="1" outlineLevel="2">
      <c r="A28" s="125" t="s">
        <v>286</v>
      </c>
      <c r="B28" s="118" t="s">
        <v>287</v>
      </c>
      <c r="C28" s="104" t="s">
        <v>253</v>
      </c>
      <c r="E28" s="105">
        <f>MIN(N28,R28,V28,Z28,AD28)</f>
        <v>-1.837</v>
      </c>
      <c r="F28" s="105">
        <f>AVERAGE(N28,R28,V28,Z28,AD28)</f>
        <v>19.177399999999999</v>
      </c>
      <c r="G28" s="105">
        <f>MAX(N28,R28,V28,Z28,AD28)</f>
        <v>58.377000000000002</v>
      </c>
      <c r="H28" s="106"/>
      <c r="I28" s="105">
        <f>MIN(T28,X28,AB28,AF28,P28)</f>
        <v>8.9429999999999996</v>
      </c>
      <c r="J28" s="105">
        <f>AVERAGE(P28,T28,X28,AB28,AF28)</f>
        <v>25.841200000000004</v>
      </c>
      <c r="K28" s="105">
        <f>MAX(P28,T28,X28,AB28,AF28)</f>
        <v>61.831000000000003</v>
      </c>
      <c r="N28" s="107">
        <f t="shared" si="0"/>
        <v>30.503000000000004</v>
      </c>
      <c r="O28" s="107">
        <f t="shared" si="1"/>
        <v>1.903</v>
      </c>
      <c r="P28" s="107">
        <f t="shared" si="2"/>
        <v>8.9429999999999996</v>
      </c>
      <c r="R28" s="107">
        <f t="shared" si="3"/>
        <v>-1.837</v>
      </c>
      <c r="S28" s="107">
        <f t="shared" si="4"/>
        <v>1.4520000000000004</v>
      </c>
      <c r="T28" s="107">
        <f t="shared" si="5"/>
        <v>16.489000000000001</v>
      </c>
      <c r="V28" s="107">
        <f t="shared" si="6"/>
        <v>8.6240000000000006</v>
      </c>
      <c r="W28" s="107">
        <f t="shared" si="7"/>
        <v>0.6599999999999997</v>
      </c>
      <c r="X28" s="107">
        <f t="shared" si="8"/>
        <v>61.831000000000003</v>
      </c>
      <c r="Z28" s="107">
        <f t="shared" si="9"/>
        <v>58.377000000000002</v>
      </c>
      <c r="AA28" s="107">
        <f t="shared" si="10"/>
        <v>3.63</v>
      </c>
      <c r="AB28" s="107">
        <f t="shared" si="11"/>
        <v>11.077000000000002</v>
      </c>
      <c r="AD28" s="107">
        <f t="shared" si="12"/>
        <v>0.22000000000000022</v>
      </c>
      <c r="AE28" s="107">
        <f t="shared" si="13"/>
        <v>1.881</v>
      </c>
      <c r="AF28" s="107">
        <f t="shared" si="14"/>
        <v>30.866000000000007</v>
      </c>
      <c r="AH28" s="107">
        <v>27.73</v>
      </c>
      <c r="AI28" s="107">
        <v>1.73</v>
      </c>
      <c r="AJ28" s="107">
        <v>8.129999999999999</v>
      </c>
      <c r="AK28" s="107">
        <v>-1.67</v>
      </c>
      <c r="AL28" s="107">
        <v>1.3200000000000003</v>
      </c>
      <c r="AM28" s="107">
        <v>14.99</v>
      </c>
      <c r="AN28" s="107">
        <v>7.84</v>
      </c>
      <c r="AO28" s="107">
        <v>0.59999999999999964</v>
      </c>
      <c r="AP28" s="107">
        <v>56.21</v>
      </c>
      <c r="AQ28" s="107">
        <v>53.07</v>
      </c>
      <c r="AR28" s="107">
        <v>3.3</v>
      </c>
      <c r="AS28" s="107">
        <v>10.07</v>
      </c>
      <c r="AT28" s="107">
        <v>0.20000000000000018</v>
      </c>
      <c r="AU28" s="107">
        <v>1.71</v>
      </c>
      <c r="AV28" s="107">
        <v>28.060000000000002</v>
      </c>
    </row>
    <row r="29" spans="1:48" s="124" customFormat="1" ht="30" customHeight="1" outlineLevel="2">
      <c r="A29" s="125" t="s">
        <v>288</v>
      </c>
      <c r="B29" s="118" t="s">
        <v>289</v>
      </c>
      <c r="C29" s="104" t="s">
        <v>253</v>
      </c>
      <c r="E29" s="105">
        <f>MIN(N29,R29,V29,Z29,AD29)</f>
        <v>-1.0229999999999997</v>
      </c>
      <c r="F29" s="105">
        <f>AVERAGE(N29,R29,V29,Z29,AD29)</f>
        <v>20.229000000000003</v>
      </c>
      <c r="G29" s="105">
        <f>MAX(N29,R29,V29,Z29,AD29)</f>
        <v>58.839000000000006</v>
      </c>
      <c r="H29" s="106"/>
      <c r="I29" s="105">
        <f>MIN(T29,X29,AB29,AF29,P29)</f>
        <v>11.099</v>
      </c>
      <c r="J29" s="105">
        <f>AVERAGE(P29,T29,X29,AB29,AF29)</f>
        <v>28.069799999999997</v>
      </c>
      <c r="K29" s="105">
        <f>MAX(P29,T29,X29,AB29,AF29)</f>
        <v>64.537000000000006</v>
      </c>
      <c r="N29" s="107">
        <f t="shared" si="0"/>
        <v>31.603000000000002</v>
      </c>
      <c r="O29" s="107">
        <f t="shared" si="1"/>
        <v>3.4430000000000001</v>
      </c>
      <c r="P29" s="107">
        <f t="shared" si="2"/>
        <v>11.099</v>
      </c>
      <c r="R29" s="107">
        <f t="shared" si="3"/>
        <v>-1.0229999999999997</v>
      </c>
      <c r="S29" s="107">
        <f t="shared" si="4"/>
        <v>2.5190000000000001</v>
      </c>
      <c r="T29" s="107">
        <f t="shared" si="5"/>
        <v>17.710000000000004</v>
      </c>
      <c r="V29" s="107">
        <f t="shared" si="6"/>
        <v>9.8560000000000016</v>
      </c>
      <c r="W29" s="107">
        <f t="shared" si="7"/>
        <v>2.6619999999999999</v>
      </c>
      <c r="X29" s="107">
        <f t="shared" si="8"/>
        <v>64.537000000000006</v>
      </c>
      <c r="Z29" s="107">
        <f t="shared" si="9"/>
        <v>58.839000000000006</v>
      </c>
      <c r="AA29" s="107">
        <f t="shared" si="10"/>
        <v>4.2789999999999999</v>
      </c>
      <c r="AB29" s="107">
        <f t="shared" si="11"/>
        <v>11.836</v>
      </c>
      <c r="AD29" s="107">
        <f t="shared" si="12"/>
        <v>1.8700000000000003</v>
      </c>
      <c r="AE29" s="107">
        <f t="shared" si="13"/>
        <v>4.3559999999999999</v>
      </c>
      <c r="AF29" s="107">
        <f t="shared" si="14"/>
        <v>35.167000000000002</v>
      </c>
      <c r="AH29" s="107">
        <v>28.73</v>
      </c>
      <c r="AI29" s="107">
        <v>3.13</v>
      </c>
      <c r="AJ29" s="107">
        <v>10.09</v>
      </c>
      <c r="AK29" s="107">
        <v>-0.92999999999999972</v>
      </c>
      <c r="AL29" s="107">
        <v>2.29</v>
      </c>
      <c r="AM29" s="107">
        <v>16.100000000000001</v>
      </c>
      <c r="AN29" s="107">
        <v>8.9600000000000009</v>
      </c>
      <c r="AO29" s="107">
        <v>2.42</v>
      </c>
      <c r="AP29" s="107">
        <v>58.67</v>
      </c>
      <c r="AQ29" s="107">
        <v>53.49</v>
      </c>
      <c r="AR29" s="107">
        <v>3.8899999999999997</v>
      </c>
      <c r="AS29" s="107">
        <v>10.76</v>
      </c>
      <c r="AT29" s="107">
        <v>1.7000000000000002</v>
      </c>
      <c r="AU29" s="107">
        <v>3.96</v>
      </c>
      <c r="AV29" s="107">
        <v>31.97</v>
      </c>
    </row>
    <row r="30" spans="1:48" s="124" customFormat="1" ht="30" customHeight="1" outlineLevel="2">
      <c r="A30" s="125" t="s">
        <v>290</v>
      </c>
      <c r="B30" s="118" t="s">
        <v>291</v>
      </c>
      <c r="C30" s="104" t="s">
        <v>253</v>
      </c>
      <c r="E30" s="105">
        <f>MIN(N30,R30,V30,Z30,AD30)</f>
        <v>-0.61599999999999966</v>
      </c>
      <c r="F30" s="105">
        <f>AVERAGE(N30,R30,V30,Z30,AD30)</f>
        <v>21.421399999999998</v>
      </c>
      <c r="G30" s="105">
        <f>MAX(N30,R30,V30,Z30,AD30)</f>
        <v>59.84</v>
      </c>
      <c r="H30" s="106"/>
      <c r="I30" s="105">
        <f>MIN(T30,X30,AB30,AF30,P30)</f>
        <v>13.486000000000001</v>
      </c>
      <c r="J30" s="105">
        <f>AVERAGE(P30,T30,X30,AB30,AF30)</f>
        <v>30.575600000000001</v>
      </c>
      <c r="K30" s="105">
        <f>MAX(P30,T30,X30,AB30,AF30)</f>
        <v>67.265000000000001</v>
      </c>
      <c r="N30" s="107">
        <f t="shared" si="0"/>
        <v>33.253</v>
      </c>
      <c r="O30" s="107">
        <f t="shared" si="1"/>
        <v>5.753000000000001</v>
      </c>
      <c r="P30" s="107">
        <f t="shared" si="2"/>
        <v>14.333</v>
      </c>
      <c r="R30" s="107">
        <f t="shared" si="3"/>
        <v>-0.61599999999999966</v>
      </c>
      <c r="S30" s="107">
        <f t="shared" si="4"/>
        <v>3.0469999999999997</v>
      </c>
      <c r="T30" s="107">
        <f t="shared" si="5"/>
        <v>18.315000000000001</v>
      </c>
      <c r="V30" s="107">
        <f t="shared" si="6"/>
        <v>11.110000000000001</v>
      </c>
      <c r="W30" s="107">
        <f t="shared" si="7"/>
        <v>4.6859999999999999</v>
      </c>
      <c r="X30" s="107">
        <f t="shared" si="8"/>
        <v>67.265000000000001</v>
      </c>
      <c r="Z30" s="107">
        <f t="shared" si="9"/>
        <v>59.84</v>
      </c>
      <c r="AA30" s="107">
        <f t="shared" si="10"/>
        <v>5.676000000000001</v>
      </c>
      <c r="AB30" s="107">
        <f t="shared" si="11"/>
        <v>13.486000000000001</v>
      </c>
      <c r="AD30" s="107">
        <f t="shared" si="12"/>
        <v>3.5200000000000005</v>
      </c>
      <c r="AE30" s="107">
        <f t="shared" si="13"/>
        <v>6.8310000000000013</v>
      </c>
      <c r="AF30" s="107">
        <f t="shared" si="14"/>
        <v>39.479000000000006</v>
      </c>
      <c r="AH30" s="107">
        <v>30.23</v>
      </c>
      <c r="AI30" s="107">
        <v>5.23</v>
      </c>
      <c r="AJ30" s="107">
        <v>13.03</v>
      </c>
      <c r="AK30" s="107">
        <v>-0.55999999999999961</v>
      </c>
      <c r="AL30" s="107">
        <v>2.7699999999999996</v>
      </c>
      <c r="AM30" s="107">
        <v>16.649999999999999</v>
      </c>
      <c r="AN30" s="107">
        <v>10.1</v>
      </c>
      <c r="AO30" s="107">
        <v>4.26</v>
      </c>
      <c r="AP30" s="107">
        <v>61.15</v>
      </c>
      <c r="AQ30" s="107">
        <v>54.4</v>
      </c>
      <c r="AR30" s="107">
        <v>5.16</v>
      </c>
      <c r="AS30" s="107">
        <v>12.26</v>
      </c>
      <c r="AT30" s="107">
        <v>3.2</v>
      </c>
      <c r="AU30" s="107">
        <v>6.2100000000000009</v>
      </c>
      <c r="AV30" s="107">
        <v>35.89</v>
      </c>
    </row>
    <row r="31" spans="1:48" s="124" customFormat="1" ht="30" customHeight="1" outlineLevel="2">
      <c r="A31" s="125" t="s">
        <v>292</v>
      </c>
      <c r="B31" s="118" t="s">
        <v>293</v>
      </c>
      <c r="C31" s="104" t="s">
        <v>253</v>
      </c>
      <c r="E31" s="105">
        <f>MIN(N31,R31,V31,Z31,AD31)</f>
        <v>-0.22000000000000022</v>
      </c>
      <c r="F31" s="105">
        <f>AVERAGE(N31,R31,V31,Z31,AD31)</f>
        <v>24.9876</v>
      </c>
      <c r="G31" s="105">
        <f>MAX(N31,R31,V31,Z31,AD31)</f>
        <v>60.115000000000002</v>
      </c>
      <c r="H31" s="106"/>
      <c r="I31" s="105">
        <f>MIN(T31,X31,AB31,AF31,P31)</f>
        <v>13.937000000000001</v>
      </c>
      <c r="J31" s="105">
        <f>AVERAGE(P31,T31,X31,AB31,AF31)</f>
        <v>39.294200000000004</v>
      </c>
      <c r="K31" s="105">
        <f>MAX(P31,T31,X31,AB31,AF31)</f>
        <v>73.634</v>
      </c>
      <c r="N31" s="107">
        <f t="shared" si="0"/>
        <v>35.464000000000006</v>
      </c>
      <c r="O31" s="107">
        <f t="shared" si="1"/>
        <v>8.8330000000000002</v>
      </c>
      <c r="P31" s="107">
        <f t="shared" si="2"/>
        <v>18.645</v>
      </c>
      <c r="R31" s="107">
        <f t="shared" si="3"/>
        <v>-0.22000000000000022</v>
      </c>
      <c r="S31" s="107">
        <f t="shared" si="4"/>
        <v>3.5750000000000002</v>
      </c>
      <c r="T31" s="107">
        <f t="shared" si="5"/>
        <v>18.931000000000001</v>
      </c>
      <c r="V31" s="107">
        <f t="shared" si="6"/>
        <v>12.968999999999999</v>
      </c>
      <c r="W31" s="107">
        <f t="shared" si="7"/>
        <v>7.7000000000000011</v>
      </c>
      <c r="X31" s="107">
        <f t="shared" si="8"/>
        <v>71.324000000000012</v>
      </c>
      <c r="Z31" s="107">
        <f t="shared" si="9"/>
        <v>60.115000000000002</v>
      </c>
      <c r="AA31" s="107">
        <f t="shared" si="10"/>
        <v>6.0609999999999999</v>
      </c>
      <c r="AB31" s="107">
        <f t="shared" si="11"/>
        <v>13.937000000000001</v>
      </c>
      <c r="AD31" s="107">
        <f t="shared" si="12"/>
        <v>16.610000000000003</v>
      </c>
      <c r="AE31" s="107">
        <f t="shared" si="13"/>
        <v>26.466000000000001</v>
      </c>
      <c r="AF31" s="107">
        <f t="shared" si="14"/>
        <v>73.634</v>
      </c>
      <c r="AH31" s="107">
        <v>32.24</v>
      </c>
      <c r="AI31" s="107">
        <v>8.0299999999999994</v>
      </c>
      <c r="AJ31" s="107">
        <v>16.95</v>
      </c>
      <c r="AK31" s="107">
        <v>-0.20000000000000018</v>
      </c>
      <c r="AL31" s="107">
        <v>3.25</v>
      </c>
      <c r="AM31" s="107">
        <v>17.21</v>
      </c>
      <c r="AN31" s="107">
        <v>11.79</v>
      </c>
      <c r="AO31" s="107">
        <v>7</v>
      </c>
      <c r="AP31" s="107">
        <v>64.84</v>
      </c>
      <c r="AQ31" s="107">
        <v>54.65</v>
      </c>
      <c r="AR31" s="107">
        <v>5.51</v>
      </c>
      <c r="AS31" s="107">
        <v>12.67</v>
      </c>
      <c r="AT31" s="107">
        <v>15.100000000000001</v>
      </c>
      <c r="AU31" s="107">
        <v>24.06</v>
      </c>
      <c r="AV31" s="107">
        <v>66.94</v>
      </c>
    </row>
    <row r="32" spans="1:48" ht="30" customHeight="1" outlineLevel="1">
      <c r="A32" s="121" t="s">
        <v>294</v>
      </c>
      <c r="B32" s="122" t="s">
        <v>295</v>
      </c>
      <c r="C32" s="123"/>
      <c r="N32" s="11" t="str">
        <f t="shared" si="0"/>
        <v/>
      </c>
      <c r="O32" s="11" t="str">
        <f t="shared" si="1"/>
        <v/>
      </c>
      <c r="P32" s="11" t="str">
        <f t="shared" si="2"/>
        <v/>
      </c>
      <c r="R32" s="11" t="str">
        <f t="shared" si="3"/>
        <v/>
      </c>
      <c r="S32" s="11" t="str">
        <f t="shared" si="4"/>
        <v/>
      </c>
      <c r="T32" s="11" t="str">
        <f t="shared" si="5"/>
        <v/>
      </c>
      <c r="V32" s="11" t="str">
        <f t="shared" si="6"/>
        <v/>
      </c>
      <c r="W32" s="11" t="str">
        <f t="shared" si="7"/>
        <v/>
      </c>
      <c r="X32" s="11" t="str">
        <f t="shared" si="8"/>
        <v/>
      </c>
      <c r="Z32" s="11" t="str">
        <f t="shared" si="9"/>
        <v/>
      </c>
      <c r="AA32" s="11" t="str">
        <f t="shared" si="10"/>
        <v/>
      </c>
      <c r="AB32" s="11" t="str">
        <f t="shared" si="11"/>
        <v/>
      </c>
      <c r="AD32" s="11" t="str">
        <f t="shared" si="12"/>
        <v/>
      </c>
      <c r="AE32" s="11" t="str">
        <f t="shared" si="13"/>
        <v/>
      </c>
      <c r="AF32" s="11" t="str">
        <f t="shared" si="14"/>
        <v/>
      </c>
    </row>
    <row r="33" spans="1:48" ht="30" customHeight="1" outlineLevel="2">
      <c r="A33" s="125" t="s">
        <v>296</v>
      </c>
      <c r="B33" s="118" t="s">
        <v>297</v>
      </c>
      <c r="C33" s="104" t="s">
        <v>253</v>
      </c>
      <c r="E33" s="105">
        <f>MIN(N33,R33,V33,Z33,AD33)</f>
        <v>-1.837</v>
      </c>
      <c r="F33" s="105">
        <f>AVERAGE(N33,R33,V33,Z33,AD33)</f>
        <v>19.5426</v>
      </c>
      <c r="G33" s="105">
        <f>MAX(N33,R33,V33,Z33,AD33)</f>
        <v>58.377000000000002</v>
      </c>
      <c r="H33" s="106"/>
      <c r="I33" s="105">
        <f>MIN(T33,X33,AB33,AF33,P33)</f>
        <v>10.021000000000001</v>
      </c>
      <c r="J33" s="105">
        <f>AVERAGE(P33,T33,X33,AB33,AF33)</f>
        <v>26.6706</v>
      </c>
      <c r="K33" s="105">
        <f>MAX(P33,T33,X33,AB33,AF33)</f>
        <v>63.184000000000005</v>
      </c>
      <c r="N33" s="107">
        <f t="shared" si="0"/>
        <v>31.053000000000004</v>
      </c>
      <c r="O33" s="107">
        <f t="shared" si="1"/>
        <v>2.673</v>
      </c>
      <c r="P33" s="107">
        <f t="shared" si="2"/>
        <v>10.021000000000001</v>
      </c>
      <c r="R33" s="107">
        <f t="shared" si="3"/>
        <v>-1.837</v>
      </c>
      <c r="S33" s="107">
        <f t="shared" si="4"/>
        <v>1.4520000000000004</v>
      </c>
      <c r="T33" s="107">
        <f t="shared" si="5"/>
        <v>16.489000000000001</v>
      </c>
      <c r="V33" s="107">
        <f t="shared" si="6"/>
        <v>9.240000000000002</v>
      </c>
      <c r="W33" s="107">
        <f t="shared" si="7"/>
        <v>1.6609999999999998</v>
      </c>
      <c r="X33" s="107">
        <f t="shared" si="8"/>
        <v>63.184000000000005</v>
      </c>
      <c r="Z33" s="107">
        <f t="shared" si="9"/>
        <v>58.377000000000002</v>
      </c>
      <c r="AA33" s="107">
        <f t="shared" si="10"/>
        <v>3.63</v>
      </c>
      <c r="AB33" s="107">
        <f t="shared" si="11"/>
        <v>11.077000000000002</v>
      </c>
      <c r="AD33" s="107">
        <f t="shared" si="12"/>
        <v>0.87999999999999989</v>
      </c>
      <c r="AE33" s="107">
        <f t="shared" si="13"/>
        <v>2.8710000000000004</v>
      </c>
      <c r="AF33" s="107">
        <f t="shared" si="14"/>
        <v>32.582000000000001</v>
      </c>
      <c r="AH33" s="107">
        <v>28.23</v>
      </c>
      <c r="AI33" s="107">
        <v>2.4299999999999997</v>
      </c>
      <c r="AJ33" s="107">
        <v>9.11</v>
      </c>
      <c r="AK33" s="107">
        <v>-1.67</v>
      </c>
      <c r="AL33" s="107">
        <v>1.3200000000000003</v>
      </c>
      <c r="AM33" s="107">
        <v>14.99</v>
      </c>
      <c r="AN33" s="107">
        <v>8.4</v>
      </c>
      <c r="AO33" s="107">
        <v>1.5099999999999998</v>
      </c>
      <c r="AP33" s="107">
        <v>57.44</v>
      </c>
      <c r="AQ33" s="107">
        <v>53.07</v>
      </c>
      <c r="AR33" s="107">
        <v>3.3</v>
      </c>
      <c r="AS33" s="107">
        <v>10.07</v>
      </c>
      <c r="AT33" s="107">
        <v>0.79999999999999982</v>
      </c>
      <c r="AU33" s="107">
        <v>2.6100000000000003</v>
      </c>
      <c r="AV33" s="107">
        <v>29.619999999999997</v>
      </c>
    </row>
    <row r="34" spans="1:48" s="124" customFormat="1" ht="30" customHeight="1" outlineLevel="2">
      <c r="A34" s="125" t="s">
        <v>298</v>
      </c>
      <c r="B34" s="118" t="s">
        <v>299</v>
      </c>
      <c r="C34" s="104" t="s">
        <v>253</v>
      </c>
      <c r="E34" s="105">
        <f>MIN(N34,R34,V34,Z34,AD34)</f>
        <v>-0.61599999999999966</v>
      </c>
      <c r="F34" s="105">
        <f>AVERAGE(N34,R34,V34,Z34,AD34)</f>
        <v>21.093600000000002</v>
      </c>
      <c r="G34" s="105">
        <f>MAX(N34,R34,V34,Z34,AD34)</f>
        <v>59.939000000000007</v>
      </c>
      <c r="H34" s="106"/>
      <c r="I34" s="105">
        <f>MIN(T34,X34,AB34,AF34,P34)</f>
        <v>12.177000000000001</v>
      </c>
      <c r="J34" s="105">
        <f>AVERAGE(P34,T34,X34,AB34,AF34)</f>
        <v>29.9024</v>
      </c>
      <c r="K34" s="105">
        <f>MAX(P34,T34,X34,AB34,AF34)</f>
        <v>65.89</v>
      </c>
      <c r="N34" s="107">
        <f t="shared" si="0"/>
        <v>32.153000000000006</v>
      </c>
      <c r="O34" s="107">
        <f t="shared" si="1"/>
        <v>4.2130000000000001</v>
      </c>
      <c r="P34" s="107">
        <f t="shared" si="2"/>
        <v>12.177000000000001</v>
      </c>
      <c r="R34" s="107">
        <f t="shared" si="3"/>
        <v>-0.61599999999999966</v>
      </c>
      <c r="S34" s="107">
        <f t="shared" si="4"/>
        <v>3.0469999999999997</v>
      </c>
      <c r="T34" s="107">
        <f t="shared" si="5"/>
        <v>18.315000000000001</v>
      </c>
      <c r="V34" s="107">
        <f t="shared" si="6"/>
        <v>10.472</v>
      </c>
      <c r="W34" s="107">
        <f t="shared" si="7"/>
        <v>3.6630000000000003</v>
      </c>
      <c r="X34" s="107">
        <f t="shared" si="8"/>
        <v>65.89</v>
      </c>
      <c r="Z34" s="107">
        <f t="shared" si="9"/>
        <v>59.939000000000007</v>
      </c>
      <c r="AA34" s="107">
        <f t="shared" si="10"/>
        <v>5.8190000000000008</v>
      </c>
      <c r="AB34" s="107">
        <f t="shared" si="11"/>
        <v>13.651000000000002</v>
      </c>
      <c r="AD34" s="107">
        <f t="shared" si="12"/>
        <v>3.5200000000000005</v>
      </c>
      <c r="AE34" s="107">
        <f t="shared" si="13"/>
        <v>6.8310000000000013</v>
      </c>
      <c r="AF34" s="107">
        <f t="shared" si="14"/>
        <v>39.479000000000006</v>
      </c>
      <c r="AH34" s="107">
        <v>29.23</v>
      </c>
      <c r="AI34" s="107">
        <v>3.83</v>
      </c>
      <c r="AJ34" s="107">
        <v>11.07</v>
      </c>
      <c r="AK34" s="107">
        <v>-0.55999999999999961</v>
      </c>
      <c r="AL34" s="107">
        <v>2.7699999999999996</v>
      </c>
      <c r="AM34" s="107">
        <v>16.649999999999999</v>
      </c>
      <c r="AN34" s="107">
        <v>9.52</v>
      </c>
      <c r="AO34" s="107">
        <v>3.33</v>
      </c>
      <c r="AP34" s="107">
        <v>59.9</v>
      </c>
      <c r="AQ34" s="107">
        <v>54.49</v>
      </c>
      <c r="AR34" s="107">
        <v>5.29</v>
      </c>
      <c r="AS34" s="107">
        <v>12.41</v>
      </c>
      <c r="AT34" s="107">
        <v>3.2</v>
      </c>
      <c r="AU34" s="107">
        <v>6.2100000000000009</v>
      </c>
      <c r="AV34" s="107">
        <v>35.89</v>
      </c>
    </row>
    <row r="35" spans="1:48" ht="30" customHeight="1" outlineLevel="1">
      <c r="A35" s="121" t="s">
        <v>300</v>
      </c>
      <c r="B35" s="122" t="s">
        <v>301</v>
      </c>
      <c r="C35" s="123"/>
      <c r="N35" s="11" t="str">
        <f t="shared" si="0"/>
        <v/>
      </c>
      <c r="O35" s="11" t="str">
        <f t="shared" si="1"/>
        <v/>
      </c>
      <c r="P35" s="11" t="str">
        <f t="shared" si="2"/>
        <v/>
      </c>
      <c r="R35" s="11" t="str">
        <f t="shared" si="3"/>
        <v/>
      </c>
      <c r="S35" s="11" t="str">
        <f t="shared" si="4"/>
        <v/>
      </c>
      <c r="T35" s="11" t="str">
        <f t="shared" si="5"/>
        <v/>
      </c>
      <c r="V35" s="11" t="str">
        <f t="shared" si="6"/>
        <v/>
      </c>
      <c r="W35" s="11" t="str">
        <f t="shared" si="7"/>
        <v/>
      </c>
      <c r="X35" s="11" t="str">
        <f t="shared" si="8"/>
        <v/>
      </c>
      <c r="Z35" s="11" t="str">
        <f t="shared" si="9"/>
        <v/>
      </c>
      <c r="AA35" s="11" t="str">
        <f t="shared" si="10"/>
        <v/>
      </c>
      <c r="AB35" s="11" t="str">
        <f t="shared" si="11"/>
        <v/>
      </c>
      <c r="AD35" s="11" t="str">
        <f t="shared" si="12"/>
        <v/>
      </c>
      <c r="AE35" s="11" t="str">
        <f t="shared" si="13"/>
        <v/>
      </c>
      <c r="AF35" s="11" t="str">
        <f t="shared" si="14"/>
        <v/>
      </c>
    </row>
    <row r="36" spans="1:48" ht="30" customHeight="1" outlineLevel="2">
      <c r="A36" s="125" t="s">
        <v>302</v>
      </c>
      <c r="B36" s="118" t="s">
        <v>303</v>
      </c>
      <c r="C36" s="104" t="s">
        <v>253</v>
      </c>
      <c r="E36" s="105">
        <f>MIN(N36,R36,V36,Z36,AD36)</f>
        <v>9.8999999999999852E-2</v>
      </c>
      <c r="F36" s="105">
        <f>AVERAGE(N36,R36,V36,Z36,AD36)</f>
        <v>20.092600000000004</v>
      </c>
      <c r="G36" s="105">
        <f>MAX(N36,R36,V36,Z36,AD36)</f>
        <v>58.190000000000005</v>
      </c>
      <c r="H36" s="106"/>
      <c r="I36" s="105">
        <f>MIN(T36,X36,AB36,AF36,P36)</f>
        <v>9.9659999999999993</v>
      </c>
      <c r="J36" s="105">
        <f>AVERAGE(P36,T36,X36,AB36,AF36)</f>
        <v>27.356999999999999</v>
      </c>
      <c r="K36" s="105">
        <f>MAX(P36,T36,X36,AB36,AF36)</f>
        <v>63.206000000000003</v>
      </c>
      <c r="N36" s="107">
        <f t="shared" si="0"/>
        <v>31.053000000000004</v>
      </c>
      <c r="O36" s="107">
        <f t="shared" si="1"/>
        <v>2.673</v>
      </c>
      <c r="P36" s="107">
        <f t="shared" si="2"/>
        <v>10.021000000000001</v>
      </c>
      <c r="R36" s="107">
        <f t="shared" si="3"/>
        <v>9.8999999999999852E-2</v>
      </c>
      <c r="S36" s="107">
        <f t="shared" si="4"/>
        <v>3.3880000000000003</v>
      </c>
      <c r="T36" s="107">
        <f t="shared" si="5"/>
        <v>18.425000000000001</v>
      </c>
      <c r="V36" s="107">
        <f t="shared" si="6"/>
        <v>9.2510000000000012</v>
      </c>
      <c r="W36" s="107">
        <f t="shared" si="7"/>
        <v>1.6830000000000005</v>
      </c>
      <c r="X36" s="107">
        <f t="shared" si="8"/>
        <v>63.206000000000003</v>
      </c>
      <c r="Z36" s="107">
        <f t="shared" si="9"/>
        <v>58.190000000000005</v>
      </c>
      <c r="AA36" s="107">
        <f t="shared" si="10"/>
        <v>3.2890000000000006</v>
      </c>
      <c r="AB36" s="107">
        <f t="shared" si="11"/>
        <v>9.9659999999999993</v>
      </c>
      <c r="AD36" s="107">
        <f t="shared" si="12"/>
        <v>1.8700000000000003</v>
      </c>
      <c r="AE36" s="107">
        <f t="shared" si="13"/>
        <v>4.3559999999999999</v>
      </c>
      <c r="AF36" s="107">
        <f t="shared" si="14"/>
        <v>35.167000000000002</v>
      </c>
      <c r="AH36" s="107">
        <v>28.23</v>
      </c>
      <c r="AI36" s="107">
        <v>2.4299999999999997</v>
      </c>
      <c r="AJ36" s="107">
        <v>9.11</v>
      </c>
      <c r="AK36" s="107">
        <v>8.9999999999999858E-2</v>
      </c>
      <c r="AL36" s="107">
        <v>3.08</v>
      </c>
      <c r="AM36" s="107">
        <v>16.75</v>
      </c>
      <c r="AN36" s="107">
        <v>8.41</v>
      </c>
      <c r="AO36" s="107">
        <v>1.5300000000000002</v>
      </c>
      <c r="AP36" s="107">
        <v>57.46</v>
      </c>
      <c r="AQ36" s="107">
        <v>52.9</v>
      </c>
      <c r="AR36" s="107">
        <v>2.99</v>
      </c>
      <c r="AS36" s="107">
        <v>9.0599999999999987</v>
      </c>
      <c r="AT36" s="107">
        <v>1.7000000000000002</v>
      </c>
      <c r="AU36" s="107">
        <v>3.96</v>
      </c>
      <c r="AV36" s="107">
        <v>31.97</v>
      </c>
    </row>
    <row r="37" spans="1:48" s="124" customFormat="1" ht="30" customHeight="1" outlineLevel="2">
      <c r="A37" s="125" t="s">
        <v>304</v>
      </c>
      <c r="B37" s="118" t="s">
        <v>305</v>
      </c>
      <c r="C37" s="104" t="s">
        <v>253</v>
      </c>
      <c r="E37" s="105">
        <f>MIN(N37,R37,V37,Z37,AD37)</f>
        <v>1.3200000000000003</v>
      </c>
      <c r="F37" s="105">
        <f>AVERAGE(N37,R37,V37,Z37,AD37)</f>
        <v>21.443400000000004</v>
      </c>
      <c r="G37" s="105">
        <f>MAX(N37,R37,V37,Z37,AD37)</f>
        <v>58.52000000000001</v>
      </c>
      <c r="H37" s="106"/>
      <c r="I37" s="105">
        <f>MIN(T37,X37,AB37,AF37,P37)</f>
        <v>10.428000000000001</v>
      </c>
      <c r="J37" s="105">
        <f>AVERAGE(P37,T37,X37,AB37,AF37)</f>
        <v>30.280799999999999</v>
      </c>
      <c r="K37" s="105">
        <f>MAX(P37,T37,X37,AB37,AF37)</f>
        <v>65.912000000000006</v>
      </c>
      <c r="N37" s="107">
        <f t="shared" si="0"/>
        <v>32.153000000000006</v>
      </c>
      <c r="O37" s="107">
        <f t="shared" si="1"/>
        <v>4.2130000000000001</v>
      </c>
      <c r="P37" s="107">
        <f t="shared" si="2"/>
        <v>12.177000000000001</v>
      </c>
      <c r="R37" s="107">
        <f t="shared" si="3"/>
        <v>1.3200000000000003</v>
      </c>
      <c r="S37" s="107">
        <f t="shared" si="4"/>
        <v>4.9830000000000005</v>
      </c>
      <c r="T37" s="107">
        <f t="shared" si="5"/>
        <v>20.251000000000001</v>
      </c>
      <c r="V37" s="107">
        <f t="shared" si="6"/>
        <v>10.494</v>
      </c>
      <c r="W37" s="107">
        <f t="shared" si="7"/>
        <v>3.6850000000000001</v>
      </c>
      <c r="X37" s="107">
        <f t="shared" si="8"/>
        <v>65.912000000000006</v>
      </c>
      <c r="Z37" s="107">
        <f t="shared" si="9"/>
        <v>58.52000000000001</v>
      </c>
      <c r="AA37" s="107">
        <f t="shared" si="10"/>
        <v>3.7400000000000007</v>
      </c>
      <c r="AB37" s="107">
        <f t="shared" si="11"/>
        <v>10.428000000000001</v>
      </c>
      <c r="AD37" s="107">
        <f t="shared" si="12"/>
        <v>4.7300000000000004</v>
      </c>
      <c r="AE37" s="107">
        <f t="shared" si="13"/>
        <v>8.6460000000000008</v>
      </c>
      <c r="AF37" s="107">
        <f t="shared" si="14"/>
        <v>42.63600000000001</v>
      </c>
      <c r="AH37" s="107">
        <v>29.23</v>
      </c>
      <c r="AI37" s="107">
        <v>3.83</v>
      </c>
      <c r="AJ37" s="107">
        <v>11.07</v>
      </c>
      <c r="AK37" s="107">
        <v>1.2000000000000002</v>
      </c>
      <c r="AL37" s="107">
        <v>4.53</v>
      </c>
      <c r="AM37" s="107">
        <v>18.41</v>
      </c>
      <c r="AN37" s="107">
        <v>9.5399999999999991</v>
      </c>
      <c r="AO37" s="107">
        <v>3.3499999999999996</v>
      </c>
      <c r="AP37" s="107">
        <v>59.92</v>
      </c>
      <c r="AQ37" s="107">
        <v>53.2</v>
      </c>
      <c r="AR37" s="107">
        <v>3.4000000000000004</v>
      </c>
      <c r="AS37" s="107">
        <v>9.48</v>
      </c>
      <c r="AT37" s="107">
        <v>4.3</v>
      </c>
      <c r="AU37" s="107">
        <v>7.8599999999999994</v>
      </c>
      <c r="AV37" s="107">
        <v>38.760000000000005</v>
      </c>
    </row>
    <row r="38" spans="1:48" s="124" customFormat="1" ht="30" customHeight="1" outlineLevel="1">
      <c r="A38" s="121" t="s">
        <v>306</v>
      </c>
      <c r="B38" s="122" t="s">
        <v>307</v>
      </c>
      <c r="C38" s="123"/>
      <c r="E38" s="11"/>
      <c r="F38" s="11"/>
      <c r="G38" s="11"/>
      <c r="H38" s="11"/>
      <c r="I38" s="11"/>
      <c r="J38" s="11"/>
      <c r="K38" s="11"/>
      <c r="L38" s="11"/>
      <c r="M38" s="11"/>
      <c r="N38" s="11" t="str">
        <f t="shared" si="0"/>
        <v/>
      </c>
      <c r="O38" s="11" t="str">
        <f t="shared" si="1"/>
        <v/>
      </c>
      <c r="P38" s="11" t="str">
        <f t="shared" si="2"/>
        <v/>
      </c>
      <c r="Q38" s="11"/>
      <c r="R38" s="11" t="str">
        <f t="shared" si="3"/>
        <v/>
      </c>
      <c r="S38" s="11" t="str">
        <f t="shared" si="4"/>
        <v/>
      </c>
      <c r="T38" s="11" t="str">
        <f t="shared" si="5"/>
        <v/>
      </c>
      <c r="U38" s="11"/>
      <c r="V38" s="11" t="str">
        <f t="shared" si="6"/>
        <v/>
      </c>
      <c r="W38" s="11" t="str">
        <f t="shared" si="7"/>
        <v/>
      </c>
      <c r="X38" s="11" t="str">
        <f t="shared" si="8"/>
        <v/>
      </c>
      <c r="Y38" s="11"/>
      <c r="Z38" s="11" t="str">
        <f t="shared" si="9"/>
        <v/>
      </c>
      <c r="AA38" s="11" t="str">
        <f t="shared" si="10"/>
        <v/>
      </c>
      <c r="AB38" s="11" t="str">
        <f t="shared" si="11"/>
        <v/>
      </c>
      <c r="AC38" s="11"/>
      <c r="AD38" s="11" t="str">
        <f t="shared" si="12"/>
        <v/>
      </c>
      <c r="AE38" s="11" t="str">
        <f t="shared" si="13"/>
        <v/>
      </c>
      <c r="AF38" s="11" t="str">
        <f t="shared" si="14"/>
        <v/>
      </c>
      <c r="AH38" s="11"/>
      <c r="AI38" s="11"/>
      <c r="AJ38" s="11"/>
      <c r="AK38" s="11"/>
      <c r="AL38" s="11"/>
      <c r="AM38" s="11"/>
      <c r="AN38" s="11"/>
      <c r="AO38" s="11"/>
      <c r="AP38" s="11"/>
      <c r="AQ38" s="11"/>
      <c r="AR38" s="11"/>
      <c r="AS38" s="11"/>
      <c r="AT38" s="11"/>
      <c r="AU38" s="11"/>
      <c r="AV38" s="11"/>
    </row>
    <row r="39" spans="1:48" ht="30" customHeight="1" outlineLevel="2">
      <c r="A39" s="125" t="s">
        <v>308</v>
      </c>
      <c r="B39" s="118" t="s">
        <v>309</v>
      </c>
      <c r="C39" s="104" t="s">
        <v>253</v>
      </c>
      <c r="E39" s="105">
        <f>MIN(N39,R39,V39,Z39,AD39)</f>
        <v>-1.43</v>
      </c>
      <c r="F39" s="105">
        <f>AVERAGE(N39,R39,V39,Z39,AD39)</f>
        <v>20.334600000000002</v>
      </c>
      <c r="G39" s="105">
        <f>MAX(N39,R39,V39,Z39,AD39)</f>
        <v>58.190000000000005</v>
      </c>
      <c r="H39" s="106"/>
      <c r="I39" s="105">
        <f>MIN(T39,X39,AB39,AF39,P39)</f>
        <v>10.56</v>
      </c>
      <c r="J39" s="105">
        <f>AVERAGE(P39,T39,X39,AB39,AF39)</f>
        <v>28.435000000000002</v>
      </c>
      <c r="K39" s="105">
        <f>MAX(P39,T39,X39,AB39,AF39)</f>
        <v>68.585000000000008</v>
      </c>
      <c r="N39" s="107">
        <f t="shared" si="0"/>
        <v>31.328000000000003</v>
      </c>
      <c r="O39" s="107">
        <f t="shared" si="1"/>
        <v>3.0580000000000007</v>
      </c>
      <c r="P39" s="107">
        <f t="shared" si="2"/>
        <v>10.56</v>
      </c>
      <c r="R39" s="107">
        <f t="shared" si="3"/>
        <v>-1.43</v>
      </c>
      <c r="S39" s="107">
        <f t="shared" si="4"/>
        <v>1.98</v>
      </c>
      <c r="T39" s="107">
        <f t="shared" si="5"/>
        <v>17.094000000000001</v>
      </c>
      <c r="V39" s="107">
        <f t="shared" si="6"/>
        <v>11.715000000000002</v>
      </c>
      <c r="W39" s="107">
        <f t="shared" si="7"/>
        <v>5.6650000000000009</v>
      </c>
      <c r="X39" s="107">
        <f t="shared" si="8"/>
        <v>68.585000000000008</v>
      </c>
      <c r="Z39" s="107">
        <f t="shared" si="9"/>
        <v>58.190000000000005</v>
      </c>
      <c r="AA39" s="107">
        <f t="shared" si="10"/>
        <v>3.3659999999999997</v>
      </c>
      <c r="AB39" s="107">
        <f t="shared" si="11"/>
        <v>10.769</v>
      </c>
      <c r="AD39" s="107">
        <f t="shared" si="12"/>
        <v>1.8700000000000003</v>
      </c>
      <c r="AE39" s="107">
        <f t="shared" si="13"/>
        <v>4.3559999999999999</v>
      </c>
      <c r="AF39" s="107">
        <f t="shared" si="14"/>
        <v>35.167000000000002</v>
      </c>
      <c r="AH39" s="107">
        <v>28.48</v>
      </c>
      <c r="AI39" s="107">
        <v>2.7800000000000002</v>
      </c>
      <c r="AJ39" s="107">
        <v>9.6</v>
      </c>
      <c r="AK39" s="107">
        <v>-1.2999999999999998</v>
      </c>
      <c r="AL39" s="107">
        <v>1.7999999999999998</v>
      </c>
      <c r="AM39" s="107">
        <v>15.54</v>
      </c>
      <c r="AN39" s="107">
        <v>10.65</v>
      </c>
      <c r="AO39" s="107">
        <v>5.15</v>
      </c>
      <c r="AP39" s="107">
        <v>62.35</v>
      </c>
      <c r="AQ39" s="107">
        <v>52.9</v>
      </c>
      <c r="AR39" s="107">
        <v>3.0599999999999996</v>
      </c>
      <c r="AS39" s="107">
        <v>9.7899999999999991</v>
      </c>
      <c r="AT39" s="107">
        <v>1.7000000000000002</v>
      </c>
      <c r="AU39" s="107">
        <v>3.96</v>
      </c>
      <c r="AV39" s="107">
        <v>31.97</v>
      </c>
    </row>
    <row r="40" spans="1:48" s="124" customFormat="1" ht="30" customHeight="1" outlineLevel="2">
      <c r="A40" s="125" t="s">
        <v>310</v>
      </c>
      <c r="B40" s="118" t="s">
        <v>311</v>
      </c>
      <c r="C40" s="104" t="s">
        <v>253</v>
      </c>
      <c r="E40" s="105">
        <f>MIN(N40,R40,V40,Z40,AD40)</f>
        <v>-0.22000000000000022</v>
      </c>
      <c r="F40" s="105">
        <f>AVERAGE(N40,R40,V40,Z40,AD40)</f>
        <v>21.760200000000001</v>
      </c>
      <c r="G40" s="105">
        <f>MAX(N40,R40,V40,Z40,AD40)</f>
        <v>59.708000000000006</v>
      </c>
      <c r="H40" s="106"/>
      <c r="I40" s="105">
        <f>MIN(T40,X40,AB40,AF40,P40)</f>
        <v>11.099</v>
      </c>
      <c r="J40" s="105">
        <f>AVERAGE(P40,T40,X40,AB40,AF40)</f>
        <v>31.354400000000005</v>
      </c>
      <c r="K40" s="105">
        <f>MAX(P40,T40,X40,AB40,AF40)</f>
        <v>73.997</v>
      </c>
      <c r="N40" s="107">
        <f t="shared" si="0"/>
        <v>31.603000000000002</v>
      </c>
      <c r="O40" s="107">
        <f t="shared" si="1"/>
        <v>3.4430000000000001</v>
      </c>
      <c r="P40" s="107">
        <f t="shared" si="2"/>
        <v>11.099</v>
      </c>
      <c r="R40" s="107">
        <f t="shared" si="3"/>
        <v>-0.22000000000000022</v>
      </c>
      <c r="S40" s="107">
        <f t="shared" si="4"/>
        <v>3.5750000000000002</v>
      </c>
      <c r="T40" s="107">
        <f t="shared" si="5"/>
        <v>18.931000000000001</v>
      </c>
      <c r="V40" s="107">
        <f t="shared" si="6"/>
        <v>14.190000000000001</v>
      </c>
      <c r="W40" s="107">
        <f t="shared" si="7"/>
        <v>9.6690000000000005</v>
      </c>
      <c r="X40" s="107">
        <f t="shared" si="8"/>
        <v>73.997</v>
      </c>
      <c r="Z40" s="107">
        <f t="shared" si="9"/>
        <v>59.708000000000006</v>
      </c>
      <c r="AA40" s="107">
        <f t="shared" si="10"/>
        <v>5.4890000000000008</v>
      </c>
      <c r="AB40" s="107">
        <f t="shared" si="11"/>
        <v>13.266</v>
      </c>
      <c r="AD40" s="107">
        <f t="shared" si="12"/>
        <v>3.5200000000000005</v>
      </c>
      <c r="AE40" s="107">
        <f t="shared" si="13"/>
        <v>6.8310000000000013</v>
      </c>
      <c r="AF40" s="107">
        <f t="shared" si="14"/>
        <v>39.479000000000006</v>
      </c>
      <c r="AH40" s="107">
        <v>28.73</v>
      </c>
      <c r="AI40" s="107">
        <v>3.13</v>
      </c>
      <c r="AJ40" s="107">
        <v>10.09</v>
      </c>
      <c r="AK40" s="107">
        <v>-0.20000000000000018</v>
      </c>
      <c r="AL40" s="107">
        <v>3.25</v>
      </c>
      <c r="AM40" s="107">
        <v>17.21</v>
      </c>
      <c r="AN40" s="107">
        <v>12.9</v>
      </c>
      <c r="AO40" s="107">
        <v>8.7899999999999991</v>
      </c>
      <c r="AP40" s="107">
        <v>67.27</v>
      </c>
      <c r="AQ40" s="107">
        <v>54.28</v>
      </c>
      <c r="AR40" s="107">
        <v>4.99</v>
      </c>
      <c r="AS40" s="107">
        <v>12.059999999999999</v>
      </c>
      <c r="AT40" s="107">
        <v>3.2</v>
      </c>
      <c r="AU40" s="107">
        <v>6.2100000000000009</v>
      </c>
      <c r="AV40" s="107">
        <v>35.89</v>
      </c>
    </row>
    <row r="41" spans="1:48" s="124" customFormat="1" ht="30" customHeight="1" outlineLevel="2">
      <c r="A41" s="125" t="s">
        <v>312</v>
      </c>
      <c r="B41" s="118" t="s">
        <v>313</v>
      </c>
      <c r="C41" s="104" t="s">
        <v>253</v>
      </c>
      <c r="E41" s="105">
        <f>MIN(N41,R41,V41,Z41,AD41)</f>
        <v>0.18699999999999994</v>
      </c>
      <c r="F41" s="105">
        <f>AVERAGE(N41,R41,V41,Z41,AD41)</f>
        <v>22.917400000000001</v>
      </c>
      <c r="G41" s="105">
        <f>MAX(N41,R41,V41,Z41,AD41)</f>
        <v>60.115000000000002</v>
      </c>
      <c r="H41" s="106"/>
      <c r="I41" s="105">
        <f>MIN(T41,X41,AB41,AF41,P41)</f>
        <v>12.177000000000001</v>
      </c>
      <c r="J41" s="105">
        <f>AVERAGE(P41,T41,X41,AB41,AF41)</f>
        <v>34.029600000000002</v>
      </c>
      <c r="K41" s="105">
        <f>MAX(P41,T41,X41,AB41,AF41)</f>
        <v>76.703000000000017</v>
      </c>
      <c r="N41" s="107">
        <f t="shared" si="0"/>
        <v>32.153000000000006</v>
      </c>
      <c r="O41" s="107">
        <f t="shared" si="1"/>
        <v>4.2130000000000001</v>
      </c>
      <c r="P41" s="107">
        <f t="shared" si="2"/>
        <v>12.177000000000001</v>
      </c>
      <c r="R41" s="107">
        <f t="shared" si="3"/>
        <v>0.18699999999999994</v>
      </c>
      <c r="S41" s="107">
        <f t="shared" si="4"/>
        <v>4.1030000000000006</v>
      </c>
      <c r="T41" s="107">
        <f t="shared" si="5"/>
        <v>19.535999999999998</v>
      </c>
      <c r="V41" s="107">
        <f t="shared" si="6"/>
        <v>15.422000000000001</v>
      </c>
      <c r="W41" s="107">
        <f t="shared" si="7"/>
        <v>11.671000000000001</v>
      </c>
      <c r="X41" s="107">
        <f t="shared" si="8"/>
        <v>76.703000000000017</v>
      </c>
      <c r="Z41" s="107">
        <f t="shared" si="9"/>
        <v>60.115000000000002</v>
      </c>
      <c r="AA41" s="107">
        <f t="shared" si="10"/>
        <v>6.0609999999999999</v>
      </c>
      <c r="AB41" s="107">
        <f t="shared" si="11"/>
        <v>13.937000000000001</v>
      </c>
      <c r="AD41" s="107">
        <f t="shared" si="12"/>
        <v>6.71</v>
      </c>
      <c r="AE41" s="107">
        <f t="shared" si="13"/>
        <v>11.616000000000001</v>
      </c>
      <c r="AF41" s="107">
        <f t="shared" si="14"/>
        <v>47.795000000000009</v>
      </c>
      <c r="AH41" s="107">
        <v>29.23</v>
      </c>
      <c r="AI41" s="107">
        <v>3.83</v>
      </c>
      <c r="AJ41" s="107">
        <v>11.07</v>
      </c>
      <c r="AK41" s="107">
        <v>0.16999999999999993</v>
      </c>
      <c r="AL41" s="107">
        <v>3.7300000000000004</v>
      </c>
      <c r="AM41" s="107">
        <v>17.759999999999998</v>
      </c>
      <c r="AN41" s="107">
        <v>14.02</v>
      </c>
      <c r="AO41" s="107">
        <v>10.61</v>
      </c>
      <c r="AP41" s="107">
        <v>69.73</v>
      </c>
      <c r="AQ41" s="107">
        <v>54.65</v>
      </c>
      <c r="AR41" s="107">
        <v>5.51</v>
      </c>
      <c r="AS41" s="107">
        <v>12.67</v>
      </c>
      <c r="AT41" s="107">
        <v>6.1</v>
      </c>
      <c r="AU41" s="107">
        <v>10.56</v>
      </c>
      <c r="AV41" s="107">
        <v>43.45</v>
      </c>
    </row>
    <row r="42" spans="1:48" ht="30" customHeight="1" outlineLevel="1">
      <c r="A42" s="121" t="s">
        <v>314</v>
      </c>
      <c r="B42" s="122" t="s">
        <v>315</v>
      </c>
      <c r="C42" s="123"/>
      <c r="N42" s="11" t="str">
        <f t="shared" si="0"/>
        <v/>
      </c>
      <c r="O42" s="11" t="str">
        <f t="shared" si="1"/>
        <v/>
      </c>
      <c r="P42" s="11" t="str">
        <f t="shared" si="2"/>
        <v/>
      </c>
      <c r="R42" s="11" t="str">
        <f t="shared" si="3"/>
        <v/>
      </c>
      <c r="S42" s="11" t="str">
        <f t="shared" si="4"/>
        <v/>
      </c>
      <c r="T42" s="11" t="str">
        <f t="shared" si="5"/>
        <v/>
      </c>
      <c r="V42" s="11" t="str">
        <f t="shared" si="6"/>
        <v/>
      </c>
      <c r="W42" s="11" t="str">
        <f t="shared" si="7"/>
        <v/>
      </c>
      <c r="X42" s="11" t="str">
        <f t="shared" si="8"/>
        <v/>
      </c>
      <c r="Z42" s="11" t="str">
        <f t="shared" si="9"/>
        <v/>
      </c>
      <c r="AA42" s="11" t="str">
        <f t="shared" si="10"/>
        <v/>
      </c>
      <c r="AB42" s="11" t="str">
        <f t="shared" si="11"/>
        <v/>
      </c>
      <c r="AD42" s="11" t="str">
        <f t="shared" si="12"/>
        <v/>
      </c>
      <c r="AE42" s="11" t="str">
        <f t="shared" si="13"/>
        <v/>
      </c>
      <c r="AF42" s="11" t="str">
        <f t="shared" si="14"/>
        <v/>
      </c>
    </row>
    <row r="43" spans="1:48" ht="30" customHeight="1" outlineLevel="2">
      <c r="A43" s="125" t="s">
        <v>316</v>
      </c>
      <c r="B43" s="118" t="s">
        <v>317</v>
      </c>
      <c r="C43" s="104" t="s">
        <v>253</v>
      </c>
      <c r="E43" s="105">
        <f>MIN(N43,R43,V43,Z43,AD43)</f>
        <v>9.8999999999999852E-2</v>
      </c>
      <c r="F43" s="105">
        <f>AVERAGE(N43,R43,V43,Z43,AD43)</f>
        <v>19.555800000000001</v>
      </c>
      <c r="G43" s="105">
        <f>MAX(N43,R43,V43,Z43,AD43)</f>
        <v>58.223000000000006</v>
      </c>
      <c r="H43" s="106"/>
      <c r="I43" s="105">
        <f>MIN(T43,X43,AB43,AF43,P43)</f>
        <v>8.9429999999999996</v>
      </c>
      <c r="J43" s="105">
        <f>AVERAGE(P43,T43,X43,AB43,AF43)</f>
        <v>26.232800000000005</v>
      </c>
      <c r="K43" s="105">
        <f>MAX(P43,T43,X43,AB43,AF43)</f>
        <v>61.831000000000003</v>
      </c>
      <c r="N43" s="107">
        <f t="shared" si="0"/>
        <v>30.503000000000004</v>
      </c>
      <c r="O43" s="107">
        <f t="shared" si="1"/>
        <v>1.903</v>
      </c>
      <c r="P43" s="107">
        <f t="shared" si="2"/>
        <v>8.9429999999999996</v>
      </c>
      <c r="R43" s="107">
        <f t="shared" si="3"/>
        <v>9.8999999999999852E-2</v>
      </c>
      <c r="S43" s="107">
        <f t="shared" si="4"/>
        <v>3.3880000000000003</v>
      </c>
      <c r="T43" s="107">
        <f t="shared" si="5"/>
        <v>18.425000000000001</v>
      </c>
      <c r="V43" s="107">
        <f t="shared" si="6"/>
        <v>8.6240000000000006</v>
      </c>
      <c r="W43" s="107">
        <f t="shared" si="7"/>
        <v>0.6599999999999997</v>
      </c>
      <c r="X43" s="107">
        <f t="shared" si="8"/>
        <v>61.831000000000003</v>
      </c>
      <c r="Z43" s="107">
        <f t="shared" si="9"/>
        <v>58.223000000000006</v>
      </c>
      <c r="AA43" s="107">
        <f t="shared" si="10"/>
        <v>3.4099999999999997</v>
      </c>
      <c r="AB43" s="107">
        <f t="shared" si="11"/>
        <v>10.813000000000001</v>
      </c>
      <c r="AD43" s="107">
        <f t="shared" si="12"/>
        <v>0.32999999999999985</v>
      </c>
      <c r="AE43" s="107">
        <f t="shared" si="13"/>
        <v>2.0460000000000007</v>
      </c>
      <c r="AF43" s="107">
        <f t="shared" si="14"/>
        <v>31.152000000000005</v>
      </c>
      <c r="AH43" s="107">
        <v>27.73</v>
      </c>
      <c r="AI43" s="107">
        <v>1.73</v>
      </c>
      <c r="AJ43" s="107">
        <v>8.129999999999999</v>
      </c>
      <c r="AK43" s="107">
        <v>8.9999999999999858E-2</v>
      </c>
      <c r="AL43" s="107">
        <v>3.08</v>
      </c>
      <c r="AM43" s="107">
        <v>16.75</v>
      </c>
      <c r="AN43" s="107">
        <v>7.84</v>
      </c>
      <c r="AO43" s="107">
        <v>0.59999999999999964</v>
      </c>
      <c r="AP43" s="107">
        <v>56.21</v>
      </c>
      <c r="AQ43" s="107">
        <v>52.93</v>
      </c>
      <c r="AR43" s="107">
        <v>3.0999999999999996</v>
      </c>
      <c r="AS43" s="107">
        <v>9.83</v>
      </c>
      <c r="AT43" s="107">
        <v>0.29999999999999982</v>
      </c>
      <c r="AU43" s="107">
        <v>1.8600000000000003</v>
      </c>
      <c r="AV43" s="107">
        <v>28.32</v>
      </c>
    </row>
    <row r="44" spans="1:48" ht="30" customHeight="1" outlineLevel="2">
      <c r="A44" s="125" t="s">
        <v>318</v>
      </c>
      <c r="B44" s="118" t="s">
        <v>319</v>
      </c>
      <c r="C44" s="104" t="s">
        <v>253</v>
      </c>
      <c r="E44" s="105">
        <f>MIN(N44,R44,V44,Z44,AD44)</f>
        <v>0.50600000000000001</v>
      </c>
      <c r="F44" s="105">
        <f>AVERAGE(N44,R44,V44,Z44,AD44)</f>
        <v>20.539200000000001</v>
      </c>
      <c r="G44" s="105">
        <f>MAX(N44,R44,V44,Z44,AD44)</f>
        <v>58.971000000000004</v>
      </c>
      <c r="H44" s="106"/>
      <c r="I44" s="105">
        <f>MIN(T44,X44,AB44,AF44,P44)</f>
        <v>11.319000000000001</v>
      </c>
      <c r="J44" s="105">
        <f>AVERAGE(P44,T44,X44,AB44,AF44)</f>
        <v>28.102800000000002</v>
      </c>
      <c r="K44" s="105">
        <f>MAX(P44,T44,X44,AB44,AF44)</f>
        <v>64.537000000000006</v>
      </c>
      <c r="N44" s="107">
        <f t="shared" si="0"/>
        <v>32.153000000000006</v>
      </c>
      <c r="O44" s="107">
        <f t="shared" si="1"/>
        <v>4.2130000000000001</v>
      </c>
      <c r="P44" s="107">
        <f t="shared" si="2"/>
        <v>12.177000000000001</v>
      </c>
      <c r="R44" s="107">
        <f t="shared" si="3"/>
        <v>0.50600000000000001</v>
      </c>
      <c r="S44" s="107">
        <f t="shared" si="4"/>
        <v>3.9159999999999999</v>
      </c>
      <c r="T44" s="107">
        <f t="shared" si="5"/>
        <v>19.03</v>
      </c>
      <c r="V44" s="107">
        <f t="shared" si="6"/>
        <v>9.8560000000000016</v>
      </c>
      <c r="W44" s="107">
        <f t="shared" si="7"/>
        <v>2.6619999999999999</v>
      </c>
      <c r="X44" s="107">
        <f t="shared" si="8"/>
        <v>64.537000000000006</v>
      </c>
      <c r="Z44" s="107">
        <f t="shared" si="9"/>
        <v>58.971000000000004</v>
      </c>
      <c r="AA44" s="107">
        <f t="shared" si="10"/>
        <v>4.3559999999999999</v>
      </c>
      <c r="AB44" s="107">
        <f t="shared" si="11"/>
        <v>11.319000000000001</v>
      </c>
      <c r="AD44" s="107">
        <f t="shared" si="12"/>
        <v>1.2099999999999997</v>
      </c>
      <c r="AE44" s="107">
        <f t="shared" si="13"/>
        <v>3.3659999999999997</v>
      </c>
      <c r="AF44" s="107">
        <f t="shared" si="14"/>
        <v>33.451000000000001</v>
      </c>
      <c r="AH44" s="107">
        <v>29.23</v>
      </c>
      <c r="AI44" s="107">
        <v>3.83</v>
      </c>
      <c r="AJ44" s="107">
        <v>11.07</v>
      </c>
      <c r="AK44" s="107">
        <v>0.45999999999999996</v>
      </c>
      <c r="AL44" s="107">
        <v>3.5599999999999996</v>
      </c>
      <c r="AM44" s="107">
        <v>17.3</v>
      </c>
      <c r="AN44" s="107">
        <v>8.9600000000000009</v>
      </c>
      <c r="AO44" s="107">
        <v>2.42</v>
      </c>
      <c r="AP44" s="107">
        <v>58.67</v>
      </c>
      <c r="AQ44" s="107">
        <v>53.61</v>
      </c>
      <c r="AR44" s="107">
        <v>3.96</v>
      </c>
      <c r="AS44" s="107">
        <v>10.29</v>
      </c>
      <c r="AT44" s="107">
        <v>1.0999999999999996</v>
      </c>
      <c r="AU44" s="107">
        <v>3.0599999999999996</v>
      </c>
      <c r="AV44" s="107">
        <v>30.41</v>
      </c>
    </row>
    <row r="45" spans="1:48" ht="30" customHeight="1" outlineLevel="2">
      <c r="A45" s="125" t="s">
        <v>320</v>
      </c>
      <c r="B45" s="118" t="s">
        <v>321</v>
      </c>
      <c r="C45" s="104" t="s">
        <v>253</v>
      </c>
      <c r="E45" s="105">
        <f>MIN(N45,R45,V45,Z45,AD45)</f>
        <v>0.91300000000000014</v>
      </c>
      <c r="F45" s="105">
        <f>AVERAGE(N45,R45,V45,Z45,AD45)</f>
        <v>21.839400000000005</v>
      </c>
      <c r="G45" s="105">
        <f>MAX(N45,R45,V45,Z45,AD45)</f>
        <v>59.664000000000009</v>
      </c>
      <c r="H45" s="106"/>
      <c r="I45" s="105">
        <f>MIN(T45,X45,AB45,AF45,P45)</f>
        <v>12.364000000000001</v>
      </c>
      <c r="J45" s="105">
        <f>AVERAGE(P45,T45,X45,AB45,AF45)</f>
        <v>30.848400000000005</v>
      </c>
      <c r="K45" s="105">
        <f>MAX(P45,T45,X45,AB45,AF45)</f>
        <v>71.291000000000011</v>
      </c>
      <c r="N45" s="107">
        <f t="shared" si="0"/>
        <v>33.253</v>
      </c>
      <c r="O45" s="107">
        <f t="shared" si="1"/>
        <v>5.753000000000001</v>
      </c>
      <c r="P45" s="107">
        <f t="shared" si="2"/>
        <v>14.333</v>
      </c>
      <c r="R45" s="107">
        <f t="shared" si="3"/>
        <v>0.91300000000000014</v>
      </c>
      <c r="S45" s="107">
        <f t="shared" si="4"/>
        <v>4.4550000000000001</v>
      </c>
      <c r="T45" s="107">
        <f t="shared" si="5"/>
        <v>19.646000000000001</v>
      </c>
      <c r="V45" s="107">
        <f t="shared" si="6"/>
        <v>12.947000000000001</v>
      </c>
      <c r="W45" s="107">
        <f t="shared" si="7"/>
        <v>7.6670000000000016</v>
      </c>
      <c r="X45" s="107">
        <f t="shared" si="8"/>
        <v>71.291000000000011</v>
      </c>
      <c r="Z45" s="107">
        <f t="shared" si="9"/>
        <v>59.664000000000009</v>
      </c>
      <c r="AA45" s="107">
        <f t="shared" si="10"/>
        <v>5.3239999999999998</v>
      </c>
      <c r="AB45" s="107">
        <f t="shared" si="11"/>
        <v>12.364000000000001</v>
      </c>
      <c r="AD45" s="107">
        <f t="shared" si="12"/>
        <v>2.4200000000000004</v>
      </c>
      <c r="AE45" s="107">
        <f t="shared" si="13"/>
        <v>5.181</v>
      </c>
      <c r="AF45" s="107">
        <f t="shared" si="14"/>
        <v>36.608000000000004</v>
      </c>
      <c r="AH45" s="107">
        <v>30.23</v>
      </c>
      <c r="AI45" s="107">
        <v>5.23</v>
      </c>
      <c r="AJ45" s="107">
        <v>13.03</v>
      </c>
      <c r="AK45" s="107">
        <v>0.83000000000000007</v>
      </c>
      <c r="AL45" s="107">
        <v>4.05</v>
      </c>
      <c r="AM45" s="107">
        <v>17.86</v>
      </c>
      <c r="AN45" s="107">
        <v>11.77</v>
      </c>
      <c r="AO45" s="107">
        <v>6.9700000000000006</v>
      </c>
      <c r="AP45" s="107">
        <v>64.81</v>
      </c>
      <c r="AQ45" s="107">
        <v>54.24</v>
      </c>
      <c r="AR45" s="107">
        <v>4.84</v>
      </c>
      <c r="AS45" s="107">
        <v>11.24</v>
      </c>
      <c r="AT45" s="107">
        <v>2.2000000000000002</v>
      </c>
      <c r="AU45" s="107">
        <v>4.71</v>
      </c>
      <c r="AV45" s="107">
        <v>33.28</v>
      </c>
    </row>
    <row r="46" spans="1:48" ht="30" customHeight="1" outlineLevel="1">
      <c r="A46" s="121" t="s">
        <v>322</v>
      </c>
      <c r="B46" s="122" t="s">
        <v>323</v>
      </c>
      <c r="C46" s="123"/>
      <c r="N46" s="11" t="str">
        <f t="shared" si="0"/>
        <v/>
      </c>
      <c r="O46" s="11" t="str">
        <f t="shared" si="1"/>
        <v/>
      </c>
      <c r="P46" s="11" t="str">
        <f t="shared" si="2"/>
        <v/>
      </c>
      <c r="R46" s="11" t="str">
        <f t="shared" si="3"/>
        <v/>
      </c>
      <c r="S46" s="11" t="str">
        <f t="shared" si="4"/>
        <v/>
      </c>
      <c r="T46" s="11" t="str">
        <f t="shared" si="5"/>
        <v/>
      </c>
      <c r="V46" s="11" t="str">
        <f t="shared" si="6"/>
        <v/>
      </c>
      <c r="W46" s="11" t="str">
        <f t="shared" si="7"/>
        <v/>
      </c>
      <c r="X46" s="11" t="str">
        <f t="shared" si="8"/>
        <v/>
      </c>
      <c r="Z46" s="11" t="str">
        <f t="shared" si="9"/>
        <v/>
      </c>
      <c r="AA46" s="11" t="str">
        <f t="shared" si="10"/>
        <v/>
      </c>
      <c r="AB46" s="11" t="str">
        <f t="shared" si="11"/>
        <v/>
      </c>
      <c r="AD46" s="11" t="str">
        <f t="shared" si="12"/>
        <v/>
      </c>
      <c r="AE46" s="11" t="str">
        <f t="shared" si="13"/>
        <v/>
      </c>
      <c r="AF46" s="11" t="str">
        <f t="shared" si="14"/>
        <v/>
      </c>
    </row>
    <row r="47" spans="1:48" ht="30" customHeight="1" outlineLevel="2">
      <c r="A47" s="125" t="s">
        <v>324</v>
      </c>
      <c r="B47" s="118" t="s">
        <v>325</v>
      </c>
      <c r="C47" s="104" t="s">
        <v>253</v>
      </c>
      <c r="E47" s="105">
        <f t="shared" ref="E47:E52" si="21">MIN(N47,R47,V47,Z47,AD47)</f>
        <v>-2.2440000000000002</v>
      </c>
      <c r="F47" s="105">
        <f t="shared" ref="F47:F52" si="22">AVERAGE(N47,R47,V47,Z47,AD47)</f>
        <v>19.5228</v>
      </c>
      <c r="G47" s="105">
        <f t="shared" ref="G47:G52" si="23">MAX(N47,R47,V47,Z47,AD47)</f>
        <v>58.729000000000006</v>
      </c>
      <c r="H47" s="106"/>
      <c r="I47" s="105">
        <f t="shared" ref="I47:I52" si="24">MIN(T47,X47,AB47,AF47,P47)</f>
        <v>10.021000000000001</v>
      </c>
      <c r="J47" s="105">
        <f t="shared" ref="J47:J52" si="25">AVERAGE(P47,T47,X47,AB47,AF47)</f>
        <v>26.054600000000004</v>
      </c>
      <c r="K47" s="105">
        <f t="shared" ref="K47:K52" si="26">MAX(P47,T47,X47,AB47,AF47)</f>
        <v>64.537000000000006</v>
      </c>
      <c r="N47" s="107">
        <f t="shared" si="0"/>
        <v>31.053000000000004</v>
      </c>
      <c r="O47" s="107">
        <f t="shared" si="1"/>
        <v>2.673</v>
      </c>
      <c r="P47" s="107">
        <f t="shared" si="2"/>
        <v>10.021000000000001</v>
      </c>
      <c r="R47" s="107">
        <f t="shared" si="3"/>
        <v>-2.2440000000000002</v>
      </c>
      <c r="S47" s="107">
        <f t="shared" si="4"/>
        <v>0.92399999999999993</v>
      </c>
      <c r="T47" s="107">
        <f t="shared" si="5"/>
        <v>15.884000000000002</v>
      </c>
      <c r="V47" s="107">
        <f t="shared" si="6"/>
        <v>9.8560000000000016</v>
      </c>
      <c r="W47" s="107">
        <f t="shared" si="7"/>
        <v>2.6619999999999999</v>
      </c>
      <c r="X47" s="107">
        <f t="shared" si="8"/>
        <v>64.537000000000006</v>
      </c>
      <c r="Z47" s="107">
        <f t="shared" si="9"/>
        <v>58.729000000000006</v>
      </c>
      <c r="AA47" s="107">
        <f t="shared" si="10"/>
        <v>4.125</v>
      </c>
      <c r="AB47" s="107">
        <f t="shared" si="11"/>
        <v>11.649000000000001</v>
      </c>
      <c r="AD47" s="107">
        <f t="shared" si="12"/>
        <v>0.22000000000000022</v>
      </c>
      <c r="AE47" s="107">
        <f t="shared" si="13"/>
        <v>1.881</v>
      </c>
      <c r="AF47" s="107">
        <f t="shared" si="14"/>
        <v>28.182000000000002</v>
      </c>
      <c r="AH47" s="107">
        <v>28.23</v>
      </c>
      <c r="AI47" s="107">
        <v>2.4299999999999997</v>
      </c>
      <c r="AJ47" s="107">
        <v>9.11</v>
      </c>
      <c r="AK47" s="107">
        <v>-2.04</v>
      </c>
      <c r="AL47" s="107">
        <v>0.83999999999999986</v>
      </c>
      <c r="AM47" s="107">
        <v>14.440000000000001</v>
      </c>
      <c r="AN47" s="107">
        <v>8.9600000000000009</v>
      </c>
      <c r="AO47" s="107">
        <v>2.42</v>
      </c>
      <c r="AP47" s="107">
        <v>58.67</v>
      </c>
      <c r="AQ47" s="107">
        <v>53.39</v>
      </c>
      <c r="AR47" s="107">
        <v>3.75</v>
      </c>
      <c r="AS47" s="107">
        <v>10.59</v>
      </c>
      <c r="AT47" s="107">
        <v>0.20000000000000018</v>
      </c>
      <c r="AU47" s="107">
        <v>1.71</v>
      </c>
      <c r="AV47" s="107">
        <v>25.62</v>
      </c>
    </row>
    <row r="48" spans="1:48" ht="30" customHeight="1" outlineLevel="2">
      <c r="A48" s="125" t="s">
        <v>326</v>
      </c>
      <c r="B48" s="118" t="s">
        <v>327</v>
      </c>
      <c r="C48" s="104" t="s">
        <v>253</v>
      </c>
      <c r="E48" s="105">
        <f t="shared" si="21"/>
        <v>-1.837</v>
      </c>
      <c r="F48" s="105">
        <f t="shared" si="22"/>
        <v>20.229000000000003</v>
      </c>
      <c r="G48" s="105">
        <f t="shared" si="23"/>
        <v>59.38900000000001</v>
      </c>
      <c r="H48" s="106"/>
      <c r="I48" s="105">
        <f t="shared" si="24"/>
        <v>11.099</v>
      </c>
      <c r="J48" s="105">
        <f t="shared" si="25"/>
        <v>28.034600000000001</v>
      </c>
      <c r="K48" s="105">
        <f t="shared" si="26"/>
        <v>67.265000000000001</v>
      </c>
      <c r="N48" s="107">
        <f t="shared" si="0"/>
        <v>31.603000000000002</v>
      </c>
      <c r="O48" s="107">
        <f t="shared" si="1"/>
        <v>3.4430000000000001</v>
      </c>
      <c r="P48" s="107">
        <f t="shared" si="2"/>
        <v>11.099</v>
      </c>
      <c r="R48" s="107">
        <f t="shared" si="3"/>
        <v>-1.837</v>
      </c>
      <c r="S48" s="107">
        <f t="shared" si="4"/>
        <v>1.4520000000000004</v>
      </c>
      <c r="T48" s="107">
        <f t="shared" si="5"/>
        <v>16.489000000000001</v>
      </c>
      <c r="V48" s="107">
        <f t="shared" si="6"/>
        <v>11.110000000000001</v>
      </c>
      <c r="W48" s="107">
        <f t="shared" si="7"/>
        <v>4.6859999999999999</v>
      </c>
      <c r="X48" s="107">
        <f t="shared" si="8"/>
        <v>67.265000000000001</v>
      </c>
      <c r="Z48" s="107">
        <f t="shared" si="9"/>
        <v>59.38900000000001</v>
      </c>
      <c r="AA48" s="107">
        <f t="shared" si="10"/>
        <v>5.0490000000000004</v>
      </c>
      <c r="AB48" s="107">
        <f t="shared" si="11"/>
        <v>12.738000000000001</v>
      </c>
      <c r="AD48" s="107">
        <f t="shared" si="12"/>
        <v>0.87999999999999989</v>
      </c>
      <c r="AE48" s="107">
        <f t="shared" si="13"/>
        <v>2.8710000000000004</v>
      </c>
      <c r="AF48" s="107">
        <f t="shared" si="14"/>
        <v>32.582000000000001</v>
      </c>
      <c r="AH48" s="107">
        <v>28.73</v>
      </c>
      <c r="AI48" s="107">
        <v>3.13</v>
      </c>
      <c r="AJ48" s="107">
        <v>10.09</v>
      </c>
      <c r="AK48" s="107">
        <v>-1.67</v>
      </c>
      <c r="AL48" s="107">
        <v>1.3200000000000003</v>
      </c>
      <c r="AM48" s="107">
        <v>14.99</v>
      </c>
      <c r="AN48" s="107">
        <v>10.1</v>
      </c>
      <c r="AO48" s="107">
        <v>4.26</v>
      </c>
      <c r="AP48" s="107">
        <v>61.15</v>
      </c>
      <c r="AQ48" s="107">
        <v>53.99</v>
      </c>
      <c r="AR48" s="107">
        <v>4.59</v>
      </c>
      <c r="AS48" s="107">
        <v>11.58</v>
      </c>
      <c r="AT48" s="107">
        <v>0.79999999999999982</v>
      </c>
      <c r="AU48" s="107">
        <v>2.6100000000000003</v>
      </c>
      <c r="AV48" s="107">
        <v>29.619999999999997</v>
      </c>
    </row>
    <row r="49" spans="1:48" ht="30" customHeight="1" outlineLevel="2">
      <c r="A49" s="125" t="s">
        <v>328</v>
      </c>
      <c r="B49" s="118" t="s">
        <v>329</v>
      </c>
      <c r="C49" s="104" t="s">
        <v>253</v>
      </c>
      <c r="E49" s="105">
        <f t="shared" si="21"/>
        <v>-1.43</v>
      </c>
      <c r="F49" s="105">
        <f t="shared" si="22"/>
        <v>20.228999999999999</v>
      </c>
      <c r="G49" s="105">
        <f t="shared" si="23"/>
        <v>58.971000000000004</v>
      </c>
      <c r="H49" s="106"/>
      <c r="I49" s="105">
        <f t="shared" si="24"/>
        <v>10.56</v>
      </c>
      <c r="J49" s="105">
        <f t="shared" si="25"/>
        <v>27.231600000000004</v>
      </c>
      <c r="K49" s="105">
        <f t="shared" si="26"/>
        <v>68.618000000000009</v>
      </c>
      <c r="N49" s="107">
        <f t="shared" si="0"/>
        <v>31.328000000000003</v>
      </c>
      <c r="O49" s="107">
        <f t="shared" si="1"/>
        <v>3.0580000000000007</v>
      </c>
      <c r="P49" s="107">
        <f t="shared" si="2"/>
        <v>10.56</v>
      </c>
      <c r="R49" s="107">
        <f t="shared" si="3"/>
        <v>-1.43</v>
      </c>
      <c r="S49" s="107">
        <f t="shared" si="4"/>
        <v>1.98</v>
      </c>
      <c r="T49" s="107">
        <f t="shared" si="5"/>
        <v>17.094000000000001</v>
      </c>
      <c r="V49" s="107">
        <f t="shared" si="6"/>
        <v>11.726000000000001</v>
      </c>
      <c r="W49" s="107">
        <f t="shared" si="7"/>
        <v>5.6870000000000003</v>
      </c>
      <c r="X49" s="107">
        <f t="shared" si="8"/>
        <v>68.618000000000009</v>
      </c>
      <c r="Z49" s="107">
        <f t="shared" si="9"/>
        <v>58.971000000000004</v>
      </c>
      <c r="AA49" s="107">
        <f t="shared" si="10"/>
        <v>4.3559999999999999</v>
      </c>
      <c r="AB49" s="107">
        <f t="shared" si="11"/>
        <v>11.319000000000001</v>
      </c>
      <c r="AD49" s="107">
        <f t="shared" si="12"/>
        <v>0.55000000000000004</v>
      </c>
      <c r="AE49" s="107">
        <f t="shared" si="13"/>
        <v>2.3760000000000003</v>
      </c>
      <c r="AF49" s="107">
        <f t="shared" si="14"/>
        <v>28.567</v>
      </c>
      <c r="AH49" s="107">
        <v>28.48</v>
      </c>
      <c r="AI49" s="107">
        <v>2.7800000000000002</v>
      </c>
      <c r="AJ49" s="107">
        <v>9.6</v>
      </c>
      <c r="AK49" s="107">
        <v>-1.2999999999999998</v>
      </c>
      <c r="AL49" s="107">
        <v>1.7999999999999998</v>
      </c>
      <c r="AM49" s="107">
        <v>15.54</v>
      </c>
      <c r="AN49" s="107">
        <v>10.66</v>
      </c>
      <c r="AO49" s="107">
        <v>5.17</v>
      </c>
      <c r="AP49" s="107">
        <v>62.38</v>
      </c>
      <c r="AQ49" s="107">
        <v>53.61</v>
      </c>
      <c r="AR49" s="107">
        <v>3.96</v>
      </c>
      <c r="AS49" s="107">
        <v>10.29</v>
      </c>
      <c r="AT49" s="107">
        <v>0.5</v>
      </c>
      <c r="AU49" s="107">
        <v>2.16</v>
      </c>
      <c r="AV49" s="107">
        <v>25.97</v>
      </c>
    </row>
    <row r="50" spans="1:48" ht="30" customHeight="1" outlineLevel="2">
      <c r="A50" s="125" t="s">
        <v>330</v>
      </c>
      <c r="B50" s="118" t="s">
        <v>331</v>
      </c>
      <c r="C50" s="104" t="s">
        <v>253</v>
      </c>
      <c r="E50" s="105">
        <f t="shared" si="21"/>
        <v>-0.61599999999999966</v>
      </c>
      <c r="F50" s="105">
        <f t="shared" si="22"/>
        <v>20.902200000000001</v>
      </c>
      <c r="G50" s="105">
        <f t="shared" si="23"/>
        <v>59.345000000000006</v>
      </c>
      <c r="H50" s="106"/>
      <c r="I50" s="105">
        <f t="shared" si="24"/>
        <v>11.099</v>
      </c>
      <c r="J50" s="105">
        <f t="shared" si="25"/>
        <v>29.211600000000004</v>
      </c>
      <c r="K50" s="105">
        <f t="shared" si="26"/>
        <v>71.324000000000012</v>
      </c>
      <c r="N50" s="107">
        <f t="shared" si="0"/>
        <v>31.603000000000002</v>
      </c>
      <c r="O50" s="107">
        <f t="shared" si="1"/>
        <v>3.4430000000000001</v>
      </c>
      <c r="P50" s="107">
        <f t="shared" si="2"/>
        <v>11.099</v>
      </c>
      <c r="R50" s="107">
        <f t="shared" si="3"/>
        <v>-0.61599999999999966</v>
      </c>
      <c r="S50" s="107">
        <f t="shared" si="4"/>
        <v>3.0469999999999997</v>
      </c>
      <c r="T50" s="107">
        <f t="shared" si="5"/>
        <v>18.315000000000001</v>
      </c>
      <c r="V50" s="107">
        <f t="shared" si="6"/>
        <v>12.968999999999999</v>
      </c>
      <c r="W50" s="107">
        <f t="shared" si="7"/>
        <v>7.7000000000000011</v>
      </c>
      <c r="X50" s="107">
        <f t="shared" si="8"/>
        <v>71.324000000000012</v>
      </c>
      <c r="Z50" s="107">
        <f t="shared" si="9"/>
        <v>59.345000000000006</v>
      </c>
      <c r="AA50" s="107">
        <f t="shared" si="10"/>
        <v>4.8620000000000001</v>
      </c>
      <c r="AB50" s="107">
        <f t="shared" si="11"/>
        <v>11.869</v>
      </c>
      <c r="AD50" s="107">
        <f t="shared" si="12"/>
        <v>1.2099999999999997</v>
      </c>
      <c r="AE50" s="107">
        <f t="shared" si="13"/>
        <v>3.3659999999999997</v>
      </c>
      <c r="AF50" s="107">
        <f t="shared" si="14"/>
        <v>33.451000000000001</v>
      </c>
      <c r="AH50" s="107">
        <v>28.73</v>
      </c>
      <c r="AI50" s="107">
        <v>3.13</v>
      </c>
      <c r="AJ50" s="107">
        <v>10.09</v>
      </c>
      <c r="AK50" s="107">
        <v>-0.55999999999999961</v>
      </c>
      <c r="AL50" s="107">
        <v>2.7699999999999996</v>
      </c>
      <c r="AM50" s="107">
        <v>16.649999999999999</v>
      </c>
      <c r="AN50" s="107">
        <v>11.79</v>
      </c>
      <c r="AO50" s="107">
        <v>7</v>
      </c>
      <c r="AP50" s="107">
        <v>64.84</v>
      </c>
      <c r="AQ50" s="107">
        <v>53.95</v>
      </c>
      <c r="AR50" s="107">
        <v>4.42</v>
      </c>
      <c r="AS50" s="107">
        <v>10.79</v>
      </c>
      <c r="AT50" s="107">
        <v>1.0999999999999996</v>
      </c>
      <c r="AU50" s="107">
        <v>3.0599999999999996</v>
      </c>
      <c r="AV50" s="107">
        <v>30.41</v>
      </c>
    </row>
    <row r="51" spans="1:48" ht="30" customHeight="1" outlineLevel="2">
      <c r="A51" s="125" t="s">
        <v>332</v>
      </c>
      <c r="B51" s="118" t="s">
        <v>333</v>
      </c>
      <c r="C51" s="104" t="s">
        <v>253</v>
      </c>
      <c r="E51" s="105">
        <f t="shared" si="21"/>
        <v>-1.837</v>
      </c>
      <c r="F51" s="105">
        <f t="shared" si="22"/>
        <v>20.68</v>
      </c>
      <c r="G51" s="105">
        <f t="shared" si="23"/>
        <v>59.719000000000001</v>
      </c>
      <c r="H51" s="106"/>
      <c r="I51" s="105">
        <f t="shared" si="24"/>
        <v>10.021000000000001</v>
      </c>
      <c r="J51" s="105">
        <f t="shared" si="25"/>
        <v>28.324999999999999</v>
      </c>
      <c r="K51" s="105">
        <f t="shared" si="26"/>
        <v>72.676999999999992</v>
      </c>
      <c r="N51" s="107">
        <f t="shared" si="0"/>
        <v>31.053000000000004</v>
      </c>
      <c r="O51" s="107">
        <f t="shared" si="1"/>
        <v>2.673</v>
      </c>
      <c r="P51" s="107">
        <f t="shared" si="2"/>
        <v>10.021000000000001</v>
      </c>
      <c r="R51" s="107">
        <f t="shared" si="3"/>
        <v>-1.837</v>
      </c>
      <c r="S51" s="107">
        <f t="shared" si="4"/>
        <v>1.4520000000000004</v>
      </c>
      <c r="T51" s="107">
        <f t="shared" si="5"/>
        <v>16.489000000000001</v>
      </c>
      <c r="V51" s="107">
        <f t="shared" si="6"/>
        <v>13.585000000000001</v>
      </c>
      <c r="W51" s="107">
        <f t="shared" si="7"/>
        <v>8.7010000000000005</v>
      </c>
      <c r="X51" s="107">
        <f t="shared" si="8"/>
        <v>72.676999999999992</v>
      </c>
      <c r="Z51" s="107">
        <f t="shared" si="9"/>
        <v>59.719000000000001</v>
      </c>
      <c r="AA51" s="107">
        <f t="shared" si="10"/>
        <v>5.5110000000000001</v>
      </c>
      <c r="AB51" s="107">
        <f t="shared" si="11"/>
        <v>13.288000000000002</v>
      </c>
      <c r="AD51" s="107">
        <f t="shared" si="12"/>
        <v>0.87999999999999989</v>
      </c>
      <c r="AE51" s="107">
        <f t="shared" si="13"/>
        <v>2.8710000000000004</v>
      </c>
      <c r="AF51" s="107">
        <f t="shared" si="14"/>
        <v>29.150000000000002</v>
      </c>
      <c r="AH51" s="107">
        <v>28.23</v>
      </c>
      <c r="AI51" s="107">
        <v>2.4299999999999997</v>
      </c>
      <c r="AJ51" s="107">
        <v>9.11</v>
      </c>
      <c r="AK51" s="107">
        <v>-1.67</v>
      </c>
      <c r="AL51" s="107">
        <v>1.3200000000000003</v>
      </c>
      <c r="AM51" s="107">
        <v>14.99</v>
      </c>
      <c r="AN51" s="107">
        <v>12.35</v>
      </c>
      <c r="AO51" s="107">
        <v>7.91</v>
      </c>
      <c r="AP51" s="107">
        <v>66.069999999999993</v>
      </c>
      <c r="AQ51" s="107">
        <v>54.29</v>
      </c>
      <c r="AR51" s="107">
        <v>5.01</v>
      </c>
      <c r="AS51" s="107">
        <v>12.08</v>
      </c>
      <c r="AT51" s="107">
        <v>0.79999999999999982</v>
      </c>
      <c r="AU51" s="107">
        <v>2.6100000000000003</v>
      </c>
      <c r="AV51" s="107">
        <v>26.5</v>
      </c>
    </row>
    <row r="52" spans="1:48" ht="30" customHeight="1" outlineLevel="2">
      <c r="A52" s="125" t="s">
        <v>334</v>
      </c>
      <c r="B52" s="118" t="s">
        <v>335</v>
      </c>
      <c r="C52" s="104" t="s">
        <v>253</v>
      </c>
      <c r="E52" s="105">
        <f t="shared" si="21"/>
        <v>-0.61599999999999966</v>
      </c>
      <c r="F52" s="105">
        <f t="shared" si="22"/>
        <v>21.599600000000002</v>
      </c>
      <c r="G52" s="105">
        <f t="shared" si="23"/>
        <v>60.39</v>
      </c>
      <c r="H52" s="106"/>
      <c r="I52" s="105">
        <f t="shared" si="24"/>
        <v>12.177000000000001</v>
      </c>
      <c r="J52" s="105">
        <f t="shared" si="25"/>
        <v>30.817600000000006</v>
      </c>
      <c r="K52" s="105">
        <f t="shared" si="26"/>
        <v>74.03</v>
      </c>
      <c r="N52" s="107">
        <f t="shared" si="0"/>
        <v>32.153000000000006</v>
      </c>
      <c r="O52" s="107">
        <f t="shared" si="1"/>
        <v>4.2130000000000001</v>
      </c>
      <c r="P52" s="107">
        <f t="shared" si="2"/>
        <v>12.177000000000001</v>
      </c>
      <c r="R52" s="107">
        <f t="shared" si="3"/>
        <v>-0.61599999999999966</v>
      </c>
      <c r="S52" s="107">
        <f t="shared" si="4"/>
        <v>3.0469999999999997</v>
      </c>
      <c r="T52" s="107">
        <f t="shared" si="5"/>
        <v>18.315000000000001</v>
      </c>
      <c r="V52" s="107">
        <f t="shared" si="6"/>
        <v>14.201000000000001</v>
      </c>
      <c r="W52" s="107">
        <f t="shared" si="7"/>
        <v>9.7020000000000017</v>
      </c>
      <c r="X52" s="107">
        <f t="shared" si="8"/>
        <v>74.03</v>
      </c>
      <c r="Z52" s="107">
        <f t="shared" si="9"/>
        <v>60.39</v>
      </c>
      <c r="AA52" s="107">
        <f t="shared" si="10"/>
        <v>6.4460000000000006</v>
      </c>
      <c r="AB52" s="107">
        <f t="shared" si="11"/>
        <v>14.399000000000001</v>
      </c>
      <c r="AD52" s="107">
        <f t="shared" si="12"/>
        <v>1.8700000000000003</v>
      </c>
      <c r="AE52" s="107">
        <f t="shared" si="13"/>
        <v>4.3559999999999999</v>
      </c>
      <c r="AF52" s="107">
        <f t="shared" si="14"/>
        <v>35.167000000000002</v>
      </c>
      <c r="AH52" s="107">
        <v>29.23</v>
      </c>
      <c r="AI52" s="107">
        <v>3.83</v>
      </c>
      <c r="AJ52" s="107">
        <v>11.07</v>
      </c>
      <c r="AK52" s="107">
        <v>-0.55999999999999961</v>
      </c>
      <c r="AL52" s="107">
        <v>2.7699999999999996</v>
      </c>
      <c r="AM52" s="107">
        <v>16.649999999999999</v>
      </c>
      <c r="AN52" s="107">
        <v>12.91</v>
      </c>
      <c r="AO52" s="107">
        <v>8.82</v>
      </c>
      <c r="AP52" s="107">
        <v>67.3</v>
      </c>
      <c r="AQ52" s="107">
        <v>54.9</v>
      </c>
      <c r="AR52" s="107">
        <v>5.86</v>
      </c>
      <c r="AS52" s="107">
        <v>13.09</v>
      </c>
      <c r="AT52" s="107">
        <v>1.7000000000000002</v>
      </c>
      <c r="AU52" s="107">
        <v>3.96</v>
      </c>
      <c r="AV52" s="107">
        <v>31.97</v>
      </c>
    </row>
    <row r="53" spans="1:48" ht="30" customHeight="1" outlineLevel="1">
      <c r="A53" s="121" t="s">
        <v>336</v>
      </c>
      <c r="B53" s="122" t="s">
        <v>337</v>
      </c>
      <c r="C53" s="130"/>
      <c r="N53" s="11" t="str">
        <f t="shared" si="0"/>
        <v/>
      </c>
      <c r="O53" s="11" t="str">
        <f t="shared" si="1"/>
        <v/>
      </c>
      <c r="P53" s="11" t="str">
        <f t="shared" si="2"/>
        <v/>
      </c>
      <c r="R53" s="11" t="str">
        <f t="shared" si="3"/>
        <v/>
      </c>
      <c r="S53" s="11" t="str">
        <f t="shared" si="4"/>
        <v/>
      </c>
      <c r="T53" s="11" t="str">
        <f t="shared" si="5"/>
        <v/>
      </c>
      <c r="V53" s="11" t="str">
        <f t="shared" si="6"/>
        <v/>
      </c>
      <c r="W53" s="11" t="str">
        <f t="shared" si="7"/>
        <v/>
      </c>
      <c r="X53" s="11" t="str">
        <f t="shared" si="8"/>
        <v/>
      </c>
      <c r="Z53" s="11" t="str">
        <f t="shared" si="9"/>
        <v/>
      </c>
      <c r="AA53" s="11" t="str">
        <f t="shared" si="10"/>
        <v/>
      </c>
      <c r="AB53" s="11" t="str">
        <f t="shared" si="11"/>
        <v/>
      </c>
      <c r="AD53" s="11" t="str">
        <f t="shared" si="12"/>
        <v/>
      </c>
      <c r="AE53" s="11" t="str">
        <f t="shared" si="13"/>
        <v/>
      </c>
      <c r="AF53" s="11" t="str">
        <f t="shared" si="14"/>
        <v/>
      </c>
    </row>
    <row r="54" spans="1:48" ht="30" customHeight="1" outlineLevel="2">
      <c r="A54" s="125" t="s">
        <v>338</v>
      </c>
      <c r="B54" s="118" t="s">
        <v>339</v>
      </c>
      <c r="C54" s="104" t="s">
        <v>253</v>
      </c>
      <c r="E54" s="105">
        <f>MIN(N54,R54,V54,Z54,AD54)</f>
        <v>-2.2440000000000002</v>
      </c>
      <c r="F54" s="105">
        <f>AVERAGE(N54,R54,V54,Z54,AD54)</f>
        <v>19.3688</v>
      </c>
      <c r="G54" s="105">
        <f>MAX(N54,R54,V54,Z54,AD54)</f>
        <v>58.575000000000003</v>
      </c>
      <c r="H54" s="106"/>
      <c r="I54" s="105">
        <f>MIN(T54,X54,AB54,AF54,P54)</f>
        <v>10.021000000000001</v>
      </c>
      <c r="J54" s="105">
        <f>AVERAGE(P54,T54,X54,AB54,AF54)</f>
        <v>26.142600000000005</v>
      </c>
      <c r="K54" s="105">
        <f>MAX(P54,T54,X54,AB54,AF54)</f>
        <v>63.184000000000005</v>
      </c>
      <c r="N54" s="107">
        <f t="shared" si="0"/>
        <v>31.053000000000004</v>
      </c>
      <c r="O54" s="107">
        <f t="shared" si="1"/>
        <v>2.673</v>
      </c>
      <c r="P54" s="107">
        <f t="shared" si="2"/>
        <v>10.021000000000001</v>
      </c>
      <c r="R54" s="107">
        <f t="shared" si="3"/>
        <v>-2.2440000000000002</v>
      </c>
      <c r="S54" s="107">
        <f t="shared" si="4"/>
        <v>0.92399999999999993</v>
      </c>
      <c r="T54" s="107">
        <f t="shared" si="5"/>
        <v>15.884000000000002</v>
      </c>
      <c r="V54" s="107">
        <f t="shared" si="6"/>
        <v>9.240000000000002</v>
      </c>
      <c r="W54" s="107">
        <f t="shared" si="7"/>
        <v>1.6609999999999998</v>
      </c>
      <c r="X54" s="107">
        <f t="shared" si="8"/>
        <v>63.184000000000005</v>
      </c>
      <c r="Z54" s="107">
        <f t="shared" si="9"/>
        <v>58.575000000000003</v>
      </c>
      <c r="AA54" s="107">
        <f t="shared" si="10"/>
        <v>3.9050000000000002</v>
      </c>
      <c r="AB54" s="107">
        <f t="shared" si="11"/>
        <v>10.758000000000003</v>
      </c>
      <c r="AD54" s="107">
        <f t="shared" si="12"/>
        <v>0.22000000000000022</v>
      </c>
      <c r="AE54" s="107">
        <f t="shared" si="13"/>
        <v>1.881</v>
      </c>
      <c r="AF54" s="107">
        <f t="shared" si="14"/>
        <v>30.866000000000007</v>
      </c>
      <c r="AH54" s="107">
        <v>28.23</v>
      </c>
      <c r="AI54" s="107">
        <v>2.4299999999999997</v>
      </c>
      <c r="AJ54" s="107">
        <v>9.11</v>
      </c>
      <c r="AK54" s="107">
        <v>-2.04</v>
      </c>
      <c r="AL54" s="107">
        <v>0.83999999999999986</v>
      </c>
      <c r="AM54" s="107">
        <v>14.440000000000001</v>
      </c>
      <c r="AN54" s="107">
        <v>8.4</v>
      </c>
      <c r="AO54" s="107">
        <v>1.5099999999999998</v>
      </c>
      <c r="AP54" s="107">
        <v>57.44</v>
      </c>
      <c r="AQ54" s="107">
        <v>53.25</v>
      </c>
      <c r="AR54" s="107">
        <v>3.55</v>
      </c>
      <c r="AS54" s="107">
        <v>9.7800000000000011</v>
      </c>
      <c r="AT54" s="107">
        <v>0.20000000000000018</v>
      </c>
      <c r="AU54" s="107">
        <v>1.71</v>
      </c>
      <c r="AV54" s="107">
        <v>28.060000000000002</v>
      </c>
    </row>
    <row r="55" spans="1:48" ht="30" customHeight="1" outlineLevel="2">
      <c r="A55" s="125" t="s">
        <v>340</v>
      </c>
      <c r="B55" s="118" t="s">
        <v>341</v>
      </c>
      <c r="C55" s="104" t="s">
        <v>253</v>
      </c>
      <c r="E55" s="105">
        <f>MIN(N55,R55,V55,Z55,AD55)</f>
        <v>1.8150000000000006</v>
      </c>
      <c r="F55" s="105">
        <f>AVERAGE(N55,R55,V55,Z55,AD55)</f>
        <v>24.010800000000003</v>
      </c>
      <c r="G55" s="105">
        <f>MAX(N55,R55,V55,Z55,AD55)</f>
        <v>64.878000000000014</v>
      </c>
      <c r="H55" s="106"/>
      <c r="I55" s="105">
        <f>MIN(T55,X55,AB55,AF55,P55)</f>
        <v>20.900000000000002</v>
      </c>
      <c r="J55" s="105">
        <f>AVERAGE(P55,T55,X55,AB55,AF55)</f>
        <v>34.672000000000004</v>
      </c>
      <c r="K55" s="105">
        <f>MAX(P55,T55,X55,AB55,AF55)</f>
        <v>64.537000000000006</v>
      </c>
      <c r="N55" s="107">
        <f t="shared" si="0"/>
        <v>41.525000000000006</v>
      </c>
      <c r="O55" s="107">
        <f t="shared" si="1"/>
        <v>17.303000000000001</v>
      </c>
      <c r="P55" s="107">
        <f t="shared" si="2"/>
        <v>30.503000000000004</v>
      </c>
      <c r="R55" s="107">
        <f t="shared" si="3"/>
        <v>1.8150000000000006</v>
      </c>
      <c r="S55" s="107">
        <f t="shared" si="4"/>
        <v>6.2150000000000007</v>
      </c>
      <c r="T55" s="107">
        <f t="shared" si="5"/>
        <v>21.978000000000002</v>
      </c>
      <c r="V55" s="107">
        <f t="shared" si="6"/>
        <v>9.8560000000000016</v>
      </c>
      <c r="W55" s="107">
        <f t="shared" si="7"/>
        <v>2.6619999999999999</v>
      </c>
      <c r="X55" s="107">
        <f t="shared" si="8"/>
        <v>64.537000000000006</v>
      </c>
      <c r="Z55" s="107">
        <f t="shared" si="9"/>
        <v>64.878000000000014</v>
      </c>
      <c r="AA55" s="107">
        <f t="shared" si="10"/>
        <v>13.046000000000001</v>
      </c>
      <c r="AB55" s="107">
        <f t="shared" si="11"/>
        <v>20.900000000000002</v>
      </c>
      <c r="AD55" s="107">
        <f t="shared" si="12"/>
        <v>1.98</v>
      </c>
      <c r="AE55" s="107">
        <f t="shared" si="13"/>
        <v>4.5210000000000008</v>
      </c>
      <c r="AF55" s="107">
        <f t="shared" si="14"/>
        <v>35.442</v>
      </c>
      <c r="AH55" s="107">
        <v>37.75</v>
      </c>
      <c r="AI55" s="107">
        <v>15.73</v>
      </c>
      <c r="AJ55" s="107">
        <v>27.73</v>
      </c>
      <c r="AK55" s="107">
        <v>1.6500000000000004</v>
      </c>
      <c r="AL55" s="107">
        <v>5.65</v>
      </c>
      <c r="AM55" s="107">
        <v>19.98</v>
      </c>
      <c r="AN55" s="107">
        <v>8.9600000000000009</v>
      </c>
      <c r="AO55" s="107">
        <v>2.42</v>
      </c>
      <c r="AP55" s="107">
        <v>58.67</v>
      </c>
      <c r="AQ55" s="107">
        <v>58.980000000000004</v>
      </c>
      <c r="AR55" s="107">
        <v>11.86</v>
      </c>
      <c r="AS55" s="107">
        <v>19</v>
      </c>
      <c r="AT55" s="107">
        <v>1.7999999999999998</v>
      </c>
      <c r="AU55" s="107">
        <v>4.1100000000000003</v>
      </c>
      <c r="AV55" s="107">
        <v>32.22</v>
      </c>
    </row>
    <row r="56" spans="1:48" ht="30" customHeight="1" outlineLevel="2">
      <c r="A56" s="125" t="s">
        <v>342</v>
      </c>
      <c r="B56" s="118" t="s">
        <v>343</v>
      </c>
      <c r="C56" s="104" t="s">
        <v>253</v>
      </c>
      <c r="E56" s="105">
        <f>MIN(N56,R56,V56,Z56,AD56)</f>
        <v>2.75</v>
      </c>
      <c r="F56" s="105">
        <f>AVERAGE(N56,R56,V56,Z56,AD56)</f>
        <v>27.462600000000002</v>
      </c>
      <c r="G56" s="105">
        <f>MAX(N56,R56,V56,Z56,AD56)</f>
        <v>68.662000000000006</v>
      </c>
      <c r="H56" s="106"/>
      <c r="I56" s="105">
        <f>MIN(T56,X56,AB56,AF56,P56)</f>
        <v>24.42</v>
      </c>
      <c r="J56" s="105">
        <f>AVERAGE(P56,T56,X56,AB56,AF56)</f>
        <v>41.276400000000002</v>
      </c>
      <c r="K56" s="105">
        <f>MAX(P56,T56,X56,AB56,AF56)</f>
        <v>76.703000000000017</v>
      </c>
      <c r="N56" s="107">
        <f t="shared" si="0"/>
        <v>47.036000000000008</v>
      </c>
      <c r="O56" s="107">
        <f t="shared" si="1"/>
        <v>25.003000000000004</v>
      </c>
      <c r="P56" s="107">
        <f t="shared" si="2"/>
        <v>41.283000000000001</v>
      </c>
      <c r="R56" s="107">
        <f t="shared" si="3"/>
        <v>3.4430000000000009</v>
      </c>
      <c r="S56" s="107">
        <f t="shared" si="4"/>
        <v>8.3270000000000017</v>
      </c>
      <c r="T56" s="107">
        <f t="shared" si="5"/>
        <v>24.42</v>
      </c>
      <c r="V56" s="107">
        <f t="shared" si="6"/>
        <v>15.422000000000001</v>
      </c>
      <c r="W56" s="107">
        <f t="shared" si="7"/>
        <v>11.671000000000001</v>
      </c>
      <c r="X56" s="107">
        <f t="shared" si="8"/>
        <v>76.703000000000017</v>
      </c>
      <c r="Z56" s="107">
        <f t="shared" si="9"/>
        <v>68.662000000000006</v>
      </c>
      <c r="AA56" s="107">
        <f t="shared" si="10"/>
        <v>17.402000000000001</v>
      </c>
      <c r="AB56" s="107">
        <f t="shared" si="11"/>
        <v>26.510000000000005</v>
      </c>
      <c r="AD56" s="107">
        <f t="shared" si="12"/>
        <v>2.75</v>
      </c>
      <c r="AE56" s="107">
        <f t="shared" si="13"/>
        <v>5.676000000000001</v>
      </c>
      <c r="AF56" s="107">
        <f t="shared" si="14"/>
        <v>37.466000000000008</v>
      </c>
      <c r="AH56" s="107">
        <v>42.760000000000005</v>
      </c>
      <c r="AI56" s="107">
        <v>22.73</v>
      </c>
      <c r="AJ56" s="107">
        <v>37.53</v>
      </c>
      <c r="AK56" s="107">
        <v>3.1300000000000008</v>
      </c>
      <c r="AL56" s="107">
        <v>7.57</v>
      </c>
      <c r="AM56" s="107">
        <v>22.2</v>
      </c>
      <c r="AN56" s="107">
        <v>14.02</v>
      </c>
      <c r="AO56" s="107">
        <v>10.61</v>
      </c>
      <c r="AP56" s="107">
        <v>69.73</v>
      </c>
      <c r="AQ56" s="107">
        <v>62.42</v>
      </c>
      <c r="AR56" s="107">
        <v>15.82</v>
      </c>
      <c r="AS56" s="107">
        <v>24.1</v>
      </c>
      <c r="AT56" s="107">
        <v>2.5</v>
      </c>
      <c r="AU56" s="107">
        <v>5.16</v>
      </c>
      <c r="AV56" s="107">
        <v>34.06</v>
      </c>
    </row>
    <row r="57" spans="1:48" ht="30" customHeight="1" outlineLevel="2">
      <c r="A57" s="125" t="s">
        <v>344</v>
      </c>
      <c r="B57" s="118" t="s">
        <v>345</v>
      </c>
      <c r="C57" s="104" t="s">
        <v>253</v>
      </c>
      <c r="E57" s="105">
        <f>MIN(N57,R57,V57,Z57,AD57)</f>
        <v>3.4430000000000009</v>
      </c>
      <c r="F57" s="105">
        <f>AVERAGE(N57,R57,V57,Z57,AD57)</f>
        <v>29.761599999999998</v>
      </c>
      <c r="G57" s="105">
        <f>MAX(N57,R57,V57,Z57,AD57)</f>
        <v>69.256</v>
      </c>
      <c r="H57" s="106"/>
      <c r="I57" s="105">
        <f>MIN(T57,X57,AB57,AF57,P57)</f>
        <v>24.42</v>
      </c>
      <c r="J57" s="105">
        <f>AVERAGE(P57,T57,X57,AB57,AF57)</f>
        <v>46.415600000000005</v>
      </c>
      <c r="K57" s="105">
        <f>MAX(P57,T57,X57,AB57,AF57)</f>
        <v>76.703000000000017</v>
      </c>
      <c r="N57" s="107">
        <f t="shared" si="0"/>
        <v>55.296999999999997</v>
      </c>
      <c r="O57" s="107">
        <f t="shared" si="1"/>
        <v>36.552999999999997</v>
      </c>
      <c r="P57" s="107">
        <f t="shared" si="2"/>
        <v>57.453000000000003</v>
      </c>
      <c r="R57" s="107">
        <f t="shared" si="3"/>
        <v>3.4430000000000009</v>
      </c>
      <c r="S57" s="107">
        <f t="shared" si="4"/>
        <v>8.3270000000000017</v>
      </c>
      <c r="T57" s="107">
        <f t="shared" si="5"/>
        <v>24.42</v>
      </c>
      <c r="V57" s="107">
        <f t="shared" si="6"/>
        <v>15.422000000000001</v>
      </c>
      <c r="W57" s="107">
        <f t="shared" si="7"/>
        <v>11.671000000000001</v>
      </c>
      <c r="X57" s="107">
        <f t="shared" si="8"/>
        <v>76.703000000000017</v>
      </c>
      <c r="Z57" s="107">
        <f t="shared" si="9"/>
        <v>69.256</v>
      </c>
      <c r="AA57" s="107">
        <f t="shared" si="10"/>
        <v>17.82</v>
      </c>
      <c r="AB57" s="107">
        <f t="shared" si="11"/>
        <v>29.161000000000005</v>
      </c>
      <c r="AD57" s="107">
        <f t="shared" si="12"/>
        <v>5.3900000000000006</v>
      </c>
      <c r="AE57" s="107">
        <f t="shared" si="13"/>
        <v>9.636000000000001</v>
      </c>
      <c r="AF57" s="107">
        <f t="shared" si="14"/>
        <v>44.341000000000008</v>
      </c>
      <c r="AH57" s="107">
        <v>50.269999999999996</v>
      </c>
      <c r="AI57" s="107">
        <v>33.229999999999997</v>
      </c>
      <c r="AJ57" s="107">
        <v>52.23</v>
      </c>
      <c r="AK57" s="107">
        <v>3.1300000000000008</v>
      </c>
      <c r="AL57" s="107">
        <v>7.57</v>
      </c>
      <c r="AM57" s="107">
        <v>22.2</v>
      </c>
      <c r="AN57" s="107">
        <v>14.02</v>
      </c>
      <c r="AO57" s="107">
        <v>10.61</v>
      </c>
      <c r="AP57" s="107">
        <v>69.73</v>
      </c>
      <c r="AQ57" s="107">
        <v>62.96</v>
      </c>
      <c r="AR57" s="107">
        <v>16.2</v>
      </c>
      <c r="AS57" s="107">
        <v>26.51</v>
      </c>
      <c r="AT57" s="107">
        <v>4.9000000000000004</v>
      </c>
      <c r="AU57" s="107">
        <v>8.76</v>
      </c>
      <c r="AV57" s="107">
        <v>40.31</v>
      </c>
    </row>
    <row r="58" spans="1:48" ht="30" customHeight="1" outlineLevel="1">
      <c r="A58" s="121" t="s">
        <v>346</v>
      </c>
      <c r="B58" s="122" t="s">
        <v>347</v>
      </c>
      <c r="C58" s="130"/>
      <c r="N58" s="11" t="str">
        <f t="shared" si="0"/>
        <v/>
      </c>
      <c r="O58" s="11" t="str">
        <f t="shared" si="1"/>
        <v/>
      </c>
      <c r="P58" s="11" t="str">
        <f t="shared" si="2"/>
        <v/>
      </c>
      <c r="R58" s="11" t="str">
        <f t="shared" si="3"/>
        <v/>
      </c>
      <c r="S58" s="11" t="str">
        <f t="shared" si="4"/>
        <v/>
      </c>
      <c r="T58" s="11" t="str">
        <f t="shared" si="5"/>
        <v/>
      </c>
      <c r="V58" s="11" t="str">
        <f t="shared" si="6"/>
        <v/>
      </c>
      <c r="W58" s="11" t="str">
        <f t="shared" si="7"/>
        <v/>
      </c>
      <c r="X58" s="11" t="str">
        <f t="shared" si="8"/>
        <v/>
      </c>
      <c r="Z58" s="11" t="str">
        <f t="shared" si="9"/>
        <v/>
      </c>
      <c r="AA58" s="11" t="str">
        <f t="shared" si="10"/>
        <v/>
      </c>
      <c r="AB58" s="11" t="str">
        <f t="shared" si="11"/>
        <v/>
      </c>
      <c r="AD58" s="11" t="str">
        <f t="shared" si="12"/>
        <v/>
      </c>
      <c r="AE58" s="11" t="str">
        <f t="shared" si="13"/>
        <v/>
      </c>
      <c r="AF58" s="11" t="str">
        <f t="shared" si="14"/>
        <v/>
      </c>
    </row>
    <row r="59" spans="1:48" ht="30" customHeight="1" outlineLevel="2">
      <c r="A59" s="125" t="s">
        <v>348</v>
      </c>
      <c r="B59" s="131" t="s">
        <v>349</v>
      </c>
      <c r="C59" s="104" t="s">
        <v>253</v>
      </c>
      <c r="E59" s="105">
        <f>MIN(N59,R59,V59,Z59,AD59)</f>
        <v>2.9700000000000006</v>
      </c>
      <c r="F59" s="105">
        <f>AVERAGE(N59,R59,V59,Z59,AD59)</f>
        <v>11.275</v>
      </c>
      <c r="G59" s="105">
        <f>MAX(N59,R59,V59,Z59,AD59)</f>
        <v>21.295999999999999</v>
      </c>
      <c r="H59" s="106"/>
      <c r="I59" s="105">
        <f>MIN(T59,X59,AB59,AF59,P59)</f>
        <v>9.8010000000000002</v>
      </c>
      <c r="J59" s="105">
        <f>AVERAGE(P59,T59,X59,AB59,AF59)</f>
        <v>19.067400000000003</v>
      </c>
      <c r="K59" s="105">
        <f>MAX(P59,T59,X59,AB59,AF59)</f>
        <v>30.954000000000004</v>
      </c>
      <c r="N59" s="107">
        <f t="shared" si="0"/>
        <v>4.4219999999999997</v>
      </c>
      <c r="O59" s="107">
        <f t="shared" si="1"/>
        <v>8.1510000000000016</v>
      </c>
      <c r="P59" s="107">
        <f t="shared" si="2"/>
        <v>18.447000000000003</v>
      </c>
      <c r="R59" s="107">
        <f t="shared" si="3"/>
        <v>14.597000000000001</v>
      </c>
      <c r="S59" s="107">
        <f t="shared" si="4"/>
        <v>-0.81400000000000028</v>
      </c>
      <c r="T59" s="107">
        <f t="shared" si="5"/>
        <v>9.8010000000000002</v>
      </c>
      <c r="V59" s="107">
        <f t="shared" si="6"/>
        <v>21.295999999999999</v>
      </c>
      <c r="W59" s="107">
        <f t="shared" si="7"/>
        <v>5.5659999999999998</v>
      </c>
      <c r="X59" s="107">
        <f t="shared" si="8"/>
        <v>15.983000000000001</v>
      </c>
      <c r="Z59" s="107">
        <f t="shared" si="9"/>
        <v>13.090000000000002</v>
      </c>
      <c r="AA59" s="107">
        <f t="shared" si="10"/>
        <v>8.4260000000000002</v>
      </c>
      <c r="AB59" s="107">
        <f t="shared" si="11"/>
        <v>30.954000000000004</v>
      </c>
      <c r="AD59" s="107">
        <f t="shared" si="12"/>
        <v>2.9700000000000006</v>
      </c>
      <c r="AE59" s="107">
        <f t="shared" si="13"/>
        <v>9.8560000000000016</v>
      </c>
      <c r="AF59" s="107">
        <f t="shared" si="14"/>
        <v>20.152000000000001</v>
      </c>
      <c r="AH59" s="107">
        <v>4.0199999999999996</v>
      </c>
      <c r="AI59" s="107">
        <v>7.41</v>
      </c>
      <c r="AJ59" s="107">
        <v>16.77</v>
      </c>
      <c r="AK59" s="107">
        <v>13.27</v>
      </c>
      <c r="AL59" s="107">
        <v>-0.74000000000000021</v>
      </c>
      <c r="AM59" s="107">
        <v>8.91</v>
      </c>
      <c r="AN59" s="107">
        <v>19.36</v>
      </c>
      <c r="AO59" s="107">
        <v>5.0599999999999996</v>
      </c>
      <c r="AP59" s="107">
        <v>14.53</v>
      </c>
      <c r="AQ59" s="107">
        <v>11.9</v>
      </c>
      <c r="AR59" s="107">
        <v>7.66</v>
      </c>
      <c r="AS59" s="107">
        <v>28.14</v>
      </c>
      <c r="AT59" s="107">
        <v>2.7</v>
      </c>
      <c r="AU59" s="107">
        <v>8.9600000000000009</v>
      </c>
      <c r="AV59" s="107">
        <v>18.32</v>
      </c>
    </row>
    <row r="60" spans="1:48" ht="30" customHeight="1" outlineLevel="2">
      <c r="A60" s="125" t="s">
        <v>350</v>
      </c>
      <c r="B60" s="131" t="s">
        <v>351</v>
      </c>
      <c r="C60" s="104" t="s">
        <v>253</v>
      </c>
      <c r="E60" s="105">
        <f>MIN(N60,R60,V60,Z60,AD60)</f>
        <v>4.620000000000001</v>
      </c>
      <c r="F60" s="105">
        <f>AVERAGE(N60,R60,V60,Z60,AD60)</f>
        <v>13.758800000000003</v>
      </c>
      <c r="G60" s="105">
        <f>MAX(N60,R60,V60,Z60,AD60)</f>
        <v>21.89</v>
      </c>
      <c r="H60" s="106"/>
      <c r="I60" s="105">
        <f>MIN(T60,X60,AB60,AF60,P60)</f>
        <v>11.154000000000002</v>
      </c>
      <c r="J60" s="105">
        <f>AVERAGE(P60,T60,X60,AB60,AF60)</f>
        <v>23.480600000000003</v>
      </c>
      <c r="K60" s="105">
        <f>MAX(P60,T60,X60,AB60,AF60)</f>
        <v>33.374000000000002</v>
      </c>
      <c r="N60" s="107">
        <f t="shared" si="0"/>
        <v>11.583</v>
      </c>
      <c r="O60" s="107">
        <f t="shared" si="1"/>
        <v>18.161000000000005</v>
      </c>
      <c r="P60" s="107">
        <f t="shared" si="2"/>
        <v>32.461000000000006</v>
      </c>
      <c r="R60" s="107">
        <f t="shared" si="3"/>
        <v>15.499000000000001</v>
      </c>
      <c r="S60" s="107">
        <f t="shared" si="4"/>
        <v>0.35200000000000037</v>
      </c>
      <c r="T60" s="107">
        <f t="shared" si="5"/>
        <v>11.154000000000002</v>
      </c>
      <c r="V60" s="107">
        <f t="shared" si="6"/>
        <v>21.89</v>
      </c>
      <c r="W60" s="107">
        <f t="shared" si="7"/>
        <v>6.5340000000000007</v>
      </c>
      <c r="X60" s="107">
        <f t="shared" si="8"/>
        <v>17.292000000000002</v>
      </c>
      <c r="Z60" s="107">
        <f t="shared" si="9"/>
        <v>15.202000000000002</v>
      </c>
      <c r="AA60" s="107">
        <f t="shared" si="10"/>
        <v>11.385</v>
      </c>
      <c r="AB60" s="107">
        <f t="shared" si="11"/>
        <v>33.374000000000002</v>
      </c>
      <c r="AD60" s="107">
        <f t="shared" si="12"/>
        <v>4.620000000000001</v>
      </c>
      <c r="AE60" s="107">
        <f t="shared" si="13"/>
        <v>12.331000000000001</v>
      </c>
      <c r="AF60" s="107">
        <f t="shared" si="14"/>
        <v>23.122</v>
      </c>
      <c r="AH60" s="107">
        <v>10.53</v>
      </c>
      <c r="AI60" s="107">
        <v>16.510000000000002</v>
      </c>
      <c r="AJ60" s="107">
        <v>29.51</v>
      </c>
      <c r="AK60" s="107">
        <v>14.09</v>
      </c>
      <c r="AL60" s="107">
        <v>0.32000000000000028</v>
      </c>
      <c r="AM60" s="107">
        <v>10.14</v>
      </c>
      <c r="AN60" s="107">
        <v>19.899999999999999</v>
      </c>
      <c r="AO60" s="107">
        <v>5.94</v>
      </c>
      <c r="AP60" s="107">
        <v>15.72</v>
      </c>
      <c r="AQ60" s="107">
        <v>13.82</v>
      </c>
      <c r="AR60" s="107">
        <v>10.35</v>
      </c>
      <c r="AS60" s="107">
        <v>30.34</v>
      </c>
      <c r="AT60" s="107">
        <v>4.2</v>
      </c>
      <c r="AU60" s="107">
        <v>11.21</v>
      </c>
      <c r="AV60" s="107">
        <v>21.02</v>
      </c>
    </row>
    <row r="61" spans="1:48" ht="30" customHeight="1" outlineLevel="2">
      <c r="A61" s="125" t="s">
        <v>352</v>
      </c>
      <c r="B61" s="131" t="s">
        <v>353</v>
      </c>
      <c r="C61" s="104" t="s">
        <v>253</v>
      </c>
      <c r="E61" s="105">
        <f>MIN(N61,R61,V61,Z61,AD61)</f>
        <v>8.822000000000001</v>
      </c>
      <c r="F61" s="105">
        <f>AVERAGE(N61,R61,V61,Z61,AD61)</f>
        <v>24.349600000000002</v>
      </c>
      <c r="G61" s="105">
        <f>MAX(N61,R61,V61,Z61,AD61)</f>
        <v>40.260000000000005</v>
      </c>
      <c r="H61" s="106"/>
      <c r="I61" s="105">
        <f>MIN(T61,X61,AB61,AF61,P61)</f>
        <v>27.071000000000002</v>
      </c>
      <c r="J61" s="105">
        <f>AVERAGE(P61,T61,X61,AB61,AF61)</f>
        <v>45.313400000000001</v>
      </c>
      <c r="K61" s="105">
        <f>MAX(P61,T61,X61,AB61,AF61)</f>
        <v>75.558999999999997</v>
      </c>
      <c r="N61" s="107">
        <f t="shared" si="0"/>
        <v>8.822000000000001</v>
      </c>
      <c r="O61" s="107">
        <f t="shared" si="1"/>
        <v>14.311000000000002</v>
      </c>
      <c r="P61" s="107">
        <f t="shared" si="2"/>
        <v>27.071000000000002</v>
      </c>
      <c r="R61" s="107">
        <f t="shared" si="3"/>
        <v>40.260000000000005</v>
      </c>
      <c r="S61" s="107">
        <f t="shared" si="4"/>
        <v>32.538000000000004</v>
      </c>
      <c r="T61" s="107">
        <f t="shared" si="5"/>
        <v>48.29</v>
      </c>
      <c r="V61" s="107">
        <f t="shared" si="6"/>
        <v>29.689000000000004</v>
      </c>
      <c r="W61" s="107">
        <f t="shared" si="7"/>
        <v>19.162000000000003</v>
      </c>
      <c r="X61" s="107">
        <f t="shared" si="8"/>
        <v>34.331000000000003</v>
      </c>
      <c r="Z61" s="107">
        <f t="shared" si="9"/>
        <v>20.317</v>
      </c>
      <c r="AA61" s="107">
        <f t="shared" si="10"/>
        <v>18.545999999999999</v>
      </c>
      <c r="AB61" s="107">
        <f t="shared" si="11"/>
        <v>41.316000000000003</v>
      </c>
      <c r="AD61" s="107">
        <f t="shared" si="12"/>
        <v>22.660000000000004</v>
      </c>
      <c r="AE61" s="107">
        <f t="shared" si="13"/>
        <v>39.391000000000005</v>
      </c>
      <c r="AF61" s="107">
        <f t="shared" si="14"/>
        <v>75.558999999999997</v>
      </c>
      <c r="AH61" s="107">
        <v>8.02</v>
      </c>
      <c r="AI61" s="107">
        <v>13.01</v>
      </c>
      <c r="AJ61" s="107">
        <v>24.61</v>
      </c>
      <c r="AK61" s="107">
        <v>36.6</v>
      </c>
      <c r="AL61" s="107">
        <v>29.58</v>
      </c>
      <c r="AM61" s="107">
        <v>43.9</v>
      </c>
      <c r="AN61" s="107">
        <v>26.990000000000002</v>
      </c>
      <c r="AO61" s="107">
        <v>17.420000000000002</v>
      </c>
      <c r="AP61" s="107">
        <v>31.21</v>
      </c>
      <c r="AQ61" s="107">
        <v>18.47</v>
      </c>
      <c r="AR61" s="107">
        <v>16.86</v>
      </c>
      <c r="AS61" s="107">
        <v>37.56</v>
      </c>
      <c r="AT61" s="107">
        <v>20.6</v>
      </c>
      <c r="AU61" s="107">
        <v>35.81</v>
      </c>
      <c r="AV61" s="107">
        <v>68.69</v>
      </c>
    </row>
    <row r="62" spans="1:48" ht="30" customHeight="1" outlineLevel="1">
      <c r="A62" s="121" t="s">
        <v>354</v>
      </c>
      <c r="B62" s="122" t="s">
        <v>355</v>
      </c>
      <c r="C62" s="130"/>
      <c r="N62" s="11" t="str">
        <f t="shared" si="0"/>
        <v/>
      </c>
      <c r="O62" s="11" t="str">
        <f t="shared" si="1"/>
        <v/>
      </c>
      <c r="P62" s="11" t="str">
        <f t="shared" si="2"/>
        <v/>
      </c>
      <c r="R62" s="11" t="str">
        <f t="shared" si="3"/>
        <v/>
      </c>
      <c r="S62" s="11" t="str">
        <f t="shared" si="4"/>
        <v/>
      </c>
      <c r="T62" s="11" t="str">
        <f t="shared" si="5"/>
        <v/>
      </c>
      <c r="V62" s="11" t="str">
        <f t="shared" si="6"/>
        <v/>
      </c>
      <c r="W62" s="11" t="str">
        <f t="shared" si="7"/>
        <v/>
      </c>
      <c r="X62" s="11" t="str">
        <f t="shared" si="8"/>
        <v/>
      </c>
      <c r="Z62" s="11" t="str">
        <f t="shared" si="9"/>
        <v/>
      </c>
      <c r="AA62" s="11" t="str">
        <f t="shared" si="10"/>
        <v/>
      </c>
      <c r="AB62" s="11" t="str">
        <f t="shared" si="11"/>
        <v/>
      </c>
      <c r="AD62" s="11" t="str">
        <f t="shared" si="12"/>
        <v/>
      </c>
      <c r="AE62" s="11" t="str">
        <f t="shared" si="13"/>
        <v/>
      </c>
      <c r="AF62" s="11" t="str">
        <f t="shared" si="14"/>
        <v/>
      </c>
    </row>
    <row r="63" spans="1:48" ht="30" customHeight="1" outlineLevel="2">
      <c r="A63" s="125" t="s">
        <v>356</v>
      </c>
      <c r="B63" s="131" t="s">
        <v>357</v>
      </c>
      <c r="C63" s="104" t="s">
        <v>253</v>
      </c>
      <c r="E63" s="105">
        <f>MIN(N63,R63,V63,Z63,AD63)</f>
        <v>8.36</v>
      </c>
      <c r="F63" s="105">
        <f>AVERAGE(N63,R63,V63,Z63,AD63)</f>
        <v>19.496400000000001</v>
      </c>
      <c r="G63" s="105">
        <f>MAX(N63,R63,V63,Z63,AD63)</f>
        <v>34.199000000000005</v>
      </c>
      <c r="H63" s="106"/>
      <c r="I63" s="105">
        <f>MIN(T63,X63,AB63,AF63,P63)</f>
        <v>18.029000000000003</v>
      </c>
      <c r="J63" s="105">
        <f>AVERAGE(P63,T63,X63,AB63,AF63)</f>
        <v>32.377400000000002</v>
      </c>
      <c r="K63" s="105">
        <f>MAX(P63,T63,X63,AB63,AF63)</f>
        <v>48.13600000000001</v>
      </c>
      <c r="N63" s="107">
        <f t="shared" si="0"/>
        <v>10.197000000000001</v>
      </c>
      <c r="O63" s="107">
        <f t="shared" si="1"/>
        <v>13.057</v>
      </c>
      <c r="P63" s="107">
        <f t="shared" si="2"/>
        <v>22.121000000000002</v>
      </c>
      <c r="R63" s="107">
        <f t="shared" si="3"/>
        <v>22.374000000000002</v>
      </c>
      <c r="S63" s="107">
        <f t="shared" si="4"/>
        <v>7.2270000000000012</v>
      </c>
      <c r="T63" s="107">
        <f t="shared" si="5"/>
        <v>18.029000000000003</v>
      </c>
      <c r="V63" s="107">
        <f t="shared" si="6"/>
        <v>34.199000000000005</v>
      </c>
      <c r="W63" s="107">
        <f t="shared" si="7"/>
        <v>26.477000000000004</v>
      </c>
      <c r="X63" s="107">
        <f t="shared" si="8"/>
        <v>44.209000000000003</v>
      </c>
      <c r="Z63" s="107">
        <f t="shared" si="9"/>
        <v>22.352000000000004</v>
      </c>
      <c r="AA63" s="107">
        <f t="shared" si="10"/>
        <v>22.858000000000004</v>
      </c>
      <c r="AB63" s="107">
        <f t="shared" si="11"/>
        <v>48.13600000000001</v>
      </c>
      <c r="AD63" s="107">
        <f t="shared" si="12"/>
        <v>8.36</v>
      </c>
      <c r="AE63" s="107">
        <f t="shared" si="13"/>
        <v>17.655000000000001</v>
      </c>
      <c r="AF63" s="107">
        <f t="shared" si="14"/>
        <v>29.391999999999999</v>
      </c>
      <c r="AH63" s="107">
        <v>9.27</v>
      </c>
      <c r="AI63" s="107">
        <v>11.87</v>
      </c>
      <c r="AJ63" s="107">
        <v>20.11</v>
      </c>
      <c r="AK63" s="107">
        <v>20.34</v>
      </c>
      <c r="AL63" s="107">
        <v>6.57</v>
      </c>
      <c r="AM63" s="107">
        <v>16.39</v>
      </c>
      <c r="AN63" s="107">
        <v>31.09</v>
      </c>
      <c r="AO63" s="107">
        <v>24.07</v>
      </c>
      <c r="AP63" s="107">
        <v>40.19</v>
      </c>
      <c r="AQ63" s="107">
        <v>20.32</v>
      </c>
      <c r="AR63" s="107">
        <v>20.78</v>
      </c>
      <c r="AS63" s="107">
        <v>43.760000000000005</v>
      </c>
      <c r="AT63" s="107">
        <v>7.6</v>
      </c>
      <c r="AU63" s="107">
        <v>16.05</v>
      </c>
      <c r="AV63" s="107">
        <v>26.72</v>
      </c>
    </row>
    <row r="64" spans="1:48" ht="30" customHeight="1" outlineLevel="1">
      <c r="A64" s="127" t="s">
        <v>358</v>
      </c>
      <c r="B64" s="128" t="s">
        <v>359</v>
      </c>
      <c r="C64" s="130"/>
      <c r="N64" s="11" t="str">
        <f t="shared" si="0"/>
        <v/>
      </c>
      <c r="O64" s="11" t="str">
        <f t="shared" si="1"/>
        <v/>
      </c>
      <c r="P64" s="11" t="str">
        <f t="shared" si="2"/>
        <v/>
      </c>
      <c r="R64" s="11" t="str">
        <f t="shared" si="3"/>
        <v/>
      </c>
      <c r="S64" s="11" t="str">
        <f t="shared" si="4"/>
        <v/>
      </c>
      <c r="T64" s="11" t="str">
        <f t="shared" si="5"/>
        <v/>
      </c>
      <c r="V64" s="11" t="str">
        <f t="shared" si="6"/>
        <v/>
      </c>
      <c r="W64" s="11" t="str">
        <f t="shared" si="7"/>
        <v/>
      </c>
      <c r="X64" s="11" t="str">
        <f t="shared" si="8"/>
        <v/>
      </c>
      <c r="Z64" s="11" t="str">
        <f t="shared" si="9"/>
        <v/>
      </c>
      <c r="AA64" s="11" t="str">
        <f t="shared" si="10"/>
        <v/>
      </c>
      <c r="AB64" s="11" t="str">
        <f t="shared" si="11"/>
        <v/>
      </c>
      <c r="AD64" s="11" t="str">
        <f t="shared" si="12"/>
        <v/>
      </c>
      <c r="AE64" s="11" t="str">
        <f t="shared" si="13"/>
        <v/>
      </c>
      <c r="AF64" s="11" t="str">
        <f t="shared" si="14"/>
        <v/>
      </c>
    </row>
    <row r="65" spans="1:48" ht="30" customHeight="1" outlineLevel="2">
      <c r="A65" s="125" t="s">
        <v>360</v>
      </c>
      <c r="B65" s="118" t="s">
        <v>361</v>
      </c>
      <c r="C65" s="104" t="s">
        <v>242</v>
      </c>
      <c r="E65" s="105">
        <f>MIN(N65,R65,V65,Z65,AD65)</f>
        <v>106.85400000000001</v>
      </c>
      <c r="F65" s="105">
        <f>AVERAGE(N65,R65,V65,Z65,AD65)</f>
        <v>177.91180000000003</v>
      </c>
      <c r="G65" s="105">
        <f>MAX(N65,R65,V65,Z65,AD65)</f>
        <v>287.93600000000004</v>
      </c>
      <c r="H65" s="106"/>
      <c r="I65" s="105">
        <f>MIN(T65,X65,AB65,AF65,P65)</f>
        <v>203.09300000000002</v>
      </c>
      <c r="J65" s="105">
        <f>AVERAGE(P65,T65,X65,AB65,AF65)</f>
        <v>333.04260000000005</v>
      </c>
      <c r="K65" s="105">
        <f>MAX(P65,T65,X65,AB65,AF65)</f>
        <v>484.44</v>
      </c>
      <c r="N65" s="107">
        <f t="shared" si="0"/>
        <v>221.39700000000002</v>
      </c>
      <c r="O65" s="107">
        <f t="shared" si="1"/>
        <v>310.13400000000001</v>
      </c>
      <c r="P65" s="107">
        <f t="shared" si="2"/>
        <v>439.95600000000002</v>
      </c>
      <c r="R65" s="107">
        <f t="shared" si="3"/>
        <v>116.072</v>
      </c>
      <c r="S65" s="107">
        <f t="shared" si="4"/>
        <v>131.08700000000002</v>
      </c>
      <c r="T65" s="107">
        <f t="shared" si="5"/>
        <v>239.62400000000002</v>
      </c>
      <c r="V65" s="107">
        <f t="shared" si="6"/>
        <v>106.85400000000001</v>
      </c>
      <c r="W65" s="107">
        <f t="shared" si="7"/>
        <v>144.16600000000003</v>
      </c>
      <c r="X65" s="107">
        <f t="shared" si="8"/>
        <v>203.09300000000002</v>
      </c>
      <c r="Z65" s="107">
        <f t="shared" si="9"/>
        <v>287.93600000000004</v>
      </c>
      <c r="AA65" s="107">
        <f t="shared" si="10"/>
        <v>393.20600000000002</v>
      </c>
      <c r="AB65" s="107">
        <f t="shared" si="11"/>
        <v>484.44</v>
      </c>
      <c r="AD65" s="107">
        <f t="shared" si="12"/>
        <v>157.30000000000001</v>
      </c>
      <c r="AE65" s="107">
        <f t="shared" si="13"/>
        <v>242.00000000000003</v>
      </c>
      <c r="AF65" s="107">
        <f t="shared" si="14"/>
        <v>298.10000000000002</v>
      </c>
      <c r="AH65" s="107">
        <v>201.27</v>
      </c>
      <c r="AI65" s="107">
        <v>281.94</v>
      </c>
      <c r="AJ65" s="107">
        <v>399.96</v>
      </c>
      <c r="AK65" s="107">
        <v>105.52</v>
      </c>
      <c r="AL65" s="107">
        <v>119.17</v>
      </c>
      <c r="AM65" s="107">
        <v>217.84</v>
      </c>
      <c r="AN65" s="107">
        <v>97.14</v>
      </c>
      <c r="AO65" s="107">
        <v>131.06</v>
      </c>
      <c r="AP65" s="107">
        <v>184.63</v>
      </c>
      <c r="AQ65" s="107">
        <v>261.76</v>
      </c>
      <c r="AR65" s="107">
        <v>357.46</v>
      </c>
      <c r="AS65" s="107">
        <v>440.4</v>
      </c>
      <c r="AT65" s="107">
        <v>143</v>
      </c>
      <c r="AU65" s="107">
        <v>220</v>
      </c>
      <c r="AV65" s="107">
        <v>271</v>
      </c>
    </row>
    <row r="66" spans="1:48" ht="30" customHeight="1" outlineLevel="2">
      <c r="A66" s="125" t="s">
        <v>362</v>
      </c>
      <c r="B66" s="118" t="s">
        <v>363</v>
      </c>
      <c r="C66" s="104" t="s">
        <v>242</v>
      </c>
      <c r="E66" s="105">
        <f>MIN(N66,R66,V66,Z66,AD66)</f>
        <v>136.81800000000001</v>
      </c>
      <c r="F66" s="105">
        <f>AVERAGE(N66,R66,V66,Z66,AD66)</f>
        <v>305.28740000000005</v>
      </c>
      <c r="G66" s="105">
        <f>MAX(N66,R66,V66,Z66,AD66)</f>
        <v>441.78200000000004</v>
      </c>
      <c r="H66" s="106"/>
      <c r="I66" s="105">
        <f>MIN(T66,X66,AB66,AF66,P66)</f>
        <v>268.63100000000003</v>
      </c>
      <c r="J66" s="105">
        <f>AVERAGE(P66,T66,X66,AB66,AF66)</f>
        <v>580.33140000000003</v>
      </c>
      <c r="K66" s="105">
        <f>MAX(P66,T66,X66,AB66,AF66)</f>
        <v>871.2</v>
      </c>
      <c r="N66" s="107">
        <f t="shared" si="0"/>
        <v>441.78200000000004</v>
      </c>
      <c r="O66" s="107">
        <f t="shared" si="1"/>
        <v>618.16700000000003</v>
      </c>
      <c r="P66" s="107">
        <f t="shared" si="2"/>
        <v>871.2</v>
      </c>
      <c r="R66" s="107">
        <f t="shared" si="3"/>
        <v>238.64500000000001</v>
      </c>
      <c r="S66" s="107">
        <f t="shared" si="4"/>
        <v>290.43299999999999</v>
      </c>
      <c r="T66" s="107">
        <f t="shared" si="5"/>
        <v>514.05200000000002</v>
      </c>
      <c r="V66" s="107">
        <f t="shared" si="6"/>
        <v>136.81800000000001</v>
      </c>
      <c r="W66" s="107">
        <f t="shared" si="7"/>
        <v>192.709</v>
      </c>
      <c r="X66" s="107">
        <f t="shared" si="8"/>
        <v>268.63100000000003</v>
      </c>
      <c r="Z66" s="107">
        <f t="shared" si="9"/>
        <v>353.89200000000005</v>
      </c>
      <c r="AA66" s="107">
        <f t="shared" si="10"/>
        <v>485.55100000000004</v>
      </c>
      <c r="AB66" s="107">
        <f t="shared" si="11"/>
        <v>593.27400000000011</v>
      </c>
      <c r="AD66" s="107">
        <f t="shared" si="12"/>
        <v>355.3</v>
      </c>
      <c r="AE66" s="107">
        <f t="shared" si="13"/>
        <v>539</v>
      </c>
      <c r="AF66" s="107">
        <f t="shared" si="14"/>
        <v>654.5</v>
      </c>
      <c r="AH66" s="107">
        <v>401.62</v>
      </c>
      <c r="AI66" s="107">
        <v>561.97</v>
      </c>
      <c r="AJ66" s="107">
        <v>792</v>
      </c>
      <c r="AK66" s="107">
        <v>216.95</v>
      </c>
      <c r="AL66" s="107">
        <v>264.02999999999997</v>
      </c>
      <c r="AM66" s="107">
        <v>467.32</v>
      </c>
      <c r="AN66" s="107">
        <v>124.38</v>
      </c>
      <c r="AO66" s="107">
        <v>175.19</v>
      </c>
      <c r="AP66" s="107">
        <v>244.21</v>
      </c>
      <c r="AQ66" s="107">
        <v>321.72000000000003</v>
      </c>
      <c r="AR66" s="107">
        <v>441.41</v>
      </c>
      <c r="AS66" s="107">
        <v>539.34</v>
      </c>
      <c r="AT66" s="107">
        <v>323</v>
      </c>
      <c r="AU66" s="107">
        <v>490</v>
      </c>
      <c r="AV66" s="107">
        <v>595</v>
      </c>
    </row>
    <row r="67" spans="1:48" ht="30" customHeight="1" outlineLevel="2">
      <c r="A67" s="125" t="s">
        <v>364</v>
      </c>
      <c r="B67" s="118" t="s">
        <v>365</v>
      </c>
      <c r="C67" s="104" t="s">
        <v>242</v>
      </c>
      <c r="E67" s="105">
        <f>MIN(N67,R67,V67,Z67,AD67)</f>
        <v>166.804</v>
      </c>
      <c r="F67" s="105">
        <f>AVERAGE(N67,R67,V67,Z67,AD67)</f>
        <v>576.63980000000015</v>
      </c>
      <c r="G67" s="105">
        <f>MAX(N67,R67,V67,Z67,AD67)</f>
        <v>1158.0250000000001</v>
      </c>
      <c r="H67" s="106"/>
      <c r="I67" s="105">
        <f>MIN(T67,X67,AB67,AF67,P67)</f>
        <v>334.21300000000002</v>
      </c>
      <c r="J67" s="105">
        <f>AVERAGE(P67,T67,X67,AB67,AF67)</f>
        <v>1102.0504000000001</v>
      </c>
      <c r="K67" s="105">
        <f>MAX(P67,T67,X67,AB67,AF67)</f>
        <v>2272.7430000000004</v>
      </c>
      <c r="N67" s="107">
        <f t="shared" si="0"/>
        <v>1158.0250000000001</v>
      </c>
      <c r="O67" s="107">
        <f t="shared" si="1"/>
        <v>1619.277</v>
      </c>
      <c r="P67" s="107">
        <f t="shared" si="2"/>
        <v>2272.7430000000004</v>
      </c>
      <c r="R67" s="107">
        <f t="shared" si="3"/>
        <v>343.70600000000002</v>
      </c>
      <c r="S67" s="107">
        <f t="shared" si="4"/>
        <v>427.02000000000004</v>
      </c>
      <c r="T67" s="107">
        <f t="shared" si="5"/>
        <v>749.27600000000007</v>
      </c>
      <c r="V67" s="107">
        <f t="shared" si="6"/>
        <v>166.804</v>
      </c>
      <c r="W67" s="107">
        <f t="shared" si="7"/>
        <v>241.28500000000003</v>
      </c>
      <c r="X67" s="107">
        <f t="shared" si="8"/>
        <v>334.21300000000002</v>
      </c>
      <c r="Z67" s="107">
        <f t="shared" si="9"/>
        <v>376.46400000000006</v>
      </c>
      <c r="AA67" s="107">
        <f t="shared" si="10"/>
        <v>517.154</v>
      </c>
      <c r="AB67" s="107">
        <f t="shared" si="11"/>
        <v>630.5200000000001</v>
      </c>
      <c r="AD67" s="107">
        <f t="shared" si="12"/>
        <v>838.2</v>
      </c>
      <c r="AE67" s="107">
        <f t="shared" si="13"/>
        <v>1262.8000000000002</v>
      </c>
      <c r="AF67" s="107">
        <f t="shared" si="14"/>
        <v>1523.5000000000002</v>
      </c>
      <c r="AH67" s="107">
        <v>1052.75</v>
      </c>
      <c r="AI67" s="107">
        <v>1472.07</v>
      </c>
      <c r="AJ67" s="107">
        <v>2066.13</v>
      </c>
      <c r="AK67" s="107">
        <v>312.45999999999998</v>
      </c>
      <c r="AL67" s="107">
        <v>388.2</v>
      </c>
      <c r="AM67" s="107">
        <v>681.16</v>
      </c>
      <c r="AN67" s="107">
        <v>151.63999999999999</v>
      </c>
      <c r="AO67" s="107">
        <v>219.35</v>
      </c>
      <c r="AP67" s="107">
        <v>303.83</v>
      </c>
      <c r="AQ67" s="107">
        <v>342.24</v>
      </c>
      <c r="AR67" s="107">
        <v>470.14</v>
      </c>
      <c r="AS67" s="107">
        <v>573.20000000000005</v>
      </c>
      <c r="AT67" s="107">
        <v>762</v>
      </c>
      <c r="AU67" s="107">
        <v>1148</v>
      </c>
      <c r="AV67" s="107">
        <v>1385</v>
      </c>
    </row>
    <row r="68" spans="1:48" ht="30" customHeight="1" outlineLevel="2">
      <c r="A68" s="125" t="s">
        <v>366</v>
      </c>
      <c r="B68" s="118" t="s">
        <v>367</v>
      </c>
      <c r="C68" s="104" t="s">
        <v>242</v>
      </c>
      <c r="E68" s="105">
        <f>MIN(N68,R68,V68,Z68,AD68)</f>
        <v>196.768</v>
      </c>
      <c r="F68" s="105">
        <f>AVERAGE(N68,R68,V68,Z68,AD68)</f>
        <v>950.36480000000006</v>
      </c>
      <c r="G68" s="105">
        <f>MAX(N68,R68,V68,Z68,AD68)</f>
        <v>1929.3780000000002</v>
      </c>
      <c r="H68" s="106"/>
      <c r="I68" s="105">
        <f>MIN(T68,X68,AB68,AF68,P68)</f>
        <v>399.72900000000004</v>
      </c>
      <c r="J68" s="105">
        <f>AVERAGE(P68,T68,X68,AB68,AF68)</f>
        <v>1815.1716000000004</v>
      </c>
      <c r="K68" s="105">
        <f>MAX(P68,T68,X68,AB68,AF68)</f>
        <v>3782.0970000000002</v>
      </c>
      <c r="N68" s="107">
        <f t="shared" ref="N68:N131" si="27" xml:space="preserve"> IF(ISBLANK(AH68),"",_k_EIFFAGE * AH68)</f>
        <v>1929.3780000000002</v>
      </c>
      <c r="O68" s="107">
        <f t="shared" ref="O68:O131" si="28" xml:space="preserve"> IF(ISBLANK(AI68),"",_k_EIFFAGE * AI68)</f>
        <v>2697.3870000000002</v>
      </c>
      <c r="P68" s="107">
        <f t="shared" ref="P68:P131" si="29" xml:space="preserve"> IF(ISBLANK(AJ68),"",_k_EIFFAGE * AJ68)</f>
        <v>3782.0970000000002</v>
      </c>
      <c r="R68" s="107">
        <f t="shared" ref="R68:R131" si="30" xml:space="preserve"> IF(ISBLANK(AK68),"",_k_ERI * AK68)</f>
        <v>501.31400000000008</v>
      </c>
      <c r="S68" s="107">
        <f t="shared" ref="S68:S131" si="31" xml:space="preserve"> IF(ISBLANK(AL68),"",_k_ERI * AL68)</f>
        <v>631.90600000000006</v>
      </c>
      <c r="T68" s="107">
        <f t="shared" ref="T68:T131" si="32" xml:space="preserve"> IF(ISBLANK(AM68),"",_k_ERI * AM68)</f>
        <v>1102.1120000000001</v>
      </c>
      <c r="V68" s="107">
        <f t="shared" ref="V68:V131" si="33" xml:space="preserve"> IF(ISBLANK(AN68),"",_k_INEO * AN68)</f>
        <v>196.768</v>
      </c>
      <c r="W68" s="107">
        <f t="shared" ref="W68:W131" si="34" xml:space="preserve"> IF(ISBLANK(AO68),"",_k_INEO * AO68)</f>
        <v>289.82800000000003</v>
      </c>
      <c r="X68" s="107">
        <f t="shared" ref="X68:X131" si="35" xml:space="preserve"> IF(ISBLANK(AP68),"",_k_INEO * AP68)</f>
        <v>399.72900000000004</v>
      </c>
      <c r="Z68" s="107">
        <f t="shared" ref="Z68:Z131" si="36" xml:space="preserve"> IF(ISBLANK(AQ68),"",_k_SDEL * AQ68)</f>
        <v>376.46400000000006</v>
      </c>
      <c r="AA68" s="107">
        <f t="shared" ref="AA68:AA131" si="37" xml:space="preserve"> IF(ISBLANK(AR68),"",_k_SDEL * AR68)</f>
        <v>517.154</v>
      </c>
      <c r="AB68" s="107">
        <f t="shared" ref="AB68:AB131" si="38" xml:space="preserve"> IF(ISBLANK(AS68),"",_k_SDEL * AS68)</f>
        <v>630.5200000000001</v>
      </c>
      <c r="AD68" s="107">
        <f t="shared" ref="AD68:AD131" si="39" xml:space="preserve"> IF(ISBLANK(AT68),"",_k_SOGETREL * AT68)</f>
        <v>1747.9</v>
      </c>
      <c r="AE68" s="107">
        <f t="shared" ref="AE68:AE131" si="40" xml:space="preserve"> IF(ISBLANK(AU68),"",_k_SOGETREL * AU68)</f>
        <v>2627.9</v>
      </c>
      <c r="AF68" s="107">
        <f t="shared" ref="AF68:AF131" si="41" xml:space="preserve"> IF(ISBLANK(AV68),"",_k_SOGETREL * AV68)</f>
        <v>3161.4</v>
      </c>
      <c r="AH68" s="107">
        <v>1753.98</v>
      </c>
      <c r="AI68" s="107">
        <v>2452.17</v>
      </c>
      <c r="AJ68" s="107">
        <v>3438.27</v>
      </c>
      <c r="AK68" s="107">
        <v>455.74</v>
      </c>
      <c r="AL68" s="107">
        <v>574.46</v>
      </c>
      <c r="AM68" s="107">
        <v>1001.92</v>
      </c>
      <c r="AN68" s="107">
        <v>178.88</v>
      </c>
      <c r="AO68" s="107">
        <v>263.48</v>
      </c>
      <c r="AP68" s="107">
        <v>363.39</v>
      </c>
      <c r="AQ68" s="107">
        <v>342.24</v>
      </c>
      <c r="AR68" s="107">
        <v>470.14</v>
      </c>
      <c r="AS68" s="107">
        <v>573.20000000000005</v>
      </c>
      <c r="AT68" s="107">
        <v>1589</v>
      </c>
      <c r="AU68" s="107">
        <v>2389</v>
      </c>
      <c r="AV68" s="107">
        <v>2874</v>
      </c>
    </row>
    <row r="69" spans="1:48" ht="30" customHeight="1" outlineLevel="1">
      <c r="A69" s="121" t="s">
        <v>368</v>
      </c>
      <c r="B69" s="122" t="s">
        <v>369</v>
      </c>
      <c r="C69" s="123"/>
      <c r="N69" s="11" t="str">
        <f t="shared" si="27"/>
        <v/>
      </c>
      <c r="O69" s="11" t="str">
        <f t="shared" si="28"/>
        <v/>
      </c>
      <c r="P69" s="11" t="str">
        <f t="shared" si="29"/>
        <v/>
      </c>
      <c r="R69" s="11" t="str">
        <f t="shared" si="30"/>
        <v/>
      </c>
      <c r="S69" s="11" t="str">
        <f t="shared" si="31"/>
        <v/>
      </c>
      <c r="T69" s="11" t="str">
        <f t="shared" si="32"/>
        <v/>
      </c>
      <c r="V69" s="11" t="str">
        <f t="shared" si="33"/>
        <v/>
      </c>
      <c r="W69" s="11" t="str">
        <f t="shared" si="34"/>
        <v/>
      </c>
      <c r="X69" s="11" t="str">
        <f t="shared" si="35"/>
        <v/>
      </c>
      <c r="Z69" s="11" t="str">
        <f t="shared" si="36"/>
        <v/>
      </c>
      <c r="AA69" s="11" t="str">
        <f t="shared" si="37"/>
        <v/>
      </c>
      <c r="AB69" s="11" t="str">
        <f t="shared" si="38"/>
        <v/>
      </c>
      <c r="AD69" s="11" t="str">
        <f t="shared" si="39"/>
        <v/>
      </c>
      <c r="AE69" s="11" t="str">
        <f t="shared" si="40"/>
        <v/>
      </c>
      <c r="AF69" s="11" t="str">
        <f t="shared" si="41"/>
        <v/>
      </c>
    </row>
    <row r="70" spans="1:48" ht="30" customHeight="1" outlineLevel="2">
      <c r="A70" s="125" t="s">
        <v>370</v>
      </c>
      <c r="B70" s="118" t="s">
        <v>371</v>
      </c>
      <c r="C70" s="104" t="s">
        <v>242</v>
      </c>
      <c r="E70" s="105">
        <f>MIN(N70,R70,V70,Z70,AD70)</f>
        <v>106.85400000000001</v>
      </c>
      <c r="F70" s="105">
        <f>AVERAGE(N70,R70,V70,Z70,AD70)</f>
        <v>155.68520000000001</v>
      </c>
      <c r="G70" s="105">
        <f>MAX(N70,R70,V70,Z70,AD70)</f>
        <v>241.80200000000002</v>
      </c>
      <c r="H70" s="106"/>
      <c r="I70" s="105">
        <f>MIN(T70,X70,AB70,AF70,P70)</f>
        <v>203.09300000000002</v>
      </c>
      <c r="J70" s="105">
        <f>AVERAGE(P70,T70,X70,AB70,AF70)</f>
        <v>292.7364</v>
      </c>
      <c r="K70" s="105">
        <f>MAX(P70,T70,X70,AB70,AF70)</f>
        <v>408.32</v>
      </c>
      <c r="N70" s="107">
        <f t="shared" si="27"/>
        <v>166.29800000000003</v>
      </c>
      <c r="O70" s="107">
        <f t="shared" si="28"/>
        <v>233.13400000000001</v>
      </c>
      <c r="P70" s="107">
        <f t="shared" si="29"/>
        <v>332.14500000000004</v>
      </c>
      <c r="R70" s="107">
        <f t="shared" si="30"/>
        <v>116.072</v>
      </c>
      <c r="S70" s="107">
        <f t="shared" si="31"/>
        <v>131.08700000000002</v>
      </c>
      <c r="T70" s="107">
        <f t="shared" si="32"/>
        <v>239.62400000000002</v>
      </c>
      <c r="V70" s="107">
        <f t="shared" si="33"/>
        <v>106.85400000000001</v>
      </c>
      <c r="W70" s="107">
        <f t="shared" si="34"/>
        <v>144.16600000000003</v>
      </c>
      <c r="X70" s="107">
        <f t="shared" si="35"/>
        <v>203.09300000000002</v>
      </c>
      <c r="Z70" s="107">
        <f t="shared" si="36"/>
        <v>241.80200000000002</v>
      </c>
      <c r="AA70" s="107">
        <f t="shared" si="37"/>
        <v>328.625</v>
      </c>
      <c r="AB70" s="107">
        <f t="shared" si="38"/>
        <v>408.32</v>
      </c>
      <c r="AD70" s="107">
        <f t="shared" si="39"/>
        <v>147.4</v>
      </c>
      <c r="AE70" s="107">
        <f t="shared" si="40"/>
        <v>226.60000000000002</v>
      </c>
      <c r="AF70" s="107">
        <f t="shared" si="41"/>
        <v>280.5</v>
      </c>
      <c r="AH70" s="107">
        <v>151.18</v>
      </c>
      <c r="AI70" s="107">
        <v>211.94</v>
      </c>
      <c r="AJ70" s="107">
        <v>301.95</v>
      </c>
      <c r="AK70" s="107">
        <v>105.52</v>
      </c>
      <c r="AL70" s="107">
        <v>119.17</v>
      </c>
      <c r="AM70" s="107">
        <v>217.84</v>
      </c>
      <c r="AN70" s="107">
        <v>97.14</v>
      </c>
      <c r="AO70" s="107">
        <v>131.06</v>
      </c>
      <c r="AP70" s="107">
        <v>184.63</v>
      </c>
      <c r="AQ70" s="107">
        <v>219.82</v>
      </c>
      <c r="AR70" s="107">
        <v>298.75</v>
      </c>
      <c r="AS70" s="107">
        <v>371.2</v>
      </c>
      <c r="AT70" s="107">
        <v>134</v>
      </c>
      <c r="AU70" s="107">
        <v>206</v>
      </c>
      <c r="AV70" s="107">
        <v>255</v>
      </c>
    </row>
    <row r="71" spans="1:48" ht="30" customHeight="1" outlineLevel="2">
      <c r="A71" s="125" t="s">
        <v>372</v>
      </c>
      <c r="B71" s="118" t="s">
        <v>373</v>
      </c>
      <c r="C71" s="104" t="s">
        <v>242</v>
      </c>
      <c r="E71" s="105">
        <f>MIN(N71,R71,V71,Z71,AD71)</f>
        <v>124.82800000000002</v>
      </c>
      <c r="F71" s="105">
        <f>AVERAGE(N71,R71,V71,Z71,AD71)</f>
        <v>240.34560000000002</v>
      </c>
      <c r="G71" s="105">
        <f>MAX(N71,R71,V71,Z71,AD71)</f>
        <v>355.3</v>
      </c>
      <c r="H71" s="106"/>
      <c r="I71" s="105">
        <f>MIN(T71,X71,AB71,AF71,P71)</f>
        <v>242.41800000000001</v>
      </c>
      <c r="J71" s="105">
        <f>AVERAGE(P71,T71,X71,AB71,AF71)</f>
        <v>458.37</v>
      </c>
      <c r="K71" s="105">
        <f>MAX(P71,T71,X71,AB71,AF71)</f>
        <v>654.5</v>
      </c>
      <c r="N71" s="107">
        <f t="shared" si="27"/>
        <v>221.39700000000002</v>
      </c>
      <c r="O71" s="107">
        <f t="shared" si="28"/>
        <v>310.13400000000001</v>
      </c>
      <c r="P71" s="107">
        <f t="shared" si="29"/>
        <v>439.95600000000002</v>
      </c>
      <c r="R71" s="107">
        <f t="shared" si="30"/>
        <v>238.64500000000001</v>
      </c>
      <c r="S71" s="107">
        <f t="shared" si="31"/>
        <v>290.43299999999999</v>
      </c>
      <c r="T71" s="107">
        <f t="shared" si="32"/>
        <v>514.05200000000002</v>
      </c>
      <c r="V71" s="107">
        <f t="shared" si="33"/>
        <v>124.82800000000002</v>
      </c>
      <c r="W71" s="107">
        <f t="shared" si="34"/>
        <v>173.29400000000001</v>
      </c>
      <c r="X71" s="107">
        <f t="shared" si="35"/>
        <v>242.41800000000001</v>
      </c>
      <c r="Z71" s="107">
        <f t="shared" si="36"/>
        <v>261.55800000000005</v>
      </c>
      <c r="AA71" s="107">
        <f t="shared" si="37"/>
        <v>356.279</v>
      </c>
      <c r="AB71" s="107">
        <f t="shared" si="38"/>
        <v>440.92400000000004</v>
      </c>
      <c r="AD71" s="107">
        <f t="shared" si="39"/>
        <v>355.3</v>
      </c>
      <c r="AE71" s="107">
        <f t="shared" si="40"/>
        <v>539</v>
      </c>
      <c r="AF71" s="107">
        <f t="shared" si="41"/>
        <v>654.5</v>
      </c>
      <c r="AH71" s="107">
        <v>201.27</v>
      </c>
      <c r="AI71" s="107">
        <v>281.94</v>
      </c>
      <c r="AJ71" s="107">
        <v>399.96</v>
      </c>
      <c r="AK71" s="107">
        <v>216.95</v>
      </c>
      <c r="AL71" s="107">
        <v>264.02999999999997</v>
      </c>
      <c r="AM71" s="107">
        <v>467.32</v>
      </c>
      <c r="AN71" s="107">
        <v>113.48</v>
      </c>
      <c r="AO71" s="107">
        <v>157.54</v>
      </c>
      <c r="AP71" s="107">
        <v>220.38</v>
      </c>
      <c r="AQ71" s="107">
        <v>237.78</v>
      </c>
      <c r="AR71" s="107">
        <v>323.89</v>
      </c>
      <c r="AS71" s="107">
        <v>400.84</v>
      </c>
      <c r="AT71" s="107">
        <v>323</v>
      </c>
      <c r="AU71" s="107">
        <v>490</v>
      </c>
      <c r="AV71" s="107">
        <v>595</v>
      </c>
    </row>
    <row r="72" spans="1:48" ht="30" customHeight="1" outlineLevel="2">
      <c r="A72" s="125" t="s">
        <v>374</v>
      </c>
      <c r="B72" s="118" t="s">
        <v>375</v>
      </c>
      <c r="C72" s="104" t="s">
        <v>242</v>
      </c>
      <c r="E72" s="105">
        <f>MIN(N72,R72,V72,Z72,AD72)</f>
        <v>142.81299999999999</v>
      </c>
      <c r="F72" s="105">
        <f>AVERAGE(N72,R72,V72,Z72,AD72)</f>
        <v>351.94720000000007</v>
      </c>
      <c r="G72" s="105">
        <f>MAX(N72,R72,V72,Z72,AD72)</f>
        <v>712.80000000000007</v>
      </c>
      <c r="H72" s="106"/>
      <c r="I72" s="105">
        <f>MIN(T72,X72,AB72,AF72,P72)</f>
        <v>281.73200000000003</v>
      </c>
      <c r="J72" s="105">
        <f>AVERAGE(P72,T72,X72,AB72,AF72)</f>
        <v>668.11360000000002</v>
      </c>
      <c r="K72" s="105">
        <f>MAX(P72,T72,X72,AB72,AF72)</f>
        <v>1298</v>
      </c>
      <c r="N72" s="107">
        <f t="shared" si="27"/>
        <v>331.584</v>
      </c>
      <c r="O72" s="107">
        <f t="shared" si="28"/>
        <v>464.15600000000001</v>
      </c>
      <c r="P72" s="107">
        <f t="shared" si="29"/>
        <v>655.57800000000009</v>
      </c>
      <c r="R72" s="107">
        <f t="shared" si="30"/>
        <v>291.18100000000004</v>
      </c>
      <c r="S72" s="107">
        <f t="shared" si="31"/>
        <v>358.73200000000003</v>
      </c>
      <c r="T72" s="107">
        <f t="shared" si="32"/>
        <v>631.6640000000001</v>
      </c>
      <c r="V72" s="107">
        <f t="shared" si="33"/>
        <v>142.81299999999999</v>
      </c>
      <c r="W72" s="107">
        <f t="shared" si="34"/>
        <v>202.42200000000003</v>
      </c>
      <c r="X72" s="107">
        <f t="shared" si="35"/>
        <v>281.73200000000003</v>
      </c>
      <c r="Z72" s="107">
        <f t="shared" si="36"/>
        <v>281.358</v>
      </c>
      <c r="AA72" s="107">
        <f t="shared" si="37"/>
        <v>383.99900000000002</v>
      </c>
      <c r="AB72" s="107">
        <f t="shared" si="38"/>
        <v>473.59400000000005</v>
      </c>
      <c r="AD72" s="107">
        <f t="shared" si="39"/>
        <v>712.80000000000007</v>
      </c>
      <c r="AE72" s="107">
        <f t="shared" si="40"/>
        <v>1074.7</v>
      </c>
      <c r="AF72" s="107">
        <f t="shared" si="41"/>
        <v>1298</v>
      </c>
      <c r="AH72" s="107">
        <v>301.44</v>
      </c>
      <c r="AI72" s="107">
        <v>421.96</v>
      </c>
      <c r="AJ72" s="107">
        <v>595.98</v>
      </c>
      <c r="AK72" s="107">
        <v>264.71000000000004</v>
      </c>
      <c r="AL72" s="107">
        <v>326.12</v>
      </c>
      <c r="AM72" s="107">
        <v>574.24</v>
      </c>
      <c r="AN72" s="107">
        <v>129.82999999999998</v>
      </c>
      <c r="AO72" s="107">
        <v>184.02</v>
      </c>
      <c r="AP72" s="107">
        <v>256.12</v>
      </c>
      <c r="AQ72" s="107">
        <v>255.78</v>
      </c>
      <c r="AR72" s="107">
        <v>349.09</v>
      </c>
      <c r="AS72" s="107">
        <v>430.54</v>
      </c>
      <c r="AT72" s="107">
        <v>648</v>
      </c>
      <c r="AU72" s="107">
        <v>977</v>
      </c>
      <c r="AV72" s="107">
        <v>1180</v>
      </c>
    </row>
    <row r="73" spans="1:48" ht="30" customHeight="1" outlineLevel="1">
      <c r="A73" s="121" t="s">
        <v>376</v>
      </c>
      <c r="B73" s="122" t="s">
        <v>377</v>
      </c>
      <c r="C73" s="130"/>
      <c r="N73" s="11" t="str">
        <f t="shared" si="27"/>
        <v/>
      </c>
      <c r="O73" s="11" t="str">
        <f t="shared" si="28"/>
        <v/>
      </c>
      <c r="P73" s="11" t="str">
        <f t="shared" si="29"/>
        <v/>
      </c>
      <c r="R73" s="11" t="str">
        <f t="shared" si="30"/>
        <v/>
      </c>
      <c r="S73" s="11" t="str">
        <f t="shared" si="31"/>
        <v/>
      </c>
      <c r="T73" s="11" t="str">
        <f t="shared" si="32"/>
        <v/>
      </c>
      <c r="V73" s="11" t="str">
        <f t="shared" si="33"/>
        <v/>
      </c>
      <c r="W73" s="11" t="str">
        <f t="shared" si="34"/>
        <v/>
      </c>
      <c r="X73" s="11" t="str">
        <f t="shared" si="35"/>
        <v/>
      </c>
      <c r="Z73" s="11" t="str">
        <f t="shared" si="36"/>
        <v/>
      </c>
      <c r="AA73" s="11" t="str">
        <f t="shared" si="37"/>
        <v/>
      </c>
      <c r="AB73" s="11" t="str">
        <f t="shared" si="38"/>
        <v/>
      </c>
      <c r="AD73" s="11" t="str">
        <f t="shared" si="39"/>
        <v/>
      </c>
      <c r="AE73" s="11" t="str">
        <f t="shared" si="40"/>
        <v/>
      </c>
      <c r="AF73" s="11" t="str">
        <f t="shared" si="41"/>
        <v/>
      </c>
    </row>
    <row r="74" spans="1:48" ht="30" customHeight="1" outlineLevel="2">
      <c r="A74" s="125" t="s">
        <v>378</v>
      </c>
      <c r="B74" s="118" t="s">
        <v>379</v>
      </c>
      <c r="C74" s="104" t="s">
        <v>242</v>
      </c>
      <c r="E74" s="105">
        <f>MIN(N74,R74,V74,Z74,AD74)</f>
        <v>106.85400000000001</v>
      </c>
      <c r="F74" s="105">
        <f>AVERAGE(N74,R74,V74,Z74,AD74)</f>
        <v>195.6592</v>
      </c>
      <c r="G74" s="105">
        <f>MAX(N74,R74,V74,Z74,AD74)</f>
        <v>287.93600000000004</v>
      </c>
      <c r="H74" s="106"/>
      <c r="I74" s="105">
        <f>MIN(T74,X74,AB74,AF74,P74)</f>
        <v>203.09300000000002</v>
      </c>
      <c r="J74" s="105">
        <f>AVERAGE(P74,T74,X74,AB74,AF74)</f>
        <v>371.22580000000005</v>
      </c>
      <c r="K74" s="105">
        <f>MAX(P74,T74,X74,AB74,AF74)</f>
        <v>484.44</v>
      </c>
      <c r="N74" s="107">
        <f t="shared" si="27"/>
        <v>221.39700000000002</v>
      </c>
      <c r="O74" s="107">
        <f t="shared" si="28"/>
        <v>310.13400000000001</v>
      </c>
      <c r="P74" s="107">
        <f t="shared" si="29"/>
        <v>439.95600000000002</v>
      </c>
      <c r="R74" s="107">
        <f t="shared" si="30"/>
        <v>186.10900000000001</v>
      </c>
      <c r="S74" s="107">
        <f t="shared" si="31"/>
        <v>222.14500000000001</v>
      </c>
      <c r="T74" s="107">
        <f t="shared" si="32"/>
        <v>396.44</v>
      </c>
      <c r="V74" s="107">
        <f t="shared" si="33"/>
        <v>106.85400000000001</v>
      </c>
      <c r="W74" s="107">
        <f t="shared" si="34"/>
        <v>144.16600000000003</v>
      </c>
      <c r="X74" s="107">
        <f t="shared" si="35"/>
        <v>203.09300000000002</v>
      </c>
      <c r="Z74" s="107">
        <f t="shared" si="36"/>
        <v>287.93600000000004</v>
      </c>
      <c r="AA74" s="107">
        <f t="shared" si="37"/>
        <v>393.20600000000002</v>
      </c>
      <c r="AB74" s="107">
        <f t="shared" si="38"/>
        <v>484.44</v>
      </c>
      <c r="AD74" s="107">
        <f t="shared" si="39"/>
        <v>176</v>
      </c>
      <c r="AE74" s="107">
        <f t="shared" si="40"/>
        <v>269.5</v>
      </c>
      <c r="AF74" s="107">
        <f t="shared" si="41"/>
        <v>332.20000000000005</v>
      </c>
      <c r="AH74" s="107">
        <v>201.27</v>
      </c>
      <c r="AI74" s="107">
        <v>281.94</v>
      </c>
      <c r="AJ74" s="107">
        <v>399.96</v>
      </c>
      <c r="AK74" s="107">
        <v>169.19</v>
      </c>
      <c r="AL74" s="107">
        <v>201.95</v>
      </c>
      <c r="AM74" s="107">
        <v>360.4</v>
      </c>
      <c r="AN74" s="107">
        <v>97.14</v>
      </c>
      <c r="AO74" s="107">
        <v>131.06</v>
      </c>
      <c r="AP74" s="107">
        <v>184.63</v>
      </c>
      <c r="AQ74" s="107">
        <v>261.76</v>
      </c>
      <c r="AR74" s="107">
        <v>357.46</v>
      </c>
      <c r="AS74" s="107">
        <v>440.4</v>
      </c>
      <c r="AT74" s="107">
        <v>160</v>
      </c>
      <c r="AU74" s="107">
        <v>245</v>
      </c>
      <c r="AV74" s="107">
        <v>302</v>
      </c>
    </row>
    <row r="75" spans="1:48" ht="30" customHeight="1" outlineLevel="2">
      <c r="A75" s="125" t="s">
        <v>380</v>
      </c>
      <c r="B75" s="118" t="s">
        <v>381</v>
      </c>
      <c r="C75" s="104" t="s">
        <v>242</v>
      </c>
      <c r="E75" s="105">
        <f>MIN(N75,R75,V75,Z75,AD75)</f>
        <v>136.81800000000001</v>
      </c>
      <c r="F75" s="105">
        <f>AVERAGE(N75,R75,V75,Z75,AD75)</f>
        <v>264.88220000000001</v>
      </c>
      <c r="G75" s="105">
        <f>MAX(N75,R75,V75,Z75,AD75)</f>
        <v>355.3</v>
      </c>
      <c r="H75" s="106"/>
      <c r="I75" s="105">
        <f>MIN(T75,X75,AB75,AF75,P75)</f>
        <v>268.63100000000003</v>
      </c>
      <c r="J75" s="105">
        <f>AVERAGE(P75,T75,X75,AB75,AF75)</f>
        <v>503.19060000000007</v>
      </c>
      <c r="K75" s="105">
        <f>MAX(P75,T75,X75,AB75,AF75)</f>
        <v>655.57800000000009</v>
      </c>
      <c r="N75" s="107">
        <f t="shared" si="27"/>
        <v>331.584</v>
      </c>
      <c r="O75" s="107">
        <f t="shared" si="28"/>
        <v>464.15600000000001</v>
      </c>
      <c r="P75" s="107">
        <f t="shared" si="29"/>
        <v>655.57800000000009</v>
      </c>
      <c r="R75" s="107">
        <f t="shared" si="30"/>
        <v>207.13000000000002</v>
      </c>
      <c r="S75" s="107">
        <f t="shared" si="31"/>
        <v>249.45800000000003</v>
      </c>
      <c r="T75" s="107">
        <f t="shared" si="32"/>
        <v>443.48700000000008</v>
      </c>
      <c r="V75" s="107">
        <f t="shared" si="33"/>
        <v>136.81800000000001</v>
      </c>
      <c r="W75" s="107">
        <f t="shared" si="34"/>
        <v>192.709</v>
      </c>
      <c r="X75" s="107">
        <f t="shared" si="35"/>
        <v>268.63100000000003</v>
      </c>
      <c r="Z75" s="107">
        <f t="shared" si="36"/>
        <v>293.57900000000001</v>
      </c>
      <c r="AA75" s="107">
        <f t="shared" si="37"/>
        <v>401.11500000000001</v>
      </c>
      <c r="AB75" s="107">
        <f t="shared" si="38"/>
        <v>493.75700000000006</v>
      </c>
      <c r="AD75" s="107">
        <f t="shared" si="39"/>
        <v>355.3</v>
      </c>
      <c r="AE75" s="107">
        <f t="shared" si="40"/>
        <v>539</v>
      </c>
      <c r="AF75" s="107">
        <f t="shared" si="41"/>
        <v>654.5</v>
      </c>
      <c r="AH75" s="107">
        <v>301.44</v>
      </c>
      <c r="AI75" s="107">
        <v>421.96</v>
      </c>
      <c r="AJ75" s="107">
        <v>595.98</v>
      </c>
      <c r="AK75" s="107">
        <v>188.3</v>
      </c>
      <c r="AL75" s="107">
        <v>226.78</v>
      </c>
      <c r="AM75" s="107">
        <v>403.17</v>
      </c>
      <c r="AN75" s="107">
        <v>124.38</v>
      </c>
      <c r="AO75" s="107">
        <v>175.19</v>
      </c>
      <c r="AP75" s="107">
        <v>244.21</v>
      </c>
      <c r="AQ75" s="107">
        <v>266.89</v>
      </c>
      <c r="AR75" s="107">
        <v>364.65</v>
      </c>
      <c r="AS75" s="107">
        <v>448.87</v>
      </c>
      <c r="AT75" s="107">
        <v>323</v>
      </c>
      <c r="AU75" s="107">
        <v>490</v>
      </c>
      <c r="AV75" s="107">
        <v>595</v>
      </c>
    </row>
    <row r="76" spans="1:48" ht="30" customHeight="1" outlineLevel="2">
      <c r="A76" s="125" t="s">
        <v>382</v>
      </c>
      <c r="B76" s="118" t="s">
        <v>383</v>
      </c>
      <c r="C76" s="104" t="s">
        <v>242</v>
      </c>
      <c r="E76" s="105">
        <f>MIN(N76,R76,V76,Z76,AD76)</f>
        <v>166.78200000000001</v>
      </c>
      <c r="F76" s="105">
        <f>AVERAGE(N76,R76,V76,Z76,AD76)</f>
        <v>324.32620000000003</v>
      </c>
      <c r="G76" s="105">
        <f>MAX(N76,R76,V76,Z76,AD76)</f>
        <v>475.20000000000005</v>
      </c>
      <c r="H76" s="106"/>
      <c r="I76" s="105">
        <f>MIN(T76,X76,AB76,AF76,P76)</f>
        <v>334.15800000000002</v>
      </c>
      <c r="J76" s="105">
        <f>AVERAGE(P76,T76,X76,AB76,AF76)</f>
        <v>618.51459999999997</v>
      </c>
      <c r="K76" s="105">
        <f>MAX(P76,T76,X76,AB76,AF76)</f>
        <v>871.2</v>
      </c>
      <c r="N76" s="107">
        <f t="shared" si="27"/>
        <v>441.78200000000004</v>
      </c>
      <c r="O76" s="107">
        <f t="shared" si="28"/>
        <v>618.16700000000003</v>
      </c>
      <c r="P76" s="107">
        <f t="shared" si="29"/>
        <v>871.2</v>
      </c>
      <c r="R76" s="107">
        <f t="shared" si="30"/>
        <v>238.64500000000001</v>
      </c>
      <c r="S76" s="107">
        <f t="shared" si="31"/>
        <v>290.43299999999999</v>
      </c>
      <c r="T76" s="107">
        <f t="shared" si="32"/>
        <v>514.05200000000002</v>
      </c>
      <c r="V76" s="107">
        <f t="shared" si="33"/>
        <v>166.78200000000001</v>
      </c>
      <c r="W76" s="107">
        <f t="shared" si="34"/>
        <v>241.25200000000001</v>
      </c>
      <c r="X76" s="107">
        <f t="shared" si="35"/>
        <v>334.15800000000002</v>
      </c>
      <c r="Z76" s="107">
        <f t="shared" si="36"/>
        <v>299.22199999999998</v>
      </c>
      <c r="AA76" s="107">
        <f t="shared" si="37"/>
        <v>409.01300000000003</v>
      </c>
      <c r="AB76" s="107">
        <f t="shared" si="38"/>
        <v>503.06300000000005</v>
      </c>
      <c r="AD76" s="107">
        <f t="shared" si="39"/>
        <v>475.20000000000005</v>
      </c>
      <c r="AE76" s="107">
        <f t="shared" si="40"/>
        <v>718.30000000000007</v>
      </c>
      <c r="AF76" s="107">
        <f t="shared" si="41"/>
        <v>870.1</v>
      </c>
      <c r="AH76" s="107">
        <v>401.62</v>
      </c>
      <c r="AI76" s="107">
        <v>561.97</v>
      </c>
      <c r="AJ76" s="107">
        <v>792</v>
      </c>
      <c r="AK76" s="107">
        <v>216.95</v>
      </c>
      <c r="AL76" s="107">
        <v>264.02999999999997</v>
      </c>
      <c r="AM76" s="107">
        <v>467.32</v>
      </c>
      <c r="AN76" s="107">
        <v>151.62</v>
      </c>
      <c r="AO76" s="107">
        <v>219.32</v>
      </c>
      <c r="AP76" s="107">
        <v>303.77999999999997</v>
      </c>
      <c r="AQ76" s="107">
        <v>272.02</v>
      </c>
      <c r="AR76" s="107">
        <v>371.83</v>
      </c>
      <c r="AS76" s="107">
        <v>457.33</v>
      </c>
      <c r="AT76" s="107">
        <v>432</v>
      </c>
      <c r="AU76" s="107">
        <v>653</v>
      </c>
      <c r="AV76" s="107">
        <v>791</v>
      </c>
    </row>
    <row r="77" spans="1:48" ht="30" customHeight="1" outlineLevel="2">
      <c r="A77" s="125" t="s">
        <v>384</v>
      </c>
      <c r="B77" s="118" t="s">
        <v>385</v>
      </c>
      <c r="C77" s="104" t="s">
        <v>242</v>
      </c>
      <c r="E77" s="105">
        <f>MIN(N77,R77,V77,Z77,AD77)</f>
        <v>196.74600000000004</v>
      </c>
      <c r="F77" s="105">
        <f>AVERAGE(N77,R77,V77,Z77,AD77)</f>
        <v>381.59660000000008</v>
      </c>
      <c r="G77" s="105">
        <f>MAX(N77,R77,V77,Z77,AD77)</f>
        <v>563.20000000000005</v>
      </c>
      <c r="H77" s="106"/>
      <c r="I77" s="105">
        <f>MIN(T77,X77,AB77,AF77,P77)</f>
        <v>399.69600000000003</v>
      </c>
      <c r="J77" s="105">
        <f>AVERAGE(P77,T77,X77,AB77,AF77)</f>
        <v>731.81900000000007</v>
      </c>
      <c r="K77" s="105">
        <f>MAX(P77,T77,X77,AB77,AF77)</f>
        <v>1086.8220000000001</v>
      </c>
      <c r="N77" s="107">
        <f t="shared" si="27"/>
        <v>551.96900000000005</v>
      </c>
      <c r="O77" s="107">
        <f t="shared" si="28"/>
        <v>772.18900000000008</v>
      </c>
      <c r="P77" s="107">
        <f t="shared" si="29"/>
        <v>1086.8220000000001</v>
      </c>
      <c r="R77" s="107">
        <f t="shared" si="30"/>
        <v>291.18100000000004</v>
      </c>
      <c r="S77" s="107">
        <f t="shared" si="31"/>
        <v>358.73200000000003</v>
      </c>
      <c r="T77" s="107">
        <f t="shared" si="32"/>
        <v>631.6640000000001</v>
      </c>
      <c r="V77" s="107">
        <f t="shared" si="33"/>
        <v>196.74600000000004</v>
      </c>
      <c r="W77" s="107">
        <f t="shared" si="34"/>
        <v>289.79500000000002</v>
      </c>
      <c r="X77" s="107">
        <f t="shared" si="35"/>
        <v>399.69600000000003</v>
      </c>
      <c r="Z77" s="107">
        <f t="shared" si="36"/>
        <v>304.88700000000006</v>
      </c>
      <c r="AA77" s="107">
        <f t="shared" si="37"/>
        <v>416.94400000000007</v>
      </c>
      <c r="AB77" s="107">
        <f t="shared" si="38"/>
        <v>512.41300000000001</v>
      </c>
      <c r="AD77" s="107">
        <f t="shared" si="39"/>
        <v>563.20000000000005</v>
      </c>
      <c r="AE77" s="107">
        <f t="shared" si="40"/>
        <v>850.30000000000007</v>
      </c>
      <c r="AF77" s="107">
        <f t="shared" si="41"/>
        <v>1028.5</v>
      </c>
      <c r="AH77" s="107">
        <v>501.79</v>
      </c>
      <c r="AI77" s="107">
        <v>701.99</v>
      </c>
      <c r="AJ77" s="107">
        <v>988.02</v>
      </c>
      <c r="AK77" s="107">
        <v>264.71000000000004</v>
      </c>
      <c r="AL77" s="107">
        <v>326.12</v>
      </c>
      <c r="AM77" s="107">
        <v>574.24</v>
      </c>
      <c r="AN77" s="107">
        <v>178.86</v>
      </c>
      <c r="AO77" s="107">
        <v>263.45</v>
      </c>
      <c r="AP77" s="107">
        <v>363.36</v>
      </c>
      <c r="AQ77" s="107">
        <v>277.17</v>
      </c>
      <c r="AR77" s="107">
        <v>379.04</v>
      </c>
      <c r="AS77" s="107">
        <v>465.83</v>
      </c>
      <c r="AT77" s="107">
        <v>512</v>
      </c>
      <c r="AU77" s="107">
        <v>773</v>
      </c>
      <c r="AV77" s="107">
        <v>935</v>
      </c>
    </row>
    <row r="78" spans="1:48" ht="30" customHeight="1" outlineLevel="2">
      <c r="A78" s="125" t="s">
        <v>386</v>
      </c>
      <c r="B78" s="118" t="s">
        <v>387</v>
      </c>
      <c r="C78" s="104" t="s">
        <v>242</v>
      </c>
      <c r="E78" s="105">
        <f>MIN(N78,R78,V78,Z78,AD78)</f>
        <v>226.71</v>
      </c>
      <c r="F78" s="105">
        <f>AVERAGE(N78,R78,V78,Z78,AD78)</f>
        <v>480.22480000000007</v>
      </c>
      <c r="G78" s="105">
        <f>MAX(N78,R78,V78,Z78,AD78)</f>
        <v>772.35400000000004</v>
      </c>
      <c r="H78" s="106"/>
      <c r="I78" s="105">
        <f>MIN(T78,X78,AB78,AF78,P78)</f>
        <v>465.22300000000007</v>
      </c>
      <c r="J78" s="105">
        <f>AVERAGE(P78,T78,X78,AB78,AF78)</f>
        <v>926.14059999999995</v>
      </c>
      <c r="K78" s="105">
        <f>MAX(P78,T78,X78,AB78,AF78)</f>
        <v>1518.066</v>
      </c>
      <c r="N78" s="107">
        <f t="shared" si="27"/>
        <v>772.35400000000004</v>
      </c>
      <c r="O78" s="107">
        <f t="shared" si="28"/>
        <v>1080.222</v>
      </c>
      <c r="P78" s="107">
        <f t="shared" si="29"/>
        <v>1518.066</v>
      </c>
      <c r="R78" s="107">
        <f t="shared" si="30"/>
        <v>378.73</v>
      </c>
      <c r="S78" s="107">
        <f t="shared" si="31"/>
        <v>472.54900000000004</v>
      </c>
      <c r="T78" s="107">
        <f t="shared" si="32"/>
        <v>827.68400000000008</v>
      </c>
      <c r="V78" s="107">
        <f t="shared" si="33"/>
        <v>226.71</v>
      </c>
      <c r="W78" s="107">
        <f t="shared" si="34"/>
        <v>338.33800000000002</v>
      </c>
      <c r="X78" s="107">
        <f t="shared" si="35"/>
        <v>465.22300000000007</v>
      </c>
      <c r="Z78" s="107">
        <f t="shared" si="36"/>
        <v>310.53000000000003</v>
      </c>
      <c r="AA78" s="107">
        <f t="shared" si="37"/>
        <v>424.84200000000004</v>
      </c>
      <c r="AB78" s="107">
        <f t="shared" si="38"/>
        <v>521.73</v>
      </c>
      <c r="AD78" s="107">
        <f t="shared" si="39"/>
        <v>712.80000000000007</v>
      </c>
      <c r="AE78" s="107">
        <f t="shared" si="40"/>
        <v>1074.7</v>
      </c>
      <c r="AF78" s="107">
        <f t="shared" si="41"/>
        <v>1298</v>
      </c>
      <c r="AH78" s="107">
        <v>702.14</v>
      </c>
      <c r="AI78" s="107">
        <v>982.02</v>
      </c>
      <c r="AJ78" s="107">
        <v>1380.06</v>
      </c>
      <c r="AK78" s="107">
        <v>344.3</v>
      </c>
      <c r="AL78" s="107">
        <v>429.59</v>
      </c>
      <c r="AM78" s="107">
        <v>752.44</v>
      </c>
      <c r="AN78" s="107">
        <v>206.1</v>
      </c>
      <c r="AO78" s="107">
        <v>307.58</v>
      </c>
      <c r="AP78" s="107">
        <v>422.93</v>
      </c>
      <c r="AQ78" s="107">
        <v>282.3</v>
      </c>
      <c r="AR78" s="107">
        <v>386.22</v>
      </c>
      <c r="AS78" s="107">
        <v>474.3</v>
      </c>
      <c r="AT78" s="107">
        <v>648</v>
      </c>
      <c r="AU78" s="107">
        <v>977</v>
      </c>
      <c r="AV78" s="107">
        <v>1180</v>
      </c>
    </row>
    <row r="79" spans="1:48" ht="30" customHeight="1" outlineLevel="1">
      <c r="A79" s="121" t="s">
        <v>388</v>
      </c>
      <c r="B79" s="122" t="s">
        <v>389</v>
      </c>
      <c r="C79" s="130"/>
      <c r="N79" s="11" t="str">
        <f t="shared" si="27"/>
        <v/>
      </c>
      <c r="O79" s="11" t="str">
        <f t="shared" si="28"/>
        <v/>
      </c>
      <c r="P79" s="11" t="str">
        <f t="shared" si="29"/>
        <v/>
      </c>
      <c r="R79" s="11" t="str">
        <f t="shared" si="30"/>
        <v/>
      </c>
      <c r="S79" s="11" t="str">
        <f t="shared" si="31"/>
        <v/>
      </c>
      <c r="T79" s="11" t="str">
        <f t="shared" si="32"/>
        <v/>
      </c>
      <c r="V79" s="11" t="str">
        <f t="shared" si="33"/>
        <v/>
      </c>
      <c r="W79" s="11" t="str">
        <f t="shared" si="34"/>
        <v/>
      </c>
      <c r="X79" s="11" t="str">
        <f t="shared" si="35"/>
        <v/>
      </c>
      <c r="Z79" s="11" t="str">
        <f t="shared" si="36"/>
        <v/>
      </c>
      <c r="AA79" s="11" t="str">
        <f t="shared" si="37"/>
        <v/>
      </c>
      <c r="AB79" s="11" t="str">
        <f t="shared" si="38"/>
        <v/>
      </c>
      <c r="AD79" s="11" t="str">
        <f t="shared" si="39"/>
        <v/>
      </c>
      <c r="AE79" s="11" t="str">
        <f t="shared" si="40"/>
        <v/>
      </c>
      <c r="AF79" s="11" t="str">
        <f t="shared" si="41"/>
        <v/>
      </c>
    </row>
    <row r="80" spans="1:48" ht="30" customHeight="1" outlineLevel="2">
      <c r="A80" s="125" t="s">
        <v>390</v>
      </c>
      <c r="B80" s="118" t="s">
        <v>391</v>
      </c>
      <c r="C80" s="104" t="s">
        <v>242</v>
      </c>
      <c r="E80" s="105">
        <f>MIN(N80,R80,V80,Z80,AD80)</f>
        <v>106.86500000000001</v>
      </c>
      <c r="F80" s="105">
        <f>AVERAGE(N80,R80,V80,Z80,AD80)</f>
        <v>236.72219999999999</v>
      </c>
      <c r="G80" s="105">
        <f>MAX(N80,R80,V80,Z80,AD80)</f>
        <v>431.26600000000002</v>
      </c>
      <c r="H80" s="106"/>
      <c r="I80" s="105">
        <f>MIN(T80,X80,AB80,AF80,P80)</f>
        <v>203.126</v>
      </c>
      <c r="J80" s="105">
        <f>AVERAGE(P80,T80,X80,AB80,AF80)</f>
        <v>470.43260000000009</v>
      </c>
      <c r="K80" s="105">
        <f>MAX(P80,T80,X80,AB80,AF80)</f>
        <v>945.29600000000005</v>
      </c>
      <c r="N80" s="107">
        <f t="shared" si="27"/>
        <v>276.48500000000001</v>
      </c>
      <c r="O80" s="107">
        <f t="shared" si="28"/>
        <v>387.14500000000004</v>
      </c>
      <c r="P80" s="107">
        <f t="shared" si="29"/>
        <v>547.76700000000005</v>
      </c>
      <c r="R80" s="107">
        <f t="shared" si="30"/>
        <v>431.26600000000002</v>
      </c>
      <c r="S80" s="107">
        <f t="shared" si="31"/>
        <v>540.84800000000007</v>
      </c>
      <c r="T80" s="107">
        <f t="shared" si="32"/>
        <v>945.29600000000005</v>
      </c>
      <c r="V80" s="107">
        <f t="shared" si="33"/>
        <v>106.86500000000001</v>
      </c>
      <c r="W80" s="107">
        <f t="shared" si="34"/>
        <v>144.18800000000002</v>
      </c>
      <c r="X80" s="107">
        <f t="shared" si="35"/>
        <v>203.126</v>
      </c>
      <c r="Z80" s="107">
        <f t="shared" si="36"/>
        <v>213.89500000000001</v>
      </c>
      <c r="AA80" s="107">
        <f t="shared" si="37"/>
        <v>289.55300000000005</v>
      </c>
      <c r="AB80" s="107">
        <f t="shared" si="38"/>
        <v>362.274</v>
      </c>
      <c r="AD80" s="107">
        <f t="shared" si="39"/>
        <v>155.10000000000002</v>
      </c>
      <c r="AE80" s="107">
        <f t="shared" si="40"/>
        <v>238.70000000000002</v>
      </c>
      <c r="AF80" s="107">
        <f t="shared" si="41"/>
        <v>293.70000000000005</v>
      </c>
      <c r="AH80" s="107">
        <v>251.35</v>
      </c>
      <c r="AI80" s="107">
        <v>351.95</v>
      </c>
      <c r="AJ80" s="107">
        <v>497.97</v>
      </c>
      <c r="AK80" s="107">
        <v>392.06</v>
      </c>
      <c r="AL80" s="107">
        <v>491.68</v>
      </c>
      <c r="AM80" s="107">
        <v>859.36</v>
      </c>
      <c r="AN80" s="107">
        <v>97.15</v>
      </c>
      <c r="AO80" s="107">
        <v>131.08000000000001</v>
      </c>
      <c r="AP80" s="107">
        <v>184.66</v>
      </c>
      <c r="AQ80" s="107">
        <v>194.45</v>
      </c>
      <c r="AR80" s="107">
        <v>263.23</v>
      </c>
      <c r="AS80" s="107">
        <v>329.34</v>
      </c>
      <c r="AT80" s="107">
        <v>141</v>
      </c>
      <c r="AU80" s="107">
        <v>217</v>
      </c>
      <c r="AV80" s="107">
        <v>267</v>
      </c>
    </row>
    <row r="81" spans="1:48" ht="30" customHeight="1" outlineLevel="1">
      <c r="A81" s="127" t="s">
        <v>392</v>
      </c>
      <c r="B81" s="128" t="s">
        <v>393</v>
      </c>
      <c r="C81" s="130"/>
      <c r="N81" s="11" t="str">
        <f t="shared" si="27"/>
        <v/>
      </c>
      <c r="O81" s="11" t="str">
        <f t="shared" si="28"/>
        <v/>
      </c>
      <c r="P81" s="11" t="str">
        <f t="shared" si="29"/>
        <v/>
      </c>
      <c r="R81" s="11" t="str">
        <f t="shared" si="30"/>
        <v/>
      </c>
      <c r="S81" s="11" t="str">
        <f t="shared" si="31"/>
        <v/>
      </c>
      <c r="T81" s="11" t="str">
        <f t="shared" si="32"/>
        <v/>
      </c>
      <c r="V81" s="11" t="str">
        <f t="shared" si="33"/>
        <v/>
      </c>
      <c r="W81" s="11" t="str">
        <f t="shared" si="34"/>
        <v/>
      </c>
      <c r="X81" s="11" t="str">
        <f t="shared" si="35"/>
        <v/>
      </c>
      <c r="Z81" s="11" t="str">
        <f t="shared" si="36"/>
        <v/>
      </c>
      <c r="AA81" s="11" t="str">
        <f t="shared" si="37"/>
        <v/>
      </c>
      <c r="AB81" s="11" t="str">
        <f t="shared" si="38"/>
        <v/>
      </c>
      <c r="AD81" s="11" t="str">
        <f t="shared" si="39"/>
        <v/>
      </c>
      <c r="AE81" s="11" t="str">
        <f t="shared" si="40"/>
        <v/>
      </c>
      <c r="AF81" s="11" t="str">
        <f t="shared" si="41"/>
        <v/>
      </c>
    </row>
    <row r="82" spans="1:48" ht="30" customHeight="1" outlineLevel="2">
      <c r="A82" s="125" t="s">
        <v>394</v>
      </c>
      <c r="B82" s="118" t="s">
        <v>395</v>
      </c>
      <c r="C82" s="104" t="s">
        <v>242</v>
      </c>
      <c r="E82" s="105">
        <f>MIN(N82,R82,V82,Z82,AD82)</f>
        <v>394.05300000000005</v>
      </c>
      <c r="F82" s="105">
        <f>AVERAGE(N82,R82,V82,Z82,AD82)</f>
        <v>736.56880000000001</v>
      </c>
      <c r="G82" s="105">
        <f>MAX(N82,R82,V82,Z82,AD82)</f>
        <v>1025.365</v>
      </c>
      <c r="H82" s="106"/>
      <c r="I82" s="105">
        <f>MIN(T82,X82,AB82,AF82,P82)</f>
        <v>831.21500000000003</v>
      </c>
      <c r="J82" s="105">
        <f>AVERAGE(P82,T82,X82,AB82,AF82)</f>
        <v>1451.7778000000001</v>
      </c>
      <c r="K82" s="105">
        <f>MAX(P82,T82,X82,AB82,AF82)</f>
        <v>1701.2050000000002</v>
      </c>
      <c r="N82" s="107">
        <f t="shared" si="27"/>
        <v>953.33699999999999</v>
      </c>
      <c r="O82" s="107">
        <f t="shared" si="28"/>
        <v>1239.2930000000001</v>
      </c>
      <c r="P82" s="107">
        <f t="shared" si="29"/>
        <v>1646.3370000000002</v>
      </c>
      <c r="R82" s="107">
        <f t="shared" si="30"/>
        <v>734.7890000000001</v>
      </c>
      <c r="S82" s="107">
        <f t="shared" si="31"/>
        <v>935.42900000000009</v>
      </c>
      <c r="T82" s="107">
        <f t="shared" si="32"/>
        <v>1624.8320000000001</v>
      </c>
      <c r="V82" s="107">
        <f t="shared" si="33"/>
        <v>394.05300000000005</v>
      </c>
      <c r="W82" s="107">
        <f t="shared" si="34"/>
        <v>609.44399999999996</v>
      </c>
      <c r="X82" s="107">
        <f t="shared" si="35"/>
        <v>831.21500000000003</v>
      </c>
      <c r="Z82" s="107">
        <f t="shared" si="36"/>
        <v>1025.365</v>
      </c>
      <c r="AA82" s="107">
        <f t="shared" si="37"/>
        <v>1425.6110000000001</v>
      </c>
      <c r="AB82" s="107">
        <f t="shared" si="38"/>
        <v>1701.2050000000002</v>
      </c>
      <c r="AD82" s="107">
        <f t="shared" si="39"/>
        <v>575.30000000000007</v>
      </c>
      <c r="AE82" s="107">
        <f t="shared" si="40"/>
        <v>869.00000000000011</v>
      </c>
      <c r="AF82" s="107">
        <f t="shared" si="41"/>
        <v>1455.3000000000002</v>
      </c>
      <c r="AH82" s="107">
        <v>866.67</v>
      </c>
      <c r="AI82" s="107">
        <v>1126.6300000000001</v>
      </c>
      <c r="AJ82" s="107">
        <v>1496.67</v>
      </c>
      <c r="AK82" s="107">
        <v>667.99</v>
      </c>
      <c r="AL82" s="107">
        <v>850.39</v>
      </c>
      <c r="AM82" s="107">
        <v>1477.12</v>
      </c>
      <c r="AN82" s="107">
        <v>358.23</v>
      </c>
      <c r="AO82" s="107">
        <v>554.04</v>
      </c>
      <c r="AP82" s="107">
        <v>755.65</v>
      </c>
      <c r="AQ82" s="107">
        <v>932.15</v>
      </c>
      <c r="AR82" s="107">
        <v>1296.01</v>
      </c>
      <c r="AS82" s="107">
        <v>1546.55</v>
      </c>
      <c r="AT82" s="107">
        <v>523</v>
      </c>
      <c r="AU82" s="107">
        <v>790</v>
      </c>
      <c r="AV82" s="107">
        <v>1323</v>
      </c>
    </row>
    <row r="83" spans="1:48" ht="30" customHeight="1" outlineLevel="2">
      <c r="A83" s="125" t="s">
        <v>396</v>
      </c>
      <c r="B83" s="118" t="s">
        <v>397</v>
      </c>
      <c r="C83" s="104" t="s">
        <v>242</v>
      </c>
      <c r="E83" s="105">
        <f>MIN(N83,R83,V83,Z83,AD83)</f>
        <v>1023.3190000000001</v>
      </c>
      <c r="F83" s="105">
        <f>AVERAGE(N83,R83,V83,Z83,AD83)</f>
        <v>1260.3096</v>
      </c>
      <c r="G83" s="105">
        <f>MAX(N83,R83,V83,Z83,AD83)</f>
        <v>1609.96</v>
      </c>
      <c r="H83" s="106"/>
      <c r="I83" s="105">
        <f>MIN(T83,X83,AB83,AF83,P83)</f>
        <v>2207.4140000000002</v>
      </c>
      <c r="J83" s="105">
        <f>AVERAGE(P83,T83,X83,AB83,AF83)</f>
        <v>2537.9442000000004</v>
      </c>
      <c r="K83" s="105">
        <f>MAX(P83,T83,X83,AB83,AF83)</f>
        <v>2900.7000000000003</v>
      </c>
      <c r="N83" s="107">
        <f t="shared" si="27"/>
        <v>1418.78</v>
      </c>
      <c r="O83" s="107">
        <f t="shared" si="28"/>
        <v>1858.1090000000002</v>
      </c>
      <c r="P83" s="107">
        <f t="shared" si="29"/>
        <v>2480.7750000000001</v>
      </c>
      <c r="R83" s="107">
        <f t="shared" si="30"/>
        <v>1096.6890000000001</v>
      </c>
      <c r="S83" s="107">
        <f t="shared" si="31"/>
        <v>1405.8990000000001</v>
      </c>
      <c r="T83" s="107">
        <f t="shared" si="32"/>
        <v>2435.0480000000002</v>
      </c>
      <c r="V83" s="107">
        <f t="shared" si="33"/>
        <v>1023.3190000000001</v>
      </c>
      <c r="W83" s="107">
        <f t="shared" si="34"/>
        <v>1628.8470000000002</v>
      </c>
      <c r="X83" s="107">
        <f t="shared" si="35"/>
        <v>2207.4140000000002</v>
      </c>
      <c r="Z83" s="107">
        <f t="shared" si="36"/>
        <v>1609.96</v>
      </c>
      <c r="AA83" s="107">
        <f t="shared" si="37"/>
        <v>2244.0440000000003</v>
      </c>
      <c r="AB83" s="107">
        <f t="shared" si="38"/>
        <v>2665.7840000000001</v>
      </c>
      <c r="AD83" s="107">
        <f t="shared" si="39"/>
        <v>1152.8000000000002</v>
      </c>
      <c r="AE83" s="107">
        <f t="shared" si="40"/>
        <v>1734.7</v>
      </c>
      <c r="AF83" s="107">
        <f t="shared" si="41"/>
        <v>2900.7000000000003</v>
      </c>
      <c r="AH83" s="107">
        <v>1289.8</v>
      </c>
      <c r="AI83" s="107">
        <v>1689.19</v>
      </c>
      <c r="AJ83" s="107">
        <v>2255.25</v>
      </c>
      <c r="AK83" s="107">
        <v>996.99</v>
      </c>
      <c r="AL83" s="107">
        <v>1278.0899999999999</v>
      </c>
      <c r="AM83" s="107">
        <v>2213.6799999999998</v>
      </c>
      <c r="AN83" s="107">
        <v>930.29</v>
      </c>
      <c r="AO83" s="107">
        <v>1480.77</v>
      </c>
      <c r="AP83" s="107">
        <v>2006.74</v>
      </c>
      <c r="AQ83" s="107">
        <v>1463.6</v>
      </c>
      <c r="AR83" s="107">
        <v>2040.04</v>
      </c>
      <c r="AS83" s="107">
        <v>2423.44</v>
      </c>
      <c r="AT83" s="107">
        <v>1048</v>
      </c>
      <c r="AU83" s="107">
        <v>1577</v>
      </c>
      <c r="AV83" s="107">
        <v>2637</v>
      </c>
    </row>
    <row r="84" spans="1:48" ht="30" customHeight="1" outlineLevel="2">
      <c r="A84" s="125" t="s">
        <v>398</v>
      </c>
      <c r="B84" s="118" t="s">
        <v>399</v>
      </c>
      <c r="C84" s="104" t="s">
        <v>242</v>
      </c>
      <c r="E84" s="105">
        <f>MIN(N84,R84,V84,Z84,AD84)</f>
        <v>1526.7230000000002</v>
      </c>
      <c r="F84" s="105">
        <f>AVERAGE(N84,R84,V84,Z84,AD84)</f>
        <v>2042.9156000000003</v>
      </c>
      <c r="G84" s="105">
        <f>MAX(N84,R84,V84,Z84,AD84)</f>
        <v>2510.09</v>
      </c>
      <c r="H84" s="106"/>
      <c r="I84" s="105">
        <f>MIN(T84,X84,AB84,AF84,P84)</f>
        <v>3308.36</v>
      </c>
      <c r="J84" s="105">
        <f>AVERAGE(P84,T84,X84,AB84,AF84)</f>
        <v>4188.7758000000003</v>
      </c>
      <c r="K84" s="105">
        <f>MAX(P84,T84,X84,AB84,AF84)</f>
        <v>5790.4000000000005</v>
      </c>
      <c r="N84" s="107">
        <f t="shared" si="27"/>
        <v>2049.4870000000001</v>
      </c>
      <c r="O84" s="107">
        <f t="shared" si="28"/>
        <v>2707.9360000000006</v>
      </c>
      <c r="P84" s="107">
        <f t="shared" si="29"/>
        <v>3638.6350000000002</v>
      </c>
      <c r="R84" s="107">
        <f t="shared" si="30"/>
        <v>1820.4780000000001</v>
      </c>
      <c r="S84" s="107">
        <f t="shared" si="31"/>
        <v>2346.8280000000004</v>
      </c>
      <c r="T84" s="107">
        <f t="shared" si="32"/>
        <v>4055.4800000000005</v>
      </c>
      <c r="V84" s="107">
        <f t="shared" si="33"/>
        <v>1526.7230000000002</v>
      </c>
      <c r="W84" s="107">
        <f t="shared" si="34"/>
        <v>2444.3650000000002</v>
      </c>
      <c r="X84" s="107">
        <f t="shared" si="35"/>
        <v>3308.36</v>
      </c>
      <c r="Z84" s="107">
        <f t="shared" si="36"/>
        <v>2510.09</v>
      </c>
      <c r="AA84" s="107">
        <f t="shared" si="37"/>
        <v>3504.2260000000001</v>
      </c>
      <c r="AB84" s="107">
        <f t="shared" si="38"/>
        <v>4151.0039999999999</v>
      </c>
      <c r="AD84" s="107">
        <f t="shared" si="39"/>
        <v>2307.8000000000002</v>
      </c>
      <c r="AE84" s="107">
        <f t="shared" si="40"/>
        <v>3467.2000000000003</v>
      </c>
      <c r="AF84" s="107">
        <f t="shared" si="41"/>
        <v>5790.4000000000005</v>
      </c>
      <c r="AH84" s="107">
        <v>1863.17</v>
      </c>
      <c r="AI84" s="107">
        <v>2461.7600000000002</v>
      </c>
      <c r="AJ84" s="107">
        <v>3307.85</v>
      </c>
      <c r="AK84" s="107">
        <v>1654.98</v>
      </c>
      <c r="AL84" s="107">
        <v>2133.48</v>
      </c>
      <c r="AM84" s="107">
        <v>3686.8</v>
      </c>
      <c r="AN84" s="107">
        <v>1387.93</v>
      </c>
      <c r="AO84" s="107">
        <v>2222.15</v>
      </c>
      <c r="AP84" s="107">
        <v>3007.6</v>
      </c>
      <c r="AQ84" s="107">
        <v>2281.9</v>
      </c>
      <c r="AR84" s="107">
        <v>3185.66</v>
      </c>
      <c r="AS84" s="107">
        <v>3773.64</v>
      </c>
      <c r="AT84" s="107">
        <v>2098</v>
      </c>
      <c r="AU84" s="107">
        <v>3152</v>
      </c>
      <c r="AV84" s="107">
        <v>5264</v>
      </c>
    </row>
    <row r="85" spans="1:48" ht="30" customHeight="1" outlineLevel="2">
      <c r="A85" s="125" t="s">
        <v>400</v>
      </c>
      <c r="B85" s="118" t="s">
        <v>401</v>
      </c>
      <c r="C85" s="104" t="s">
        <v>242</v>
      </c>
      <c r="E85" s="105">
        <f>MIN(N85,R85,V85,Z85,AD85)</f>
        <v>2281.84</v>
      </c>
      <c r="F85" s="105">
        <f>AVERAGE(N85,R85,V85,Z85,AD85)</f>
        <v>2697.9633999999996</v>
      </c>
      <c r="G85" s="105">
        <f>MAX(N85,R85,V85,Z85,AD85)</f>
        <v>2955.6889999999999</v>
      </c>
      <c r="H85" s="106"/>
      <c r="I85" s="105">
        <f>MIN(T85,X85,AB85,AF85,P85)</f>
        <v>4666.8270000000002</v>
      </c>
      <c r="J85" s="105">
        <f>AVERAGE(P85,T85,X85,AB85,AF85)</f>
        <v>5574.5580000000009</v>
      </c>
      <c r="K85" s="105">
        <f>MAX(P85,T85,X85,AB85,AF85)</f>
        <v>7234.7000000000007</v>
      </c>
      <c r="N85" s="107">
        <f t="shared" si="27"/>
        <v>2955.6889999999999</v>
      </c>
      <c r="O85" s="107">
        <f t="shared" si="28"/>
        <v>3942.8180000000002</v>
      </c>
      <c r="P85" s="107">
        <f t="shared" si="29"/>
        <v>5335.5610000000006</v>
      </c>
      <c r="R85" s="107">
        <f t="shared" si="30"/>
        <v>2544.2780000000002</v>
      </c>
      <c r="S85" s="107">
        <f t="shared" si="31"/>
        <v>3287.7570000000001</v>
      </c>
      <c r="T85" s="107">
        <f t="shared" si="32"/>
        <v>5675.9120000000003</v>
      </c>
      <c r="V85" s="107">
        <f t="shared" si="33"/>
        <v>2281.84</v>
      </c>
      <c r="W85" s="107">
        <f t="shared" si="34"/>
        <v>3667.6530000000002</v>
      </c>
      <c r="X85" s="107">
        <f t="shared" si="35"/>
        <v>4959.79</v>
      </c>
      <c r="Z85" s="107">
        <f t="shared" si="36"/>
        <v>2822.71</v>
      </c>
      <c r="AA85" s="107">
        <f t="shared" si="37"/>
        <v>3941.8940000000002</v>
      </c>
      <c r="AB85" s="107">
        <f t="shared" si="38"/>
        <v>4666.8270000000002</v>
      </c>
      <c r="AD85" s="107">
        <f t="shared" si="39"/>
        <v>2885.3</v>
      </c>
      <c r="AE85" s="107">
        <f t="shared" si="40"/>
        <v>4334</v>
      </c>
      <c r="AF85" s="107">
        <f t="shared" si="41"/>
        <v>7234.7000000000007</v>
      </c>
      <c r="AH85" s="107">
        <v>2686.99</v>
      </c>
      <c r="AI85" s="107">
        <v>3584.38</v>
      </c>
      <c r="AJ85" s="107">
        <v>4850.51</v>
      </c>
      <c r="AK85" s="107">
        <v>2312.98</v>
      </c>
      <c r="AL85" s="107">
        <v>2988.87</v>
      </c>
      <c r="AM85" s="107">
        <v>5159.92</v>
      </c>
      <c r="AN85" s="107">
        <v>2074.4</v>
      </c>
      <c r="AO85" s="107">
        <v>3334.23</v>
      </c>
      <c r="AP85" s="107">
        <v>4508.8999999999996</v>
      </c>
      <c r="AQ85" s="107">
        <v>2566.1</v>
      </c>
      <c r="AR85" s="107">
        <v>3583.54</v>
      </c>
      <c r="AS85" s="107">
        <v>4242.57</v>
      </c>
      <c r="AT85" s="107">
        <v>2623</v>
      </c>
      <c r="AU85" s="107">
        <v>3940</v>
      </c>
      <c r="AV85" s="107">
        <v>6577</v>
      </c>
    </row>
    <row r="86" spans="1:48" ht="30" customHeight="1" outlineLevel="2">
      <c r="A86" s="125" t="s">
        <v>402</v>
      </c>
      <c r="B86" s="118" t="s">
        <v>403</v>
      </c>
      <c r="C86" s="104" t="s">
        <v>242</v>
      </c>
      <c r="E86" s="105">
        <f>MIN(N86,R86,V86,Z86,AD86)</f>
        <v>2906.1669999999999</v>
      </c>
      <c r="F86" s="105">
        <f>AVERAGE(N86,R86,V86,Z86,AD86)</f>
        <v>3666.4209999999998</v>
      </c>
      <c r="G86" s="105">
        <f>MAX(N86,R86,V86,Z86,AD86)</f>
        <v>4597.0320000000002</v>
      </c>
      <c r="H86" s="106"/>
      <c r="I86" s="105">
        <f>MIN(T86,X86,AB86,AF86,P86)</f>
        <v>6199.5889999999999</v>
      </c>
      <c r="J86" s="105">
        <f>AVERAGE(P86,T86,X86,AB86,AF86)</f>
        <v>7532.6812000000009</v>
      </c>
      <c r="K86" s="105">
        <f>MAX(P86,T86,X86,AB86,AF86)</f>
        <v>10124.400000000001</v>
      </c>
      <c r="N86" s="107">
        <f t="shared" si="27"/>
        <v>4597.0320000000002</v>
      </c>
      <c r="O86" s="107">
        <f t="shared" si="28"/>
        <v>6110.0380000000005</v>
      </c>
      <c r="P86" s="107">
        <f t="shared" si="29"/>
        <v>8242.0580000000009</v>
      </c>
      <c r="R86" s="107">
        <f t="shared" si="30"/>
        <v>2906.1669999999999</v>
      </c>
      <c r="S86" s="107">
        <f t="shared" si="31"/>
        <v>3758.2270000000003</v>
      </c>
      <c r="T86" s="107">
        <f t="shared" si="32"/>
        <v>6486.1279999999997</v>
      </c>
      <c r="V86" s="107">
        <f t="shared" si="33"/>
        <v>3036.9460000000004</v>
      </c>
      <c r="W86" s="107">
        <f t="shared" si="34"/>
        <v>4890.93</v>
      </c>
      <c r="X86" s="107">
        <f t="shared" si="35"/>
        <v>6611.2310000000007</v>
      </c>
      <c r="Z86" s="107">
        <f t="shared" si="36"/>
        <v>3751.6600000000003</v>
      </c>
      <c r="AA86" s="107">
        <f t="shared" si="37"/>
        <v>5242.4240000000009</v>
      </c>
      <c r="AB86" s="107">
        <f t="shared" si="38"/>
        <v>6199.5889999999999</v>
      </c>
      <c r="AD86" s="107">
        <f t="shared" si="39"/>
        <v>4040.3</v>
      </c>
      <c r="AE86" s="107">
        <f t="shared" si="40"/>
        <v>6066.5000000000009</v>
      </c>
      <c r="AF86" s="107">
        <f t="shared" si="41"/>
        <v>10124.400000000001</v>
      </c>
      <c r="AH86" s="107">
        <v>4179.12</v>
      </c>
      <c r="AI86" s="107">
        <v>5554.58</v>
      </c>
      <c r="AJ86" s="107">
        <v>7492.78</v>
      </c>
      <c r="AK86" s="107">
        <v>2641.97</v>
      </c>
      <c r="AL86" s="107">
        <v>3416.57</v>
      </c>
      <c r="AM86" s="107">
        <v>5896.48</v>
      </c>
      <c r="AN86" s="107">
        <v>2760.86</v>
      </c>
      <c r="AO86" s="107">
        <v>4446.3</v>
      </c>
      <c r="AP86" s="107">
        <v>6010.21</v>
      </c>
      <c r="AQ86" s="107">
        <v>3410.6</v>
      </c>
      <c r="AR86" s="107">
        <v>4765.84</v>
      </c>
      <c r="AS86" s="107">
        <v>5635.99</v>
      </c>
      <c r="AT86" s="107">
        <v>3673</v>
      </c>
      <c r="AU86" s="107">
        <v>5515</v>
      </c>
      <c r="AV86" s="107">
        <v>9204</v>
      </c>
    </row>
    <row r="87" spans="1:48" ht="30" customHeight="1" outlineLevel="1">
      <c r="A87" s="121" t="s">
        <v>404</v>
      </c>
      <c r="B87" s="122" t="s">
        <v>405</v>
      </c>
      <c r="C87" s="130"/>
      <c r="N87" s="11" t="str">
        <f t="shared" si="27"/>
        <v/>
      </c>
      <c r="O87" s="11" t="str">
        <f t="shared" si="28"/>
        <v/>
      </c>
      <c r="P87" s="11" t="str">
        <f t="shared" si="29"/>
        <v/>
      </c>
      <c r="R87" s="11" t="str">
        <f t="shared" si="30"/>
        <v/>
      </c>
      <c r="S87" s="11" t="str">
        <f t="shared" si="31"/>
        <v/>
      </c>
      <c r="T87" s="11" t="str">
        <f t="shared" si="32"/>
        <v/>
      </c>
      <c r="V87" s="11" t="str">
        <f t="shared" si="33"/>
        <v/>
      </c>
      <c r="W87" s="11" t="str">
        <f t="shared" si="34"/>
        <v/>
      </c>
      <c r="X87" s="11" t="str">
        <f t="shared" si="35"/>
        <v/>
      </c>
      <c r="Z87" s="11" t="str">
        <f t="shared" si="36"/>
        <v/>
      </c>
      <c r="AA87" s="11" t="str">
        <f t="shared" si="37"/>
        <v/>
      </c>
      <c r="AB87" s="11" t="str">
        <f t="shared" si="38"/>
        <v/>
      </c>
      <c r="AD87" s="11" t="str">
        <f t="shared" si="39"/>
        <v/>
      </c>
      <c r="AE87" s="11" t="str">
        <f t="shared" si="40"/>
        <v/>
      </c>
      <c r="AF87" s="11" t="str">
        <f t="shared" si="41"/>
        <v/>
      </c>
    </row>
    <row r="88" spans="1:48" ht="30" customHeight="1" outlineLevel="2">
      <c r="A88" s="125" t="s">
        <v>406</v>
      </c>
      <c r="B88" s="118" t="s">
        <v>407</v>
      </c>
      <c r="C88" s="104" t="s">
        <v>253</v>
      </c>
      <c r="E88" s="105">
        <f>MIN(N88,R88,V88,Z88,AD88)</f>
        <v>9.02</v>
      </c>
      <c r="F88" s="105">
        <f>AVERAGE(N88,R88,V88,Z88,AD88)</f>
        <v>17.8354</v>
      </c>
      <c r="G88" s="105">
        <f>MAX(N88,R88,V88,Z88,AD88)</f>
        <v>23.199000000000002</v>
      </c>
      <c r="H88" s="106"/>
      <c r="I88" s="105">
        <f>MIN(T88,X88,AB88,AF88,P88)</f>
        <v>19.525000000000002</v>
      </c>
      <c r="J88" s="105">
        <f>AVERAGE(P88,T88,X88,AB88,AF88)</f>
        <v>28.562600000000003</v>
      </c>
      <c r="K88" s="105">
        <f>MAX(P88,T88,X88,AB88,AF88)</f>
        <v>39.204000000000001</v>
      </c>
      <c r="N88" s="107">
        <f t="shared" si="27"/>
        <v>9.02</v>
      </c>
      <c r="O88" s="107">
        <f t="shared" si="28"/>
        <v>13.629000000000001</v>
      </c>
      <c r="P88" s="107">
        <f t="shared" si="29"/>
        <v>25.157000000000004</v>
      </c>
      <c r="R88" s="107">
        <f t="shared" si="30"/>
        <v>23.199000000000002</v>
      </c>
      <c r="S88" s="107">
        <f t="shared" si="31"/>
        <v>10.351000000000001</v>
      </c>
      <c r="T88" s="107">
        <f t="shared" si="32"/>
        <v>22.693000000000001</v>
      </c>
      <c r="V88" s="107">
        <f t="shared" si="33"/>
        <v>22.913</v>
      </c>
      <c r="W88" s="107">
        <f t="shared" si="34"/>
        <v>8.1839999999999993</v>
      </c>
      <c r="X88" s="107">
        <f t="shared" si="35"/>
        <v>19.525000000000002</v>
      </c>
      <c r="Z88" s="107">
        <f t="shared" si="36"/>
        <v>16.291</v>
      </c>
      <c r="AA88" s="107">
        <f t="shared" si="37"/>
        <v>12.903000000000002</v>
      </c>
      <c r="AB88" s="107">
        <f t="shared" si="38"/>
        <v>36.234000000000002</v>
      </c>
      <c r="AD88" s="107">
        <f t="shared" si="39"/>
        <v>17.754000000000001</v>
      </c>
      <c r="AE88" s="107">
        <f t="shared" si="40"/>
        <v>27.312999999999999</v>
      </c>
      <c r="AF88" s="107">
        <f t="shared" si="41"/>
        <v>39.204000000000001</v>
      </c>
      <c r="AH88" s="107">
        <v>8.1999999999999993</v>
      </c>
      <c r="AI88" s="107">
        <v>12.39</v>
      </c>
      <c r="AJ88" s="107">
        <v>22.87</v>
      </c>
      <c r="AK88" s="107">
        <v>21.09</v>
      </c>
      <c r="AL88" s="107">
        <v>9.41</v>
      </c>
      <c r="AM88" s="107">
        <v>20.63</v>
      </c>
      <c r="AN88" s="107">
        <v>20.83</v>
      </c>
      <c r="AO88" s="107">
        <v>7.4399999999999995</v>
      </c>
      <c r="AP88" s="107">
        <v>17.75</v>
      </c>
      <c r="AQ88" s="107">
        <v>14.809999999999999</v>
      </c>
      <c r="AR88" s="107">
        <v>11.73</v>
      </c>
      <c r="AS88" s="107">
        <v>32.94</v>
      </c>
      <c r="AT88" s="107">
        <v>16.14</v>
      </c>
      <c r="AU88" s="107">
        <v>24.83</v>
      </c>
      <c r="AV88" s="107">
        <v>35.64</v>
      </c>
    </row>
    <row r="89" spans="1:48" ht="30" customHeight="1" outlineLevel="2">
      <c r="A89" s="119" t="s">
        <v>408</v>
      </c>
      <c r="B89" s="120" t="s">
        <v>409</v>
      </c>
      <c r="C89" s="114" t="s">
        <v>253</v>
      </c>
      <c r="E89" s="105">
        <f>MIN(N89,R89,V89,Z89,AD89)</f>
        <v>12.573</v>
      </c>
      <c r="F89" s="105">
        <f>AVERAGE(N89,R89,V89,Z89,AD89)</f>
        <v>24.829200000000004</v>
      </c>
      <c r="G89" s="105">
        <f>MAX(N89,R89,V89,Z89,AD89)</f>
        <v>39.457000000000008</v>
      </c>
      <c r="H89" s="106"/>
      <c r="I89" s="105">
        <f>MIN(T89,X89,AB89,AF89,P89)</f>
        <v>31.35</v>
      </c>
      <c r="J89" s="105">
        <f>AVERAGE(P89,T89,X89,AB89,AF89)</f>
        <v>40.508600000000001</v>
      </c>
      <c r="K89" s="105">
        <f>MAX(P89,T89,X89,AB89,AF89)</f>
        <v>48.686</v>
      </c>
      <c r="N89" s="107">
        <f t="shared" si="27"/>
        <v>12.573</v>
      </c>
      <c r="O89" s="107">
        <f t="shared" si="28"/>
        <v>18.282000000000004</v>
      </c>
      <c r="P89" s="107">
        <f t="shared" si="29"/>
        <v>31.35</v>
      </c>
      <c r="R89" s="107">
        <f t="shared" si="30"/>
        <v>39.457000000000008</v>
      </c>
      <c r="S89" s="107">
        <f t="shared" si="31"/>
        <v>31.493000000000006</v>
      </c>
      <c r="T89" s="107">
        <f t="shared" si="32"/>
        <v>47.091000000000008</v>
      </c>
      <c r="V89" s="107">
        <f t="shared" si="33"/>
        <v>29.205000000000002</v>
      </c>
      <c r="W89" s="107">
        <f t="shared" si="34"/>
        <v>18.381000000000004</v>
      </c>
      <c r="X89" s="107">
        <f t="shared" si="35"/>
        <v>33.286000000000001</v>
      </c>
      <c r="Z89" s="107">
        <f t="shared" si="36"/>
        <v>19.866000000000003</v>
      </c>
      <c r="AA89" s="107">
        <f t="shared" si="37"/>
        <v>17.908000000000001</v>
      </c>
      <c r="AB89" s="107">
        <f t="shared" si="38"/>
        <v>42.13</v>
      </c>
      <c r="AD89" s="107">
        <f t="shared" si="39"/>
        <v>23.045000000000002</v>
      </c>
      <c r="AE89" s="107">
        <f t="shared" si="40"/>
        <v>35.222000000000001</v>
      </c>
      <c r="AF89" s="107">
        <f t="shared" si="41"/>
        <v>48.686</v>
      </c>
      <c r="AH89" s="107">
        <v>11.43</v>
      </c>
      <c r="AI89" s="107">
        <v>16.62</v>
      </c>
      <c r="AJ89" s="107">
        <v>28.5</v>
      </c>
      <c r="AK89" s="107">
        <v>35.870000000000005</v>
      </c>
      <c r="AL89" s="107">
        <v>28.630000000000003</v>
      </c>
      <c r="AM89" s="107">
        <v>42.81</v>
      </c>
      <c r="AN89" s="107">
        <v>26.55</v>
      </c>
      <c r="AO89" s="107">
        <v>16.71</v>
      </c>
      <c r="AP89" s="107">
        <v>30.26</v>
      </c>
      <c r="AQ89" s="107">
        <v>18.060000000000002</v>
      </c>
      <c r="AR89" s="107">
        <v>16.28</v>
      </c>
      <c r="AS89" s="107">
        <v>38.299999999999997</v>
      </c>
      <c r="AT89" s="107">
        <v>20.95</v>
      </c>
      <c r="AU89" s="107">
        <v>32.019999999999996</v>
      </c>
      <c r="AV89" s="107">
        <v>44.26</v>
      </c>
    </row>
    <row r="90" spans="1:48" ht="30" customHeight="1" outlineLevel="2">
      <c r="A90" s="125" t="s">
        <v>410</v>
      </c>
      <c r="B90" s="118" t="s">
        <v>411</v>
      </c>
      <c r="C90" s="104" t="s">
        <v>253</v>
      </c>
      <c r="E90" s="105">
        <f>MIN(N90,R90,V90,Z90,AD90)</f>
        <v>10.175000000000001</v>
      </c>
      <c r="F90" s="105">
        <f>AVERAGE(N90,R90,V90,Z90,AD90)</f>
        <v>19.4634</v>
      </c>
      <c r="G90" s="105">
        <f>MAX(N90,R90,V90,Z90,AD90)</f>
        <v>28.072000000000003</v>
      </c>
      <c r="H90" s="106"/>
      <c r="I90" s="105">
        <f>MIN(T90,X90,AB90,AF90,P90)</f>
        <v>19.525000000000002</v>
      </c>
      <c r="J90" s="105">
        <f>AVERAGE(P90,T90,X90,AB90,AF90)</f>
        <v>31.541400000000003</v>
      </c>
      <c r="K90" s="105">
        <f>MAX(P90,T90,X90,AB90,AF90)</f>
        <v>42.988</v>
      </c>
      <c r="N90" s="107">
        <f t="shared" si="27"/>
        <v>10.175000000000001</v>
      </c>
      <c r="O90" s="107">
        <f t="shared" si="28"/>
        <v>15.884</v>
      </c>
      <c r="P90" s="107">
        <f t="shared" si="29"/>
        <v>28.952000000000002</v>
      </c>
      <c r="R90" s="107">
        <f t="shared" si="30"/>
        <v>28.072000000000003</v>
      </c>
      <c r="S90" s="107">
        <f t="shared" si="31"/>
        <v>16.698</v>
      </c>
      <c r="T90" s="107">
        <f t="shared" si="32"/>
        <v>30.008000000000003</v>
      </c>
      <c r="V90" s="107">
        <f t="shared" si="33"/>
        <v>22.913</v>
      </c>
      <c r="W90" s="107">
        <f t="shared" si="34"/>
        <v>8.1839999999999993</v>
      </c>
      <c r="X90" s="107">
        <f t="shared" si="35"/>
        <v>19.525000000000002</v>
      </c>
      <c r="Z90" s="107">
        <f t="shared" si="36"/>
        <v>16.291</v>
      </c>
      <c r="AA90" s="107">
        <f t="shared" si="37"/>
        <v>12.903000000000002</v>
      </c>
      <c r="AB90" s="107">
        <f t="shared" si="38"/>
        <v>36.234000000000002</v>
      </c>
      <c r="AD90" s="107">
        <f t="shared" si="39"/>
        <v>19.866</v>
      </c>
      <c r="AE90" s="107">
        <f t="shared" si="40"/>
        <v>30.470000000000002</v>
      </c>
      <c r="AF90" s="107">
        <f t="shared" si="41"/>
        <v>42.988</v>
      </c>
      <c r="AH90" s="107">
        <v>9.25</v>
      </c>
      <c r="AI90" s="107">
        <v>14.44</v>
      </c>
      <c r="AJ90" s="107">
        <v>26.32</v>
      </c>
      <c r="AK90" s="107">
        <v>25.52</v>
      </c>
      <c r="AL90" s="107">
        <v>15.18</v>
      </c>
      <c r="AM90" s="107">
        <v>27.28</v>
      </c>
      <c r="AN90" s="107">
        <v>20.83</v>
      </c>
      <c r="AO90" s="107">
        <v>7.4399999999999995</v>
      </c>
      <c r="AP90" s="107">
        <v>17.75</v>
      </c>
      <c r="AQ90" s="107">
        <v>14.809999999999999</v>
      </c>
      <c r="AR90" s="107">
        <v>11.73</v>
      </c>
      <c r="AS90" s="107">
        <v>32.94</v>
      </c>
      <c r="AT90" s="107">
        <v>18.059999999999999</v>
      </c>
      <c r="AU90" s="107">
        <v>27.7</v>
      </c>
      <c r="AV90" s="107">
        <v>39.08</v>
      </c>
    </row>
    <row r="91" spans="1:48" ht="30" customHeight="1" outlineLevel="2">
      <c r="A91" s="119" t="s">
        <v>412</v>
      </c>
      <c r="B91" s="120" t="s">
        <v>413</v>
      </c>
      <c r="C91" s="114" t="s">
        <v>253</v>
      </c>
      <c r="E91" s="105">
        <f>MIN(N91,R91,V91,Z91,AD91)</f>
        <v>18.216000000000001</v>
      </c>
      <c r="F91" s="105">
        <f>AVERAGE(N91,R91,V91,Z91,AD91)</f>
        <v>28.155600000000003</v>
      </c>
      <c r="G91" s="105">
        <f>MAX(N91,R91,V91,Z91,AD91)</f>
        <v>45.155000000000001</v>
      </c>
      <c r="H91" s="106"/>
      <c r="I91" s="105">
        <f>MIN(T91,X91,AB91,AF91,P91)</f>
        <v>33.286000000000001</v>
      </c>
      <c r="J91" s="105">
        <f>AVERAGE(P91,T91,X91,AB91,AF91)</f>
        <v>46.716999999999999</v>
      </c>
      <c r="K91" s="105">
        <f>MAX(P91,T91,X91,AB91,AF91)</f>
        <v>58.179000000000002</v>
      </c>
      <c r="N91" s="107">
        <f t="shared" si="27"/>
        <v>18.216000000000001</v>
      </c>
      <c r="O91" s="107">
        <f t="shared" si="28"/>
        <v>26.983000000000004</v>
      </c>
      <c r="P91" s="107">
        <f t="shared" si="29"/>
        <v>44.363</v>
      </c>
      <c r="R91" s="107">
        <f t="shared" si="30"/>
        <v>45.155000000000001</v>
      </c>
      <c r="S91" s="107">
        <f t="shared" si="31"/>
        <v>38.896000000000001</v>
      </c>
      <c r="T91" s="107">
        <f t="shared" si="32"/>
        <v>55.627000000000002</v>
      </c>
      <c r="V91" s="107">
        <f t="shared" si="33"/>
        <v>29.205000000000002</v>
      </c>
      <c r="W91" s="107">
        <f t="shared" si="34"/>
        <v>18.381000000000004</v>
      </c>
      <c r="X91" s="107">
        <f t="shared" si="35"/>
        <v>33.286000000000001</v>
      </c>
      <c r="Z91" s="107">
        <f t="shared" si="36"/>
        <v>19.866000000000003</v>
      </c>
      <c r="AA91" s="107">
        <f t="shared" si="37"/>
        <v>17.908000000000001</v>
      </c>
      <c r="AB91" s="107">
        <f t="shared" si="38"/>
        <v>42.13</v>
      </c>
      <c r="AD91" s="107">
        <f t="shared" si="39"/>
        <v>28.336000000000006</v>
      </c>
      <c r="AE91" s="107">
        <f t="shared" si="40"/>
        <v>43.142000000000003</v>
      </c>
      <c r="AF91" s="107">
        <f t="shared" si="41"/>
        <v>58.179000000000002</v>
      </c>
      <c r="AH91" s="107">
        <v>16.559999999999999</v>
      </c>
      <c r="AI91" s="107">
        <v>24.53</v>
      </c>
      <c r="AJ91" s="107">
        <v>40.33</v>
      </c>
      <c r="AK91" s="107">
        <v>41.05</v>
      </c>
      <c r="AL91" s="107">
        <v>35.36</v>
      </c>
      <c r="AM91" s="107">
        <v>50.57</v>
      </c>
      <c r="AN91" s="107">
        <v>26.55</v>
      </c>
      <c r="AO91" s="107">
        <v>16.71</v>
      </c>
      <c r="AP91" s="107">
        <v>30.26</v>
      </c>
      <c r="AQ91" s="107">
        <v>18.060000000000002</v>
      </c>
      <c r="AR91" s="107">
        <v>16.28</v>
      </c>
      <c r="AS91" s="107">
        <v>38.299999999999997</v>
      </c>
      <c r="AT91" s="107">
        <v>25.76</v>
      </c>
      <c r="AU91" s="107">
        <v>39.22</v>
      </c>
      <c r="AV91" s="107">
        <v>52.89</v>
      </c>
    </row>
    <row r="92" spans="1:48" ht="30" customHeight="1" outlineLevel="1">
      <c r="A92" s="121" t="s">
        <v>414</v>
      </c>
      <c r="B92" s="122" t="s">
        <v>415</v>
      </c>
      <c r="C92" s="130"/>
      <c r="N92" s="11" t="str">
        <f t="shared" si="27"/>
        <v/>
      </c>
      <c r="O92" s="11" t="str">
        <f t="shared" si="28"/>
        <v/>
      </c>
      <c r="P92" s="11" t="str">
        <f t="shared" si="29"/>
        <v/>
      </c>
      <c r="R92" s="11" t="str">
        <f t="shared" si="30"/>
        <v/>
      </c>
      <c r="S92" s="11" t="str">
        <f t="shared" si="31"/>
        <v/>
      </c>
      <c r="T92" s="11" t="str">
        <f t="shared" si="32"/>
        <v/>
      </c>
      <c r="V92" s="11" t="str">
        <f t="shared" si="33"/>
        <v/>
      </c>
      <c r="W92" s="11" t="str">
        <f t="shared" si="34"/>
        <v/>
      </c>
      <c r="X92" s="11" t="str">
        <f t="shared" si="35"/>
        <v/>
      </c>
      <c r="Z92" s="11" t="str">
        <f t="shared" si="36"/>
        <v/>
      </c>
      <c r="AA92" s="11" t="str">
        <f t="shared" si="37"/>
        <v/>
      </c>
      <c r="AB92" s="11" t="str">
        <f t="shared" si="38"/>
        <v/>
      </c>
      <c r="AD92" s="11" t="str">
        <f t="shared" si="39"/>
        <v/>
      </c>
      <c r="AE92" s="11" t="str">
        <f t="shared" si="40"/>
        <v/>
      </c>
      <c r="AF92" s="11" t="str">
        <f t="shared" si="41"/>
        <v/>
      </c>
    </row>
    <row r="93" spans="1:48" s="124" customFormat="1" ht="30" customHeight="1" outlineLevel="2">
      <c r="A93" s="125" t="s">
        <v>416</v>
      </c>
      <c r="B93" s="126" t="s">
        <v>417</v>
      </c>
      <c r="C93" s="104" t="s">
        <v>253</v>
      </c>
      <c r="E93" s="105">
        <f>MIN(N93,R93,V93,Z93,AD93)</f>
        <v>-0.53900000000000003</v>
      </c>
      <c r="F93" s="105">
        <f>AVERAGE(N93,R93,V93,Z93,AD93)</f>
        <v>9.1585999999999999</v>
      </c>
      <c r="G93" s="105">
        <f>MAX(N93,R93,V93,Z93,AD93)</f>
        <v>18.898</v>
      </c>
      <c r="H93" s="106"/>
      <c r="I93" s="105">
        <f>MIN(T93,X93,AB93,AF93,P93)</f>
        <v>7.4470000000000001</v>
      </c>
      <c r="J93" s="105">
        <f>AVERAGE(P93,T93,X93,AB93,AF93)</f>
        <v>15.034800000000001</v>
      </c>
      <c r="K93" s="105">
        <f>MAX(P93,T93,X93,AB93,AF93)</f>
        <v>31.317</v>
      </c>
      <c r="N93" s="107">
        <f t="shared" si="27"/>
        <v>-0.53900000000000003</v>
      </c>
      <c r="O93" s="107">
        <f t="shared" si="28"/>
        <v>1.2209999999999999</v>
      </c>
      <c r="P93" s="107">
        <f t="shared" si="29"/>
        <v>8.745000000000001</v>
      </c>
      <c r="R93" s="107">
        <f t="shared" si="30"/>
        <v>13.035</v>
      </c>
      <c r="S93" s="107">
        <f t="shared" si="31"/>
        <v>-2.8600000000000003</v>
      </c>
      <c r="T93" s="107">
        <f t="shared" si="32"/>
        <v>7.4470000000000001</v>
      </c>
      <c r="V93" s="107">
        <f t="shared" si="33"/>
        <v>18.898</v>
      </c>
      <c r="W93" s="107">
        <f t="shared" si="34"/>
        <v>1.6829999999999998</v>
      </c>
      <c r="X93" s="107">
        <f t="shared" si="35"/>
        <v>10.747</v>
      </c>
      <c r="Z93" s="107">
        <f t="shared" si="36"/>
        <v>13.31</v>
      </c>
      <c r="AA93" s="107">
        <f t="shared" si="37"/>
        <v>8.734</v>
      </c>
      <c r="AB93" s="107">
        <f t="shared" si="38"/>
        <v>31.317</v>
      </c>
      <c r="AD93" s="107">
        <f t="shared" si="39"/>
        <v>1.0890000000000004</v>
      </c>
      <c r="AE93" s="107">
        <f t="shared" si="40"/>
        <v>7.1390000000000011</v>
      </c>
      <c r="AF93" s="107">
        <f t="shared" si="41"/>
        <v>16.917999999999999</v>
      </c>
      <c r="AH93" s="107">
        <v>-0.49</v>
      </c>
      <c r="AI93" s="107">
        <v>1.1099999999999999</v>
      </c>
      <c r="AJ93" s="107">
        <v>7.95</v>
      </c>
      <c r="AK93" s="107">
        <v>11.85</v>
      </c>
      <c r="AL93" s="107">
        <v>-2.6</v>
      </c>
      <c r="AM93" s="107">
        <v>6.77</v>
      </c>
      <c r="AN93" s="107">
        <v>17.18</v>
      </c>
      <c r="AO93" s="107">
        <v>1.5299999999999998</v>
      </c>
      <c r="AP93" s="107">
        <v>9.77</v>
      </c>
      <c r="AQ93" s="107">
        <v>12.1</v>
      </c>
      <c r="AR93" s="107">
        <v>7.9399999999999995</v>
      </c>
      <c r="AS93" s="107">
        <v>28.47</v>
      </c>
      <c r="AT93" s="107">
        <v>0.99000000000000021</v>
      </c>
      <c r="AU93" s="107">
        <v>6.49</v>
      </c>
      <c r="AV93" s="107">
        <v>15.379999999999999</v>
      </c>
    </row>
    <row r="94" spans="1:48" ht="30" customHeight="1" outlineLevel="1">
      <c r="A94" s="121" t="s">
        <v>418</v>
      </c>
      <c r="B94" s="122" t="s">
        <v>419</v>
      </c>
      <c r="C94" s="130"/>
      <c r="N94" s="11" t="str">
        <f t="shared" si="27"/>
        <v/>
      </c>
      <c r="O94" s="11" t="str">
        <f t="shared" si="28"/>
        <v/>
      </c>
      <c r="P94" s="11" t="str">
        <f t="shared" si="29"/>
        <v/>
      </c>
      <c r="R94" s="11" t="str">
        <f t="shared" si="30"/>
        <v/>
      </c>
      <c r="S94" s="11" t="str">
        <f t="shared" si="31"/>
        <v/>
      </c>
      <c r="T94" s="11" t="str">
        <f t="shared" si="32"/>
        <v/>
      </c>
      <c r="V94" s="11" t="str">
        <f t="shared" si="33"/>
        <v/>
      </c>
      <c r="W94" s="11" t="str">
        <f t="shared" si="34"/>
        <v/>
      </c>
      <c r="X94" s="11" t="str">
        <f t="shared" si="35"/>
        <v/>
      </c>
      <c r="Z94" s="11" t="str">
        <f t="shared" si="36"/>
        <v/>
      </c>
      <c r="AA94" s="11" t="str">
        <f t="shared" si="37"/>
        <v/>
      </c>
      <c r="AB94" s="11" t="str">
        <f t="shared" si="38"/>
        <v/>
      </c>
      <c r="AD94" s="11" t="str">
        <f t="shared" si="39"/>
        <v/>
      </c>
      <c r="AE94" s="11" t="str">
        <f t="shared" si="40"/>
        <v/>
      </c>
      <c r="AF94" s="11" t="str">
        <f t="shared" si="41"/>
        <v/>
      </c>
    </row>
    <row r="95" spans="1:48" ht="30" customHeight="1" outlineLevel="2">
      <c r="A95" s="125" t="s">
        <v>420</v>
      </c>
      <c r="B95" s="118" t="s">
        <v>421</v>
      </c>
      <c r="C95" s="104" t="s">
        <v>253</v>
      </c>
      <c r="E95" s="105">
        <f>MIN(N95,R95,V95,Z95,AD95)</f>
        <v>-0.53900000000000003</v>
      </c>
      <c r="F95" s="105">
        <f>AVERAGE(N95,R95,V95,Z95,AD95)</f>
        <v>9.4841999999999995</v>
      </c>
      <c r="G95" s="105">
        <f>MAX(N95,R95,V95,Z95,AD95)</f>
        <v>18.975000000000001</v>
      </c>
      <c r="H95" s="106"/>
      <c r="I95" s="105">
        <f>MIN(T95,X95,AB95,AF95,P95)</f>
        <v>8.0630000000000006</v>
      </c>
      <c r="J95" s="105">
        <f>AVERAGE(P95,T95,X95,AB95,AF95)</f>
        <v>15.967599999999999</v>
      </c>
      <c r="K95" s="105">
        <f>MAX(P95,T95,X95,AB95,AF95)</f>
        <v>32.505000000000003</v>
      </c>
      <c r="N95" s="107">
        <f t="shared" si="27"/>
        <v>-0.53900000000000003</v>
      </c>
      <c r="O95" s="107">
        <f t="shared" si="28"/>
        <v>1.2209999999999999</v>
      </c>
      <c r="P95" s="107">
        <f t="shared" si="29"/>
        <v>8.745000000000001</v>
      </c>
      <c r="R95" s="107">
        <f t="shared" si="30"/>
        <v>13.442000000000002</v>
      </c>
      <c r="S95" s="107">
        <f t="shared" si="31"/>
        <v>-2.3320000000000003</v>
      </c>
      <c r="T95" s="107">
        <f t="shared" si="32"/>
        <v>8.0630000000000006</v>
      </c>
      <c r="V95" s="107">
        <f t="shared" si="33"/>
        <v>18.975000000000001</v>
      </c>
      <c r="W95" s="107">
        <f t="shared" si="34"/>
        <v>1.8040000000000003</v>
      </c>
      <c r="X95" s="107">
        <f t="shared" si="35"/>
        <v>10.912000000000001</v>
      </c>
      <c r="Z95" s="107">
        <f t="shared" si="36"/>
        <v>14.036000000000001</v>
      </c>
      <c r="AA95" s="107">
        <f t="shared" si="37"/>
        <v>9.7460000000000004</v>
      </c>
      <c r="AB95" s="107">
        <f t="shared" si="38"/>
        <v>32.505000000000003</v>
      </c>
      <c r="AD95" s="107">
        <f t="shared" si="39"/>
        <v>1.5070000000000003</v>
      </c>
      <c r="AE95" s="107">
        <f t="shared" si="40"/>
        <v>7.766</v>
      </c>
      <c r="AF95" s="107">
        <f t="shared" si="41"/>
        <v>19.613</v>
      </c>
      <c r="AH95" s="107">
        <v>-0.49</v>
      </c>
      <c r="AI95" s="107">
        <v>1.1099999999999999</v>
      </c>
      <c r="AJ95" s="107">
        <v>7.95</v>
      </c>
      <c r="AK95" s="107">
        <v>12.22</v>
      </c>
      <c r="AL95" s="107">
        <v>-2.12</v>
      </c>
      <c r="AM95" s="107">
        <v>7.33</v>
      </c>
      <c r="AN95" s="107">
        <v>17.25</v>
      </c>
      <c r="AO95" s="107">
        <v>1.6400000000000001</v>
      </c>
      <c r="AP95" s="107">
        <v>9.92</v>
      </c>
      <c r="AQ95" s="107">
        <v>12.76</v>
      </c>
      <c r="AR95" s="107">
        <v>8.86</v>
      </c>
      <c r="AS95" s="107">
        <v>29.55</v>
      </c>
      <c r="AT95" s="107">
        <v>1.37</v>
      </c>
      <c r="AU95" s="107">
        <v>7.06</v>
      </c>
      <c r="AV95" s="107">
        <v>17.829999999999998</v>
      </c>
    </row>
    <row r="96" spans="1:48" s="124" customFormat="1" ht="30" customHeight="1" outlineLevel="2">
      <c r="A96" s="125" t="s">
        <v>422</v>
      </c>
      <c r="B96" s="118" t="s">
        <v>423</v>
      </c>
      <c r="C96" s="104" t="s">
        <v>253</v>
      </c>
      <c r="E96" s="105">
        <f>MIN(N96,R96,V96,Z96,AD96)</f>
        <v>-0.53900000000000003</v>
      </c>
      <c r="F96" s="105">
        <f>AVERAGE(N96,R96,V96,Z96,AD96)</f>
        <v>9.9440000000000008</v>
      </c>
      <c r="G96" s="105">
        <f>MAX(N96,R96,V96,Z96,AD96)</f>
        <v>19.591000000000001</v>
      </c>
      <c r="H96" s="106"/>
      <c r="I96" s="105">
        <f>MIN(T96,X96,AB96,AF96,P96)</f>
        <v>8.745000000000001</v>
      </c>
      <c r="J96" s="105">
        <f>AVERAGE(P96,T96,X96,AB96,AF96)</f>
        <v>16.891600000000004</v>
      </c>
      <c r="K96" s="105">
        <f>MAX(P96,T96,X96,AB96,AF96)</f>
        <v>33.022000000000006</v>
      </c>
      <c r="N96" s="107">
        <f t="shared" si="27"/>
        <v>-0.53900000000000003</v>
      </c>
      <c r="O96" s="107">
        <f t="shared" si="28"/>
        <v>1.2209999999999999</v>
      </c>
      <c r="P96" s="107">
        <f t="shared" si="29"/>
        <v>8.745000000000001</v>
      </c>
      <c r="R96" s="107">
        <f t="shared" si="30"/>
        <v>13.97</v>
      </c>
      <c r="S96" s="107">
        <f t="shared" si="31"/>
        <v>-1.6390000000000005</v>
      </c>
      <c r="T96" s="107">
        <f t="shared" si="32"/>
        <v>8.8550000000000022</v>
      </c>
      <c r="V96" s="107">
        <f t="shared" si="33"/>
        <v>19.591000000000001</v>
      </c>
      <c r="W96" s="107">
        <f t="shared" si="34"/>
        <v>2.8050000000000002</v>
      </c>
      <c r="X96" s="107">
        <f t="shared" si="35"/>
        <v>12.265000000000001</v>
      </c>
      <c r="Z96" s="107">
        <f t="shared" si="36"/>
        <v>14.343999999999999</v>
      </c>
      <c r="AA96" s="107">
        <f t="shared" si="37"/>
        <v>10.186</v>
      </c>
      <c r="AB96" s="107">
        <f t="shared" si="38"/>
        <v>33.022000000000006</v>
      </c>
      <c r="AD96" s="107">
        <f t="shared" si="39"/>
        <v>2.3539999999999996</v>
      </c>
      <c r="AE96" s="107">
        <f t="shared" si="40"/>
        <v>9.0310000000000024</v>
      </c>
      <c r="AF96" s="107">
        <f t="shared" si="41"/>
        <v>21.571000000000002</v>
      </c>
      <c r="AH96" s="107">
        <v>-0.49</v>
      </c>
      <c r="AI96" s="107">
        <v>1.1099999999999999</v>
      </c>
      <c r="AJ96" s="107">
        <v>7.95</v>
      </c>
      <c r="AK96" s="107">
        <v>12.7</v>
      </c>
      <c r="AL96" s="107">
        <v>-1.4900000000000002</v>
      </c>
      <c r="AM96" s="107">
        <v>8.0500000000000007</v>
      </c>
      <c r="AN96" s="107">
        <v>17.809999999999999</v>
      </c>
      <c r="AO96" s="107">
        <v>2.5499999999999998</v>
      </c>
      <c r="AP96" s="107">
        <v>11.15</v>
      </c>
      <c r="AQ96" s="107">
        <v>13.04</v>
      </c>
      <c r="AR96" s="107">
        <v>9.26</v>
      </c>
      <c r="AS96" s="107">
        <v>30.02</v>
      </c>
      <c r="AT96" s="107">
        <v>2.1399999999999997</v>
      </c>
      <c r="AU96" s="107">
        <v>8.2100000000000009</v>
      </c>
      <c r="AV96" s="107">
        <v>19.61</v>
      </c>
    </row>
    <row r="97" spans="1:48" s="124" customFormat="1" ht="30" customHeight="1" outlineLevel="2">
      <c r="A97" s="125" t="s">
        <v>424</v>
      </c>
      <c r="B97" s="118" t="s">
        <v>425</v>
      </c>
      <c r="C97" s="104" t="s">
        <v>253</v>
      </c>
      <c r="E97" s="105">
        <f>MIN(N97,R97,V97,Z97,AD97)</f>
        <v>1.0999999999999767E-2</v>
      </c>
      <c r="F97" s="105">
        <f>AVERAGE(N97,R97,V97,Z97,AD97)</f>
        <v>10.6326</v>
      </c>
      <c r="G97" s="105">
        <f>MAX(N97,R97,V97,Z97,AD97)</f>
        <v>20.218</v>
      </c>
      <c r="H97" s="106"/>
      <c r="I97" s="105">
        <f>MIN(T97,X97,AB97,AF97,P97)</f>
        <v>9.2840000000000025</v>
      </c>
      <c r="J97" s="105">
        <f>AVERAGE(P97,T97,X97,AB97,AF97)</f>
        <v>18.299600000000002</v>
      </c>
      <c r="K97" s="105">
        <f>MAX(P97,T97,X97,AB97,AF97)</f>
        <v>34.012000000000008</v>
      </c>
      <c r="N97" s="107">
        <f t="shared" si="27"/>
        <v>1.0999999999999767E-2</v>
      </c>
      <c r="O97" s="107">
        <f t="shared" si="28"/>
        <v>1.9910000000000003</v>
      </c>
      <c r="P97" s="107">
        <f t="shared" si="29"/>
        <v>9.8230000000000004</v>
      </c>
      <c r="R97" s="107">
        <f t="shared" si="30"/>
        <v>14.256000000000002</v>
      </c>
      <c r="S97" s="107">
        <f t="shared" si="31"/>
        <v>-1.2760000000000002</v>
      </c>
      <c r="T97" s="107">
        <f t="shared" si="32"/>
        <v>9.2840000000000025</v>
      </c>
      <c r="V97" s="107">
        <f t="shared" si="33"/>
        <v>20.218</v>
      </c>
      <c r="W97" s="107">
        <f t="shared" si="34"/>
        <v>3.8170000000000002</v>
      </c>
      <c r="X97" s="107">
        <f t="shared" si="35"/>
        <v>13.618</v>
      </c>
      <c r="Z97" s="107">
        <f t="shared" si="36"/>
        <v>14.949000000000002</v>
      </c>
      <c r="AA97" s="107">
        <f t="shared" si="37"/>
        <v>11.033000000000003</v>
      </c>
      <c r="AB97" s="107">
        <f t="shared" si="38"/>
        <v>34.012000000000008</v>
      </c>
      <c r="AD97" s="107">
        <f t="shared" si="39"/>
        <v>3.7290000000000001</v>
      </c>
      <c r="AE97" s="107">
        <f t="shared" si="40"/>
        <v>11.099</v>
      </c>
      <c r="AF97" s="107">
        <f t="shared" si="41"/>
        <v>24.760999999999999</v>
      </c>
      <c r="AH97" s="107">
        <v>9.9999999999997868E-3</v>
      </c>
      <c r="AI97" s="107">
        <v>1.81</v>
      </c>
      <c r="AJ97" s="107">
        <v>8.93</v>
      </c>
      <c r="AK97" s="107">
        <v>12.96</v>
      </c>
      <c r="AL97" s="107">
        <v>-1.1600000000000001</v>
      </c>
      <c r="AM97" s="107">
        <v>8.4400000000000013</v>
      </c>
      <c r="AN97" s="107">
        <v>18.38</v>
      </c>
      <c r="AO97" s="107">
        <v>3.4699999999999998</v>
      </c>
      <c r="AP97" s="107">
        <v>12.379999999999999</v>
      </c>
      <c r="AQ97" s="107">
        <v>13.59</v>
      </c>
      <c r="AR97" s="107">
        <v>10.030000000000001</v>
      </c>
      <c r="AS97" s="107">
        <v>30.92</v>
      </c>
      <c r="AT97" s="107">
        <v>3.3899999999999997</v>
      </c>
      <c r="AU97" s="107">
        <v>10.09</v>
      </c>
      <c r="AV97" s="107">
        <v>22.509999999999998</v>
      </c>
    </row>
    <row r="98" spans="1:48" s="124" customFormat="1" ht="30" customHeight="1" outlineLevel="2">
      <c r="A98" s="125" t="s">
        <v>426</v>
      </c>
      <c r="B98" s="118" t="s">
        <v>427</v>
      </c>
      <c r="C98" s="104" t="s">
        <v>253</v>
      </c>
      <c r="E98" s="105">
        <f>MIN(N98,R98,V98,Z98,AD98)</f>
        <v>1.1109999999999998</v>
      </c>
      <c r="F98" s="105">
        <f>AVERAGE(N98,R98,V98,Z98,AD98)</f>
        <v>12.3002</v>
      </c>
      <c r="G98" s="105">
        <f>MAX(N98,R98,V98,Z98,AD98)</f>
        <v>20.834000000000003</v>
      </c>
      <c r="H98" s="106"/>
      <c r="I98" s="105">
        <f>MIN(T98,X98,AB98,AF98,P98)</f>
        <v>10.494</v>
      </c>
      <c r="J98" s="105">
        <f>AVERAGE(P98,T98,X98,AB98,AF98)</f>
        <v>21.557800000000004</v>
      </c>
      <c r="K98" s="105">
        <f>MAX(P98,T98,X98,AB98,AF98)</f>
        <v>35.574000000000005</v>
      </c>
      <c r="N98" s="107">
        <f t="shared" si="27"/>
        <v>1.1109999999999998</v>
      </c>
      <c r="O98" s="107">
        <f t="shared" si="28"/>
        <v>3.5310000000000001</v>
      </c>
      <c r="P98" s="107">
        <f t="shared" si="29"/>
        <v>11.979000000000001</v>
      </c>
      <c r="R98" s="107">
        <f t="shared" si="30"/>
        <v>15.07</v>
      </c>
      <c r="S98" s="107">
        <f t="shared" si="31"/>
        <v>-0.22000000000000022</v>
      </c>
      <c r="T98" s="107">
        <f t="shared" si="32"/>
        <v>10.494</v>
      </c>
      <c r="V98" s="107">
        <f t="shared" si="33"/>
        <v>20.834000000000003</v>
      </c>
      <c r="W98" s="107">
        <f t="shared" si="34"/>
        <v>4.8180000000000005</v>
      </c>
      <c r="X98" s="107">
        <f t="shared" si="35"/>
        <v>14.971</v>
      </c>
      <c r="Z98" s="107">
        <f t="shared" si="36"/>
        <v>15.400000000000002</v>
      </c>
      <c r="AA98" s="107">
        <f t="shared" si="37"/>
        <v>11.671000000000001</v>
      </c>
      <c r="AB98" s="107">
        <f t="shared" si="38"/>
        <v>34.771000000000001</v>
      </c>
      <c r="AD98" s="107">
        <f t="shared" si="39"/>
        <v>9.0860000000000003</v>
      </c>
      <c r="AE98" s="107">
        <f t="shared" si="40"/>
        <v>19.129000000000001</v>
      </c>
      <c r="AF98" s="107">
        <f t="shared" si="41"/>
        <v>35.574000000000005</v>
      </c>
      <c r="AH98" s="107">
        <v>1.0099999999999998</v>
      </c>
      <c r="AI98" s="107">
        <v>3.21</v>
      </c>
      <c r="AJ98" s="107">
        <v>10.89</v>
      </c>
      <c r="AK98" s="107">
        <v>13.7</v>
      </c>
      <c r="AL98" s="107">
        <v>-0.20000000000000018</v>
      </c>
      <c r="AM98" s="107">
        <v>9.5399999999999991</v>
      </c>
      <c r="AN98" s="107">
        <v>18.940000000000001</v>
      </c>
      <c r="AO98" s="107">
        <v>4.38</v>
      </c>
      <c r="AP98" s="107">
        <v>13.61</v>
      </c>
      <c r="AQ98" s="107">
        <v>14</v>
      </c>
      <c r="AR98" s="107">
        <v>10.61</v>
      </c>
      <c r="AS98" s="107">
        <v>31.61</v>
      </c>
      <c r="AT98" s="107">
        <v>8.26</v>
      </c>
      <c r="AU98" s="107">
        <v>17.39</v>
      </c>
      <c r="AV98" s="107">
        <v>32.340000000000003</v>
      </c>
    </row>
    <row r="99" spans="1:48" ht="30" customHeight="1" outlineLevel="1">
      <c r="A99" s="121" t="s">
        <v>428</v>
      </c>
      <c r="B99" s="122" t="s">
        <v>429</v>
      </c>
      <c r="C99" s="123"/>
      <c r="N99" s="11" t="str">
        <f t="shared" si="27"/>
        <v/>
      </c>
      <c r="O99" s="11" t="str">
        <f t="shared" si="28"/>
        <v/>
      </c>
      <c r="P99" s="11" t="str">
        <f t="shared" si="29"/>
        <v/>
      </c>
      <c r="R99" s="11" t="str">
        <f t="shared" si="30"/>
        <v/>
      </c>
      <c r="S99" s="11" t="str">
        <f t="shared" si="31"/>
        <v/>
      </c>
      <c r="T99" s="11" t="str">
        <f t="shared" si="32"/>
        <v/>
      </c>
      <c r="V99" s="11" t="str">
        <f t="shared" si="33"/>
        <v/>
      </c>
      <c r="W99" s="11" t="str">
        <f t="shared" si="34"/>
        <v/>
      </c>
      <c r="X99" s="11" t="str">
        <f t="shared" si="35"/>
        <v/>
      </c>
      <c r="Z99" s="11" t="str">
        <f t="shared" si="36"/>
        <v/>
      </c>
      <c r="AA99" s="11" t="str">
        <f t="shared" si="37"/>
        <v/>
      </c>
      <c r="AB99" s="11" t="str">
        <f t="shared" si="38"/>
        <v/>
      </c>
      <c r="AD99" s="11" t="str">
        <f t="shared" si="39"/>
        <v/>
      </c>
      <c r="AE99" s="11" t="str">
        <f t="shared" si="40"/>
        <v/>
      </c>
      <c r="AF99" s="11" t="str">
        <f t="shared" si="41"/>
        <v/>
      </c>
    </row>
    <row r="100" spans="1:48" ht="30" customHeight="1" outlineLevel="2">
      <c r="A100" s="125" t="s">
        <v>430</v>
      </c>
      <c r="B100" s="118" t="s">
        <v>431</v>
      </c>
      <c r="C100" s="104" t="s">
        <v>253</v>
      </c>
      <c r="E100" s="105">
        <f>MIN(N100,R100,V100,Z100,AD100)</f>
        <v>-0.53900000000000003</v>
      </c>
      <c r="F100" s="105">
        <f>AVERAGE(N100,R100,V100,Z100,AD100)</f>
        <v>9.4841999999999995</v>
      </c>
      <c r="G100" s="105">
        <f>MAX(N100,R100,V100,Z100,AD100)</f>
        <v>18.975000000000001</v>
      </c>
      <c r="H100" s="106"/>
      <c r="I100" s="105">
        <f>MIN(T100,X100,AB100,AF100,P100)</f>
        <v>8.0630000000000006</v>
      </c>
      <c r="J100" s="105">
        <f>AVERAGE(P100,T100,X100,AB100,AF100)</f>
        <v>15.967599999999999</v>
      </c>
      <c r="K100" s="105">
        <f>MAX(P100,T100,X100,AB100,AF100)</f>
        <v>32.505000000000003</v>
      </c>
      <c r="N100" s="107">
        <f t="shared" si="27"/>
        <v>-0.53900000000000003</v>
      </c>
      <c r="O100" s="107">
        <f t="shared" si="28"/>
        <v>1.2209999999999999</v>
      </c>
      <c r="P100" s="107">
        <f t="shared" si="29"/>
        <v>8.745000000000001</v>
      </c>
      <c r="R100" s="107">
        <f t="shared" si="30"/>
        <v>13.442000000000002</v>
      </c>
      <c r="S100" s="107">
        <f t="shared" si="31"/>
        <v>-2.3320000000000003</v>
      </c>
      <c r="T100" s="107">
        <f t="shared" si="32"/>
        <v>8.0630000000000006</v>
      </c>
      <c r="V100" s="107">
        <f t="shared" si="33"/>
        <v>18.975000000000001</v>
      </c>
      <c r="W100" s="107">
        <f t="shared" si="34"/>
        <v>1.8040000000000003</v>
      </c>
      <c r="X100" s="107">
        <f t="shared" si="35"/>
        <v>10.912000000000001</v>
      </c>
      <c r="Z100" s="107">
        <f t="shared" si="36"/>
        <v>14.036000000000001</v>
      </c>
      <c r="AA100" s="107">
        <f t="shared" si="37"/>
        <v>9.7460000000000004</v>
      </c>
      <c r="AB100" s="107">
        <f t="shared" si="38"/>
        <v>32.505000000000003</v>
      </c>
      <c r="AD100" s="107">
        <f t="shared" si="39"/>
        <v>1.5070000000000003</v>
      </c>
      <c r="AE100" s="107">
        <f t="shared" si="40"/>
        <v>7.766</v>
      </c>
      <c r="AF100" s="107">
        <f t="shared" si="41"/>
        <v>19.613</v>
      </c>
      <c r="AH100" s="107">
        <v>-0.49</v>
      </c>
      <c r="AI100" s="107">
        <v>1.1099999999999999</v>
      </c>
      <c r="AJ100" s="107">
        <v>7.95</v>
      </c>
      <c r="AK100" s="107">
        <v>12.22</v>
      </c>
      <c r="AL100" s="107">
        <v>-2.12</v>
      </c>
      <c r="AM100" s="107">
        <v>7.33</v>
      </c>
      <c r="AN100" s="107">
        <v>17.25</v>
      </c>
      <c r="AO100" s="107">
        <v>1.6400000000000001</v>
      </c>
      <c r="AP100" s="107">
        <v>9.92</v>
      </c>
      <c r="AQ100" s="107">
        <v>12.76</v>
      </c>
      <c r="AR100" s="107">
        <v>8.86</v>
      </c>
      <c r="AS100" s="107">
        <v>29.55</v>
      </c>
      <c r="AT100" s="107">
        <v>1.37</v>
      </c>
      <c r="AU100" s="107">
        <v>7.06</v>
      </c>
      <c r="AV100" s="107">
        <v>17.829999999999998</v>
      </c>
    </row>
    <row r="101" spans="1:48" s="124" customFormat="1" ht="30" customHeight="1" outlineLevel="2">
      <c r="A101" s="125" t="s">
        <v>432</v>
      </c>
      <c r="B101" s="118" t="s">
        <v>433</v>
      </c>
      <c r="C101" s="104" t="s">
        <v>253</v>
      </c>
      <c r="E101" s="105">
        <f>MIN(N101,R101,V101,Z101,AD101)</f>
        <v>-0.53900000000000003</v>
      </c>
      <c r="F101" s="105">
        <f>AVERAGE(N101,R101,V101,Z101,AD101)</f>
        <v>10.355399999999999</v>
      </c>
      <c r="G101" s="105">
        <f>MAX(N101,R101,V101,Z101,AD101)</f>
        <v>19.591000000000001</v>
      </c>
      <c r="H101" s="106"/>
      <c r="I101" s="105">
        <f>MIN(T101,X101,AB101,AF101,P101)</f>
        <v>8.745000000000001</v>
      </c>
      <c r="J101" s="105">
        <f>AVERAGE(P101,T101,X101,AB101,AF101)</f>
        <v>17.569200000000002</v>
      </c>
      <c r="K101" s="105">
        <f>MAX(P101,T101,X101,AB101,AF101)</f>
        <v>36.289000000000009</v>
      </c>
      <c r="N101" s="107">
        <f t="shared" si="27"/>
        <v>-0.53900000000000003</v>
      </c>
      <c r="O101" s="107">
        <f t="shared" si="28"/>
        <v>1.2209999999999999</v>
      </c>
      <c r="P101" s="107">
        <f t="shared" si="29"/>
        <v>8.745000000000001</v>
      </c>
      <c r="R101" s="107">
        <f t="shared" si="30"/>
        <v>14.047000000000001</v>
      </c>
      <c r="S101" s="107">
        <f t="shared" si="31"/>
        <v>-1.54</v>
      </c>
      <c r="T101" s="107">
        <f t="shared" si="32"/>
        <v>8.9760000000000009</v>
      </c>
      <c r="V101" s="107">
        <f t="shared" si="33"/>
        <v>19.591000000000001</v>
      </c>
      <c r="W101" s="107">
        <f t="shared" si="34"/>
        <v>2.8050000000000002</v>
      </c>
      <c r="X101" s="107">
        <f t="shared" si="35"/>
        <v>12.265000000000001</v>
      </c>
      <c r="Z101" s="107">
        <f t="shared" si="36"/>
        <v>16.324000000000002</v>
      </c>
      <c r="AA101" s="107">
        <f t="shared" si="37"/>
        <v>12.958000000000002</v>
      </c>
      <c r="AB101" s="107">
        <f t="shared" si="38"/>
        <v>36.289000000000009</v>
      </c>
      <c r="AD101" s="107">
        <f t="shared" si="39"/>
        <v>2.3539999999999996</v>
      </c>
      <c r="AE101" s="107">
        <f t="shared" si="40"/>
        <v>9.0310000000000024</v>
      </c>
      <c r="AF101" s="107">
        <f t="shared" si="41"/>
        <v>21.571000000000002</v>
      </c>
      <c r="AH101" s="107">
        <v>-0.49</v>
      </c>
      <c r="AI101" s="107">
        <v>1.1099999999999999</v>
      </c>
      <c r="AJ101" s="107">
        <v>7.95</v>
      </c>
      <c r="AK101" s="107">
        <v>12.77</v>
      </c>
      <c r="AL101" s="107">
        <v>-1.4</v>
      </c>
      <c r="AM101" s="107">
        <v>8.16</v>
      </c>
      <c r="AN101" s="107">
        <v>17.809999999999999</v>
      </c>
      <c r="AO101" s="107">
        <v>2.5499999999999998</v>
      </c>
      <c r="AP101" s="107">
        <v>11.15</v>
      </c>
      <c r="AQ101" s="107">
        <v>14.84</v>
      </c>
      <c r="AR101" s="107">
        <v>11.780000000000001</v>
      </c>
      <c r="AS101" s="107">
        <v>32.99</v>
      </c>
      <c r="AT101" s="107">
        <v>2.1399999999999997</v>
      </c>
      <c r="AU101" s="107">
        <v>8.2100000000000009</v>
      </c>
      <c r="AV101" s="107">
        <v>19.61</v>
      </c>
    </row>
    <row r="102" spans="1:48" ht="30" customHeight="1" outlineLevel="1">
      <c r="A102" s="121" t="s">
        <v>434</v>
      </c>
      <c r="B102" s="122" t="s">
        <v>435</v>
      </c>
      <c r="C102" s="123"/>
      <c r="N102" s="11" t="str">
        <f t="shared" si="27"/>
        <v/>
      </c>
      <c r="O102" s="11" t="str">
        <f t="shared" si="28"/>
        <v/>
      </c>
      <c r="P102" s="11" t="str">
        <f t="shared" si="29"/>
        <v/>
      </c>
      <c r="R102" s="11" t="str">
        <f t="shared" si="30"/>
        <v/>
      </c>
      <c r="S102" s="11" t="str">
        <f t="shared" si="31"/>
        <v/>
      </c>
      <c r="T102" s="11" t="str">
        <f t="shared" si="32"/>
        <v/>
      </c>
      <c r="V102" s="11" t="str">
        <f t="shared" si="33"/>
        <v/>
      </c>
      <c r="W102" s="11" t="str">
        <f t="shared" si="34"/>
        <v/>
      </c>
      <c r="X102" s="11" t="str">
        <f t="shared" si="35"/>
        <v/>
      </c>
      <c r="Z102" s="11" t="str">
        <f t="shared" si="36"/>
        <v/>
      </c>
      <c r="AA102" s="11" t="str">
        <f t="shared" si="37"/>
        <v/>
      </c>
      <c r="AB102" s="11" t="str">
        <f t="shared" si="38"/>
        <v/>
      </c>
      <c r="AD102" s="11" t="str">
        <f t="shared" si="39"/>
        <v/>
      </c>
      <c r="AE102" s="11" t="str">
        <f t="shared" si="40"/>
        <v/>
      </c>
      <c r="AF102" s="11" t="str">
        <f t="shared" si="41"/>
        <v/>
      </c>
    </row>
    <row r="103" spans="1:48" ht="30" customHeight="1" outlineLevel="2">
      <c r="A103" s="125" t="s">
        <v>436</v>
      </c>
      <c r="B103" s="118" t="s">
        <v>437</v>
      </c>
      <c r="C103" s="104" t="s">
        <v>253</v>
      </c>
      <c r="E103" s="105">
        <f>MIN(N103,R103,V103,Z103,AD103)</f>
        <v>-0.53900000000000003</v>
      </c>
      <c r="F103" s="105">
        <f>AVERAGE(N103,R103,V103,Z103,AD103)</f>
        <v>9.9</v>
      </c>
      <c r="G103" s="105">
        <f>MAX(N103,R103,V103,Z103,AD103)</f>
        <v>19.899000000000001</v>
      </c>
      <c r="H103" s="106"/>
      <c r="I103" s="105">
        <f>MIN(T103,X103,AB103,AF103,P103)</f>
        <v>8.668000000000001</v>
      </c>
      <c r="J103" s="105">
        <f>AVERAGE(P103,T103,X103,AB103,AF103)</f>
        <v>16.907000000000004</v>
      </c>
      <c r="K103" s="105">
        <f>MAX(P103,T103,X103,AB103,AF103)</f>
        <v>31.713000000000001</v>
      </c>
      <c r="N103" s="107">
        <f t="shared" si="27"/>
        <v>-0.53900000000000003</v>
      </c>
      <c r="O103" s="107">
        <f t="shared" si="28"/>
        <v>1.2209999999999999</v>
      </c>
      <c r="P103" s="107">
        <f t="shared" si="29"/>
        <v>8.745000000000001</v>
      </c>
      <c r="R103" s="107">
        <f t="shared" si="30"/>
        <v>13.849</v>
      </c>
      <c r="S103" s="107">
        <f t="shared" si="31"/>
        <v>-1.8040000000000003</v>
      </c>
      <c r="T103" s="107">
        <f t="shared" si="32"/>
        <v>8.668000000000001</v>
      </c>
      <c r="V103" s="107">
        <f t="shared" si="33"/>
        <v>19.899000000000001</v>
      </c>
      <c r="W103" s="107">
        <f t="shared" si="34"/>
        <v>3.3109999999999999</v>
      </c>
      <c r="X103" s="107">
        <f t="shared" si="35"/>
        <v>12.936</v>
      </c>
      <c r="Z103" s="107">
        <f t="shared" si="36"/>
        <v>13.552000000000001</v>
      </c>
      <c r="AA103" s="107">
        <f t="shared" si="37"/>
        <v>9.0750000000000011</v>
      </c>
      <c r="AB103" s="107">
        <f t="shared" si="38"/>
        <v>31.713000000000001</v>
      </c>
      <c r="AD103" s="107">
        <f t="shared" si="39"/>
        <v>2.7390000000000003</v>
      </c>
      <c r="AE103" s="107">
        <f t="shared" si="40"/>
        <v>9.6140000000000008</v>
      </c>
      <c r="AF103" s="107">
        <f t="shared" si="41"/>
        <v>22.473000000000003</v>
      </c>
      <c r="AH103" s="107">
        <v>-0.49</v>
      </c>
      <c r="AI103" s="107">
        <v>1.1099999999999999</v>
      </c>
      <c r="AJ103" s="107">
        <v>7.95</v>
      </c>
      <c r="AK103" s="107">
        <v>12.59</v>
      </c>
      <c r="AL103" s="107">
        <v>-1.6400000000000001</v>
      </c>
      <c r="AM103" s="107">
        <v>7.88</v>
      </c>
      <c r="AN103" s="107">
        <v>18.09</v>
      </c>
      <c r="AO103" s="107">
        <v>3.01</v>
      </c>
      <c r="AP103" s="107">
        <v>11.76</v>
      </c>
      <c r="AQ103" s="107">
        <v>12.32</v>
      </c>
      <c r="AR103" s="107">
        <v>8.25</v>
      </c>
      <c r="AS103" s="107">
        <v>28.83</v>
      </c>
      <c r="AT103" s="107">
        <v>2.4900000000000002</v>
      </c>
      <c r="AU103" s="107">
        <v>8.74</v>
      </c>
      <c r="AV103" s="107">
        <v>20.43</v>
      </c>
    </row>
    <row r="104" spans="1:48" s="124" customFormat="1" ht="30" customHeight="1" outlineLevel="2">
      <c r="A104" s="125" t="s">
        <v>438</v>
      </c>
      <c r="B104" s="118" t="s">
        <v>439</v>
      </c>
      <c r="C104" s="104" t="s">
        <v>253</v>
      </c>
      <c r="E104" s="105">
        <f>MIN(N104,R104,V104,Z104,AD104)</f>
        <v>-0.53900000000000003</v>
      </c>
      <c r="F104" s="105">
        <f>AVERAGE(N104,R104,V104,Z104,AD104)</f>
        <v>11.165000000000001</v>
      </c>
      <c r="G104" s="105">
        <f>MAX(N104,R104,V104,Z104,AD104)</f>
        <v>20.526000000000003</v>
      </c>
      <c r="H104" s="106"/>
      <c r="I104" s="105">
        <f>MIN(T104,X104,AB104,AF104,P104)</f>
        <v>8.745000000000001</v>
      </c>
      <c r="J104" s="105">
        <f>AVERAGE(P104,T104,X104,AB104,AF104)</f>
        <v>19.716400000000004</v>
      </c>
      <c r="K104" s="105">
        <f>MAX(P104,T104,X104,AB104,AF104)</f>
        <v>33.935000000000002</v>
      </c>
      <c r="N104" s="107">
        <f t="shared" si="27"/>
        <v>-0.53900000000000003</v>
      </c>
      <c r="O104" s="107">
        <f t="shared" si="28"/>
        <v>1.2209999999999999</v>
      </c>
      <c r="P104" s="107">
        <f t="shared" si="29"/>
        <v>8.745000000000001</v>
      </c>
      <c r="R104" s="107">
        <f t="shared" si="30"/>
        <v>14.047000000000001</v>
      </c>
      <c r="S104" s="107">
        <f t="shared" si="31"/>
        <v>-1.54</v>
      </c>
      <c r="T104" s="107">
        <f t="shared" si="32"/>
        <v>8.9760000000000009</v>
      </c>
      <c r="V104" s="107">
        <f t="shared" si="33"/>
        <v>20.526000000000003</v>
      </c>
      <c r="W104" s="107">
        <f t="shared" si="34"/>
        <v>4.3120000000000003</v>
      </c>
      <c r="X104" s="107">
        <f t="shared" si="35"/>
        <v>14.289000000000001</v>
      </c>
      <c r="Z104" s="107">
        <f t="shared" si="36"/>
        <v>14.113000000000001</v>
      </c>
      <c r="AA104" s="107">
        <f t="shared" si="37"/>
        <v>9.8560000000000016</v>
      </c>
      <c r="AB104" s="107">
        <f t="shared" si="38"/>
        <v>32.637000000000008</v>
      </c>
      <c r="AD104" s="107">
        <f t="shared" si="39"/>
        <v>7.6780000000000008</v>
      </c>
      <c r="AE104" s="107">
        <f t="shared" si="40"/>
        <v>17.017000000000003</v>
      </c>
      <c r="AF104" s="107">
        <f t="shared" si="41"/>
        <v>33.935000000000002</v>
      </c>
      <c r="AH104" s="107">
        <v>-0.49</v>
      </c>
      <c r="AI104" s="107">
        <v>1.1099999999999999</v>
      </c>
      <c r="AJ104" s="107">
        <v>7.95</v>
      </c>
      <c r="AK104" s="107">
        <v>12.77</v>
      </c>
      <c r="AL104" s="107">
        <v>-1.4</v>
      </c>
      <c r="AM104" s="107">
        <v>8.16</v>
      </c>
      <c r="AN104" s="107">
        <v>18.66</v>
      </c>
      <c r="AO104" s="107">
        <v>3.92</v>
      </c>
      <c r="AP104" s="107">
        <v>12.99</v>
      </c>
      <c r="AQ104" s="107">
        <v>12.83</v>
      </c>
      <c r="AR104" s="107">
        <v>8.9600000000000009</v>
      </c>
      <c r="AS104" s="107">
        <v>29.67</v>
      </c>
      <c r="AT104" s="107">
        <v>6.98</v>
      </c>
      <c r="AU104" s="107">
        <v>15.47</v>
      </c>
      <c r="AV104" s="107">
        <v>30.85</v>
      </c>
    </row>
    <row r="105" spans="1:48" s="124" customFormat="1" ht="30" customHeight="1" outlineLevel="1">
      <c r="A105" s="121" t="s">
        <v>440</v>
      </c>
      <c r="B105" s="122" t="s">
        <v>441</v>
      </c>
      <c r="C105" s="123"/>
      <c r="E105" s="11"/>
      <c r="F105" s="11"/>
      <c r="G105" s="11"/>
      <c r="H105" s="11"/>
      <c r="I105" s="11"/>
      <c r="J105" s="11"/>
      <c r="K105" s="11"/>
      <c r="L105" s="11"/>
      <c r="M105" s="11"/>
      <c r="N105" s="11" t="str">
        <f t="shared" si="27"/>
        <v/>
      </c>
      <c r="O105" s="11" t="str">
        <f t="shared" si="28"/>
        <v/>
      </c>
      <c r="P105" s="11" t="str">
        <f t="shared" si="29"/>
        <v/>
      </c>
      <c r="Q105" s="11"/>
      <c r="R105" s="11" t="str">
        <f t="shared" si="30"/>
        <v/>
      </c>
      <c r="S105" s="11" t="str">
        <f t="shared" si="31"/>
        <v/>
      </c>
      <c r="T105" s="11" t="str">
        <f t="shared" si="32"/>
        <v/>
      </c>
      <c r="U105" s="11"/>
      <c r="V105" s="11" t="str">
        <f t="shared" si="33"/>
        <v/>
      </c>
      <c r="W105" s="11" t="str">
        <f t="shared" si="34"/>
        <v/>
      </c>
      <c r="X105" s="11" t="str">
        <f t="shared" si="35"/>
        <v/>
      </c>
      <c r="Y105" s="11"/>
      <c r="Z105" s="11" t="str">
        <f t="shared" si="36"/>
        <v/>
      </c>
      <c r="AA105" s="11" t="str">
        <f t="shared" si="37"/>
        <v/>
      </c>
      <c r="AB105" s="11" t="str">
        <f t="shared" si="38"/>
        <v/>
      </c>
      <c r="AC105" s="11"/>
      <c r="AD105" s="11" t="str">
        <f t="shared" si="39"/>
        <v/>
      </c>
      <c r="AE105" s="11" t="str">
        <f t="shared" si="40"/>
        <v/>
      </c>
      <c r="AF105" s="11" t="str">
        <f t="shared" si="41"/>
        <v/>
      </c>
      <c r="AH105" s="11"/>
      <c r="AI105" s="11"/>
      <c r="AJ105" s="11"/>
      <c r="AK105" s="11"/>
      <c r="AL105" s="11"/>
      <c r="AM105" s="11"/>
      <c r="AN105" s="11"/>
      <c r="AO105" s="11"/>
      <c r="AP105" s="11"/>
      <c r="AQ105" s="11"/>
      <c r="AR105" s="11"/>
      <c r="AS105" s="11"/>
      <c r="AT105" s="11"/>
      <c r="AU105" s="11"/>
      <c r="AV105" s="11"/>
    </row>
    <row r="106" spans="1:48" ht="30" customHeight="1" outlineLevel="2">
      <c r="A106" s="125" t="s">
        <v>442</v>
      </c>
      <c r="B106" s="118" t="s">
        <v>443</v>
      </c>
      <c r="C106" s="104" t="s">
        <v>253</v>
      </c>
      <c r="E106" s="105">
        <f>MIN(N106,R106,V106,Z106,AD106)</f>
        <v>-0.53900000000000003</v>
      </c>
      <c r="F106" s="105">
        <f>AVERAGE(N106,R106,V106,Z106,AD106)</f>
        <v>9.7504000000000008</v>
      </c>
      <c r="G106" s="105">
        <f>MAX(N106,R106,V106,Z106,AD106)</f>
        <v>20.207000000000004</v>
      </c>
      <c r="H106" s="106"/>
      <c r="I106" s="105">
        <f>MIN(T106,X106,AB106,AF106,P106)</f>
        <v>8.668000000000001</v>
      </c>
      <c r="J106" s="105">
        <f>AVERAGE(P106,T106,X106,AB106,AF106)</f>
        <v>16.528600000000001</v>
      </c>
      <c r="K106" s="105">
        <f>MAX(P106,T106,X106,AB106,AF106)</f>
        <v>31.999000000000002</v>
      </c>
      <c r="N106" s="107">
        <f t="shared" si="27"/>
        <v>-0.53900000000000003</v>
      </c>
      <c r="O106" s="107">
        <f t="shared" si="28"/>
        <v>1.2209999999999999</v>
      </c>
      <c r="P106" s="107">
        <f t="shared" si="29"/>
        <v>8.745000000000001</v>
      </c>
      <c r="R106" s="107">
        <f t="shared" si="30"/>
        <v>13.849</v>
      </c>
      <c r="S106" s="107">
        <f t="shared" si="31"/>
        <v>-1.8040000000000003</v>
      </c>
      <c r="T106" s="107">
        <f t="shared" si="32"/>
        <v>8.668000000000001</v>
      </c>
      <c r="V106" s="107">
        <f t="shared" si="33"/>
        <v>20.207000000000004</v>
      </c>
      <c r="W106" s="107">
        <f t="shared" si="34"/>
        <v>3.806</v>
      </c>
      <c r="X106" s="107">
        <f t="shared" si="35"/>
        <v>13.618</v>
      </c>
      <c r="Z106" s="107">
        <f t="shared" si="36"/>
        <v>13.728000000000002</v>
      </c>
      <c r="AA106" s="107">
        <f t="shared" si="37"/>
        <v>9.3170000000000019</v>
      </c>
      <c r="AB106" s="107">
        <f t="shared" si="38"/>
        <v>31.999000000000002</v>
      </c>
      <c r="AD106" s="107">
        <f t="shared" si="39"/>
        <v>1.5070000000000003</v>
      </c>
      <c r="AE106" s="107">
        <f t="shared" si="40"/>
        <v>7.766</v>
      </c>
      <c r="AF106" s="107">
        <f t="shared" si="41"/>
        <v>19.613</v>
      </c>
      <c r="AH106" s="107">
        <v>-0.49</v>
      </c>
      <c r="AI106" s="107">
        <v>1.1099999999999999</v>
      </c>
      <c r="AJ106" s="107">
        <v>7.95</v>
      </c>
      <c r="AK106" s="107">
        <v>12.59</v>
      </c>
      <c r="AL106" s="107">
        <v>-1.6400000000000001</v>
      </c>
      <c r="AM106" s="107">
        <v>7.88</v>
      </c>
      <c r="AN106" s="107">
        <v>18.37</v>
      </c>
      <c r="AO106" s="107">
        <v>3.46</v>
      </c>
      <c r="AP106" s="107">
        <v>12.379999999999999</v>
      </c>
      <c r="AQ106" s="107">
        <v>12.48</v>
      </c>
      <c r="AR106" s="107">
        <v>8.4700000000000006</v>
      </c>
      <c r="AS106" s="107">
        <v>29.09</v>
      </c>
      <c r="AT106" s="107">
        <v>1.37</v>
      </c>
      <c r="AU106" s="107">
        <v>7.06</v>
      </c>
      <c r="AV106" s="107">
        <v>17.829999999999998</v>
      </c>
    </row>
    <row r="107" spans="1:48" s="124" customFormat="1" ht="30" customHeight="1" outlineLevel="2">
      <c r="A107" s="125" t="s">
        <v>444</v>
      </c>
      <c r="B107" s="118" t="s">
        <v>445</v>
      </c>
      <c r="C107" s="104" t="s">
        <v>253</v>
      </c>
      <c r="E107" s="105">
        <f>MIN(N107,R107,V107,Z107,AD107)</f>
        <v>-0.53900000000000003</v>
      </c>
      <c r="F107" s="105">
        <f>AVERAGE(N107,R107,V107,Z107,AD107)</f>
        <v>10.505000000000001</v>
      </c>
      <c r="G107" s="105">
        <f>MAX(N107,R107,V107,Z107,AD107)</f>
        <v>20.515000000000001</v>
      </c>
      <c r="H107" s="106"/>
      <c r="I107" s="105">
        <f>MIN(T107,X107,AB107,AF107,P107)</f>
        <v>8.668000000000001</v>
      </c>
      <c r="J107" s="105">
        <f>AVERAGE(P107,T107,X107,AB107,AF107)</f>
        <v>18.101600000000001</v>
      </c>
      <c r="K107" s="105">
        <f>MAX(P107,T107,X107,AB107,AF107)</f>
        <v>34.045000000000002</v>
      </c>
      <c r="N107" s="107">
        <f t="shared" si="27"/>
        <v>-0.53900000000000003</v>
      </c>
      <c r="O107" s="107">
        <f t="shared" si="28"/>
        <v>1.2209999999999999</v>
      </c>
      <c r="P107" s="107">
        <f t="shared" si="29"/>
        <v>8.745000000000001</v>
      </c>
      <c r="R107" s="107">
        <f t="shared" si="30"/>
        <v>13.849</v>
      </c>
      <c r="S107" s="107">
        <f t="shared" si="31"/>
        <v>-1.8040000000000003</v>
      </c>
      <c r="T107" s="107">
        <f t="shared" si="32"/>
        <v>8.668000000000001</v>
      </c>
      <c r="V107" s="107">
        <f t="shared" si="33"/>
        <v>20.515000000000001</v>
      </c>
      <c r="W107" s="107">
        <f t="shared" si="34"/>
        <v>4.3120000000000003</v>
      </c>
      <c r="X107" s="107">
        <f t="shared" si="35"/>
        <v>14.289000000000001</v>
      </c>
      <c r="Z107" s="107">
        <f t="shared" si="36"/>
        <v>14.971</v>
      </c>
      <c r="AA107" s="107">
        <f t="shared" si="37"/>
        <v>11.055000000000001</v>
      </c>
      <c r="AB107" s="107">
        <f t="shared" si="38"/>
        <v>34.045000000000002</v>
      </c>
      <c r="AD107" s="107">
        <f t="shared" si="39"/>
        <v>3.7290000000000001</v>
      </c>
      <c r="AE107" s="107">
        <f t="shared" si="40"/>
        <v>11.099</v>
      </c>
      <c r="AF107" s="107">
        <f t="shared" si="41"/>
        <v>24.760999999999999</v>
      </c>
      <c r="AH107" s="107">
        <v>-0.49</v>
      </c>
      <c r="AI107" s="107">
        <v>1.1099999999999999</v>
      </c>
      <c r="AJ107" s="107">
        <v>7.95</v>
      </c>
      <c r="AK107" s="107">
        <v>12.59</v>
      </c>
      <c r="AL107" s="107">
        <v>-1.6400000000000001</v>
      </c>
      <c r="AM107" s="107">
        <v>7.88</v>
      </c>
      <c r="AN107" s="107">
        <v>18.649999999999999</v>
      </c>
      <c r="AO107" s="107">
        <v>3.92</v>
      </c>
      <c r="AP107" s="107">
        <v>12.99</v>
      </c>
      <c r="AQ107" s="107">
        <v>13.61</v>
      </c>
      <c r="AR107" s="107">
        <v>10.050000000000001</v>
      </c>
      <c r="AS107" s="107">
        <v>30.95</v>
      </c>
      <c r="AT107" s="107">
        <v>3.3899999999999997</v>
      </c>
      <c r="AU107" s="107">
        <v>10.09</v>
      </c>
      <c r="AV107" s="107">
        <v>22.509999999999998</v>
      </c>
    </row>
    <row r="108" spans="1:48" s="124" customFormat="1" ht="30" customHeight="1" outlineLevel="2">
      <c r="A108" s="125" t="s">
        <v>446</v>
      </c>
      <c r="B108" s="118" t="s">
        <v>447</v>
      </c>
      <c r="C108" s="104" t="s">
        <v>253</v>
      </c>
      <c r="E108" s="105">
        <f>MIN(N108,R108,V108,Z108,AD108)</f>
        <v>1.0999999999999767E-2</v>
      </c>
      <c r="F108" s="105">
        <f>AVERAGE(N108,R108,V108,Z108,AD108)</f>
        <v>11.844800000000001</v>
      </c>
      <c r="G108" s="105">
        <f>MAX(N108,R108,V108,Z108,AD108)</f>
        <v>20.823</v>
      </c>
      <c r="H108" s="106"/>
      <c r="I108" s="105">
        <f>MIN(T108,X108,AB108,AF108,P108)</f>
        <v>8.668000000000001</v>
      </c>
      <c r="J108" s="105">
        <f>AVERAGE(P108,T108,X108,AB108,AF108)</f>
        <v>20.776800000000001</v>
      </c>
      <c r="K108" s="105">
        <f>MAX(P108,T108,X108,AB108,AF108)</f>
        <v>35.574000000000005</v>
      </c>
      <c r="N108" s="107">
        <f t="shared" si="27"/>
        <v>1.0999999999999767E-2</v>
      </c>
      <c r="O108" s="107">
        <f t="shared" si="28"/>
        <v>1.9910000000000003</v>
      </c>
      <c r="P108" s="107">
        <f t="shared" si="29"/>
        <v>9.8230000000000004</v>
      </c>
      <c r="R108" s="107">
        <f t="shared" si="30"/>
        <v>13.849</v>
      </c>
      <c r="S108" s="107">
        <f t="shared" si="31"/>
        <v>-1.8040000000000003</v>
      </c>
      <c r="T108" s="107">
        <f t="shared" si="32"/>
        <v>8.668000000000001</v>
      </c>
      <c r="V108" s="107">
        <f t="shared" si="33"/>
        <v>20.823</v>
      </c>
      <c r="W108" s="107">
        <f t="shared" si="34"/>
        <v>4.8070000000000004</v>
      </c>
      <c r="X108" s="107">
        <f t="shared" si="35"/>
        <v>14.971</v>
      </c>
      <c r="Z108" s="107">
        <f t="shared" si="36"/>
        <v>15.455000000000002</v>
      </c>
      <c r="AA108" s="107">
        <f t="shared" si="37"/>
        <v>11.726000000000001</v>
      </c>
      <c r="AB108" s="107">
        <f t="shared" si="38"/>
        <v>34.847999999999999</v>
      </c>
      <c r="AD108" s="107">
        <f t="shared" si="39"/>
        <v>9.0860000000000003</v>
      </c>
      <c r="AE108" s="107">
        <f t="shared" si="40"/>
        <v>19.129000000000001</v>
      </c>
      <c r="AF108" s="107">
        <f t="shared" si="41"/>
        <v>35.574000000000005</v>
      </c>
      <c r="AH108" s="107">
        <v>9.9999999999997868E-3</v>
      </c>
      <c r="AI108" s="107">
        <v>1.81</v>
      </c>
      <c r="AJ108" s="107">
        <v>8.93</v>
      </c>
      <c r="AK108" s="107">
        <v>12.59</v>
      </c>
      <c r="AL108" s="107">
        <v>-1.6400000000000001</v>
      </c>
      <c r="AM108" s="107">
        <v>7.88</v>
      </c>
      <c r="AN108" s="107">
        <v>18.93</v>
      </c>
      <c r="AO108" s="107">
        <v>4.37</v>
      </c>
      <c r="AP108" s="107">
        <v>13.61</v>
      </c>
      <c r="AQ108" s="107">
        <v>14.05</v>
      </c>
      <c r="AR108" s="107">
        <v>10.66</v>
      </c>
      <c r="AS108" s="107">
        <v>31.68</v>
      </c>
      <c r="AT108" s="107">
        <v>8.26</v>
      </c>
      <c r="AU108" s="107">
        <v>17.39</v>
      </c>
      <c r="AV108" s="107">
        <v>32.340000000000003</v>
      </c>
    </row>
    <row r="109" spans="1:48" ht="30" customHeight="1" outlineLevel="1">
      <c r="A109" s="121" t="s">
        <v>448</v>
      </c>
      <c r="B109" s="122" t="s">
        <v>449</v>
      </c>
      <c r="C109" s="123"/>
      <c r="N109" s="11" t="str">
        <f t="shared" si="27"/>
        <v/>
      </c>
      <c r="O109" s="11" t="str">
        <f t="shared" si="28"/>
        <v/>
      </c>
      <c r="P109" s="11" t="str">
        <f t="shared" si="29"/>
        <v/>
      </c>
      <c r="R109" s="11" t="str">
        <f t="shared" si="30"/>
        <v/>
      </c>
      <c r="S109" s="11" t="str">
        <f t="shared" si="31"/>
        <v/>
      </c>
      <c r="T109" s="11" t="str">
        <f t="shared" si="32"/>
        <v/>
      </c>
      <c r="V109" s="11" t="str">
        <f t="shared" si="33"/>
        <v/>
      </c>
      <c r="W109" s="11" t="str">
        <f t="shared" si="34"/>
        <v/>
      </c>
      <c r="X109" s="11" t="str">
        <f t="shared" si="35"/>
        <v/>
      </c>
      <c r="Z109" s="11" t="str">
        <f t="shared" si="36"/>
        <v/>
      </c>
      <c r="AA109" s="11" t="str">
        <f t="shared" si="37"/>
        <v/>
      </c>
      <c r="AB109" s="11" t="str">
        <f t="shared" si="38"/>
        <v/>
      </c>
      <c r="AD109" s="11" t="str">
        <f t="shared" si="39"/>
        <v/>
      </c>
      <c r="AE109" s="11" t="str">
        <f t="shared" si="40"/>
        <v/>
      </c>
      <c r="AF109" s="11" t="str">
        <f t="shared" si="41"/>
        <v/>
      </c>
    </row>
    <row r="110" spans="1:48" ht="30" customHeight="1" outlineLevel="2">
      <c r="A110" s="125" t="s">
        <v>450</v>
      </c>
      <c r="B110" s="118" t="s">
        <v>451</v>
      </c>
      <c r="C110" s="104" t="s">
        <v>253</v>
      </c>
      <c r="E110" s="105">
        <f>MIN(N110,R110,V110,Z110,AD110)</f>
        <v>-0.53900000000000003</v>
      </c>
      <c r="F110" s="105">
        <f>AVERAGE(N110,R110,V110,Z110,AD110)</f>
        <v>9.4028000000000009</v>
      </c>
      <c r="G110" s="105">
        <f>MAX(N110,R110,V110,Z110,AD110)</f>
        <v>18.975000000000001</v>
      </c>
      <c r="H110" s="106"/>
      <c r="I110" s="105">
        <f>MIN(T110,X110,AB110,AF110,P110)</f>
        <v>8.0630000000000006</v>
      </c>
      <c r="J110" s="105">
        <f>AVERAGE(P110,T110,X110,AB110,AF110)</f>
        <v>15.833400000000001</v>
      </c>
      <c r="K110" s="105">
        <f>MAX(P110,T110,X110,AB110,AF110)</f>
        <v>31.834000000000003</v>
      </c>
      <c r="N110" s="107">
        <f t="shared" si="27"/>
        <v>-0.53900000000000003</v>
      </c>
      <c r="O110" s="107">
        <f t="shared" si="28"/>
        <v>1.2209999999999999</v>
      </c>
      <c r="P110" s="107">
        <f t="shared" si="29"/>
        <v>8.745000000000001</v>
      </c>
      <c r="R110" s="107">
        <f t="shared" si="30"/>
        <v>13.442000000000002</v>
      </c>
      <c r="S110" s="107">
        <f t="shared" si="31"/>
        <v>-2.3320000000000003</v>
      </c>
      <c r="T110" s="107">
        <f t="shared" si="32"/>
        <v>8.0630000000000006</v>
      </c>
      <c r="V110" s="107">
        <f t="shared" si="33"/>
        <v>18.975000000000001</v>
      </c>
      <c r="W110" s="107">
        <f t="shared" si="34"/>
        <v>1.8040000000000003</v>
      </c>
      <c r="X110" s="107">
        <f t="shared" si="35"/>
        <v>10.912000000000001</v>
      </c>
      <c r="Z110" s="107">
        <f t="shared" si="36"/>
        <v>13.629000000000001</v>
      </c>
      <c r="AA110" s="107">
        <f t="shared" si="37"/>
        <v>9.1850000000000005</v>
      </c>
      <c r="AB110" s="107">
        <f t="shared" si="38"/>
        <v>31.834000000000003</v>
      </c>
      <c r="AD110" s="107">
        <f t="shared" si="39"/>
        <v>1.5070000000000003</v>
      </c>
      <c r="AE110" s="107">
        <f t="shared" si="40"/>
        <v>7.766</v>
      </c>
      <c r="AF110" s="107">
        <f t="shared" si="41"/>
        <v>19.613</v>
      </c>
      <c r="AH110" s="107">
        <v>-0.49</v>
      </c>
      <c r="AI110" s="107">
        <v>1.1099999999999999</v>
      </c>
      <c r="AJ110" s="107">
        <v>7.95</v>
      </c>
      <c r="AK110" s="107">
        <v>12.22</v>
      </c>
      <c r="AL110" s="107">
        <v>-2.12</v>
      </c>
      <c r="AM110" s="107">
        <v>7.33</v>
      </c>
      <c r="AN110" s="107">
        <v>17.25</v>
      </c>
      <c r="AO110" s="107">
        <v>1.6400000000000001</v>
      </c>
      <c r="AP110" s="107">
        <v>9.92</v>
      </c>
      <c r="AQ110" s="107">
        <v>12.39</v>
      </c>
      <c r="AR110" s="107">
        <v>8.35</v>
      </c>
      <c r="AS110" s="107">
        <v>28.94</v>
      </c>
      <c r="AT110" s="107">
        <v>1.37</v>
      </c>
      <c r="AU110" s="107">
        <v>7.06</v>
      </c>
      <c r="AV110" s="107">
        <v>17.829999999999998</v>
      </c>
    </row>
    <row r="111" spans="1:48" ht="30" customHeight="1" outlineLevel="2">
      <c r="A111" s="125" t="s">
        <v>452</v>
      </c>
      <c r="B111" s="118" t="s">
        <v>453</v>
      </c>
      <c r="C111" s="104" t="s">
        <v>253</v>
      </c>
      <c r="E111" s="105">
        <f>MIN(N111,R111,V111,Z111,AD111)</f>
        <v>-0.53900000000000003</v>
      </c>
      <c r="F111" s="105">
        <f>AVERAGE(N111,R111,V111,Z111,AD111)</f>
        <v>9.5986000000000011</v>
      </c>
      <c r="G111" s="105">
        <f>MAX(N111,R111,V111,Z111,AD111)</f>
        <v>19.591000000000001</v>
      </c>
      <c r="H111" s="106"/>
      <c r="I111" s="105">
        <f>MIN(T111,X111,AB111,AF111,P111)</f>
        <v>8.0630000000000006</v>
      </c>
      <c r="J111" s="105">
        <f>AVERAGE(P111,T111,X111,AB111,AF111)</f>
        <v>16.225000000000001</v>
      </c>
      <c r="K111" s="105">
        <f>MAX(P111,T111,X111,AB111,AF111)</f>
        <v>32.439000000000007</v>
      </c>
      <c r="N111" s="107">
        <f t="shared" si="27"/>
        <v>-0.53900000000000003</v>
      </c>
      <c r="O111" s="107">
        <f t="shared" si="28"/>
        <v>1.2209999999999999</v>
      </c>
      <c r="P111" s="107">
        <f t="shared" si="29"/>
        <v>8.745000000000001</v>
      </c>
      <c r="R111" s="107">
        <f t="shared" si="30"/>
        <v>13.442000000000002</v>
      </c>
      <c r="S111" s="107">
        <f t="shared" si="31"/>
        <v>-2.3320000000000003</v>
      </c>
      <c r="T111" s="107">
        <f t="shared" si="32"/>
        <v>8.0630000000000006</v>
      </c>
      <c r="V111" s="107">
        <f t="shared" si="33"/>
        <v>19.591000000000001</v>
      </c>
      <c r="W111" s="107">
        <f t="shared" si="34"/>
        <v>2.8050000000000002</v>
      </c>
      <c r="X111" s="107">
        <f t="shared" si="35"/>
        <v>12.265000000000001</v>
      </c>
      <c r="Z111" s="107">
        <f t="shared" si="36"/>
        <v>13.992000000000003</v>
      </c>
      <c r="AA111" s="107">
        <f t="shared" si="37"/>
        <v>9.6910000000000007</v>
      </c>
      <c r="AB111" s="107">
        <f t="shared" si="38"/>
        <v>32.439000000000007</v>
      </c>
      <c r="AD111" s="107">
        <f t="shared" si="39"/>
        <v>1.5070000000000003</v>
      </c>
      <c r="AE111" s="107">
        <f t="shared" si="40"/>
        <v>7.766</v>
      </c>
      <c r="AF111" s="107">
        <f t="shared" si="41"/>
        <v>19.613</v>
      </c>
      <c r="AH111" s="107">
        <v>-0.49</v>
      </c>
      <c r="AI111" s="107">
        <v>1.1099999999999999</v>
      </c>
      <c r="AJ111" s="107">
        <v>7.95</v>
      </c>
      <c r="AK111" s="107">
        <v>12.22</v>
      </c>
      <c r="AL111" s="107">
        <v>-2.12</v>
      </c>
      <c r="AM111" s="107">
        <v>7.33</v>
      </c>
      <c r="AN111" s="107">
        <v>17.809999999999999</v>
      </c>
      <c r="AO111" s="107">
        <v>2.5499999999999998</v>
      </c>
      <c r="AP111" s="107">
        <v>11.15</v>
      </c>
      <c r="AQ111" s="107">
        <v>12.72</v>
      </c>
      <c r="AR111" s="107">
        <v>8.81</v>
      </c>
      <c r="AS111" s="107">
        <v>29.490000000000002</v>
      </c>
      <c r="AT111" s="107">
        <v>1.37</v>
      </c>
      <c r="AU111" s="107">
        <v>7.06</v>
      </c>
      <c r="AV111" s="107">
        <v>17.829999999999998</v>
      </c>
    </row>
    <row r="112" spans="1:48" ht="30" customHeight="1" outlineLevel="2">
      <c r="A112" s="125" t="s">
        <v>454</v>
      </c>
      <c r="B112" s="118" t="s">
        <v>455</v>
      </c>
      <c r="C112" s="104" t="s">
        <v>253</v>
      </c>
      <c r="E112" s="105">
        <f>MIN(N112,R112,V112,Z112,AD112)</f>
        <v>1.0999999999999767E-2</v>
      </c>
      <c r="F112" s="105">
        <f>AVERAGE(N112,R112,V112,Z112,AD112)</f>
        <v>9.8934000000000015</v>
      </c>
      <c r="G112" s="105">
        <f>MAX(N112,R112,V112,Z112,AD112)</f>
        <v>20.207000000000004</v>
      </c>
      <c r="H112" s="106"/>
      <c r="I112" s="105">
        <f>MIN(T112,X112,AB112,AF112,P112)</f>
        <v>8.0630000000000006</v>
      </c>
      <c r="J112" s="105">
        <f>AVERAGE(P112,T112,X112,AB112,AF112)</f>
        <v>16.812400000000004</v>
      </c>
      <c r="K112" s="105">
        <f>MAX(P112,T112,X112,AB112,AF112)</f>
        <v>32.945</v>
      </c>
      <c r="N112" s="107">
        <f t="shared" si="27"/>
        <v>1.0999999999999767E-2</v>
      </c>
      <c r="O112" s="107">
        <f t="shared" si="28"/>
        <v>1.9910000000000003</v>
      </c>
      <c r="P112" s="107">
        <f t="shared" si="29"/>
        <v>9.8230000000000004</v>
      </c>
      <c r="R112" s="107">
        <f t="shared" si="30"/>
        <v>13.442000000000002</v>
      </c>
      <c r="S112" s="107">
        <f t="shared" si="31"/>
        <v>-2.3320000000000003</v>
      </c>
      <c r="T112" s="107">
        <f t="shared" si="32"/>
        <v>8.0630000000000006</v>
      </c>
      <c r="V112" s="107">
        <f t="shared" si="33"/>
        <v>20.207000000000004</v>
      </c>
      <c r="W112" s="107">
        <f t="shared" si="34"/>
        <v>3.806</v>
      </c>
      <c r="X112" s="107">
        <f t="shared" si="35"/>
        <v>13.618</v>
      </c>
      <c r="Z112" s="107">
        <f t="shared" si="36"/>
        <v>14.3</v>
      </c>
      <c r="AA112" s="107">
        <f t="shared" si="37"/>
        <v>10.119999999999999</v>
      </c>
      <c r="AB112" s="107">
        <f t="shared" si="38"/>
        <v>32.945</v>
      </c>
      <c r="AD112" s="107">
        <f t="shared" si="39"/>
        <v>1.5070000000000003</v>
      </c>
      <c r="AE112" s="107">
        <f t="shared" si="40"/>
        <v>7.766</v>
      </c>
      <c r="AF112" s="107">
        <f t="shared" si="41"/>
        <v>19.613</v>
      </c>
      <c r="AH112" s="107">
        <v>9.9999999999997868E-3</v>
      </c>
      <c r="AI112" s="107">
        <v>1.81</v>
      </c>
      <c r="AJ112" s="107">
        <v>8.93</v>
      </c>
      <c r="AK112" s="107">
        <v>12.22</v>
      </c>
      <c r="AL112" s="107">
        <v>-2.12</v>
      </c>
      <c r="AM112" s="107">
        <v>7.33</v>
      </c>
      <c r="AN112" s="107">
        <v>18.37</v>
      </c>
      <c r="AO112" s="107">
        <v>3.46</v>
      </c>
      <c r="AP112" s="107">
        <v>12.379999999999999</v>
      </c>
      <c r="AQ112" s="107">
        <v>13</v>
      </c>
      <c r="AR112" s="107">
        <v>9.1999999999999993</v>
      </c>
      <c r="AS112" s="107">
        <v>29.95</v>
      </c>
      <c r="AT112" s="107">
        <v>1.37</v>
      </c>
      <c r="AU112" s="107">
        <v>7.06</v>
      </c>
      <c r="AV112" s="107">
        <v>17.829999999999998</v>
      </c>
    </row>
    <row r="113" spans="1:48" ht="30" customHeight="1" outlineLevel="1">
      <c r="A113" s="121" t="s">
        <v>456</v>
      </c>
      <c r="B113" s="122" t="s">
        <v>457</v>
      </c>
      <c r="C113" s="123"/>
      <c r="N113" s="11" t="str">
        <f t="shared" si="27"/>
        <v/>
      </c>
      <c r="O113" s="11" t="str">
        <f t="shared" si="28"/>
        <v/>
      </c>
      <c r="P113" s="11" t="str">
        <f t="shared" si="29"/>
        <v/>
      </c>
      <c r="R113" s="11" t="str">
        <f t="shared" si="30"/>
        <v/>
      </c>
      <c r="S113" s="11" t="str">
        <f t="shared" si="31"/>
        <v/>
      </c>
      <c r="T113" s="11" t="str">
        <f t="shared" si="32"/>
        <v/>
      </c>
      <c r="V113" s="11" t="str">
        <f t="shared" si="33"/>
        <v/>
      </c>
      <c r="W113" s="11" t="str">
        <f t="shared" si="34"/>
        <v/>
      </c>
      <c r="X113" s="11" t="str">
        <f t="shared" si="35"/>
        <v/>
      </c>
      <c r="Z113" s="11" t="str">
        <f t="shared" si="36"/>
        <v/>
      </c>
      <c r="AA113" s="11" t="str">
        <f t="shared" si="37"/>
        <v/>
      </c>
      <c r="AB113" s="11" t="str">
        <f t="shared" si="38"/>
        <v/>
      </c>
      <c r="AD113" s="11" t="str">
        <f t="shared" si="39"/>
        <v/>
      </c>
      <c r="AE113" s="11" t="str">
        <f t="shared" si="40"/>
        <v/>
      </c>
      <c r="AF113" s="11" t="str">
        <f t="shared" si="41"/>
        <v/>
      </c>
    </row>
    <row r="114" spans="1:48" ht="30" customHeight="1" outlineLevel="2">
      <c r="A114" s="125" t="s">
        <v>458</v>
      </c>
      <c r="B114" s="118" t="s">
        <v>459</v>
      </c>
      <c r="C114" s="104" t="s">
        <v>253</v>
      </c>
      <c r="E114" s="105">
        <f t="shared" ref="E114:E119" si="42">MIN(N114,R114,V114,Z114,AD114)</f>
        <v>-0.53900000000000003</v>
      </c>
      <c r="F114" s="105">
        <f t="shared" ref="F114:F119" si="43">AVERAGE(N114,R114,V114,Z114,AD114)</f>
        <v>9.5282</v>
      </c>
      <c r="G114" s="105">
        <f t="shared" ref="G114:G119" si="44">MAX(N114,R114,V114,Z114,AD114)</f>
        <v>19.591000000000001</v>
      </c>
      <c r="H114" s="106"/>
      <c r="I114" s="105">
        <f t="shared" ref="I114:I119" si="45">MIN(T114,X114,AB114,AF114,P114)</f>
        <v>8.668000000000001</v>
      </c>
      <c r="J114" s="105">
        <f t="shared" ref="J114:J119" si="46">AVERAGE(P114,T114,X114,AB114,AF114)</f>
        <v>15.708000000000004</v>
      </c>
      <c r="K114" s="105">
        <f t="shared" ref="K114:K119" si="47">MAX(P114,T114,X114,AB114,AF114)</f>
        <v>31.185000000000006</v>
      </c>
      <c r="N114" s="107">
        <f t="shared" si="27"/>
        <v>-0.53900000000000003</v>
      </c>
      <c r="O114" s="107">
        <f t="shared" si="28"/>
        <v>1.2209999999999999</v>
      </c>
      <c r="P114" s="107">
        <f t="shared" si="29"/>
        <v>8.745000000000001</v>
      </c>
      <c r="R114" s="107">
        <f t="shared" si="30"/>
        <v>13.849</v>
      </c>
      <c r="S114" s="107">
        <f t="shared" si="31"/>
        <v>-1.8040000000000003</v>
      </c>
      <c r="T114" s="107">
        <f t="shared" si="32"/>
        <v>8.668000000000001</v>
      </c>
      <c r="V114" s="107">
        <f t="shared" si="33"/>
        <v>19.591000000000001</v>
      </c>
      <c r="W114" s="107">
        <f t="shared" si="34"/>
        <v>2.8050000000000002</v>
      </c>
      <c r="X114" s="107">
        <f t="shared" si="35"/>
        <v>12.265000000000001</v>
      </c>
      <c r="Z114" s="107">
        <f t="shared" si="36"/>
        <v>13.233000000000001</v>
      </c>
      <c r="AA114" s="107">
        <f t="shared" si="37"/>
        <v>8.6240000000000006</v>
      </c>
      <c r="AB114" s="107">
        <f t="shared" si="38"/>
        <v>31.185000000000006</v>
      </c>
      <c r="AD114" s="107">
        <f t="shared" si="39"/>
        <v>1.5070000000000003</v>
      </c>
      <c r="AE114" s="107">
        <f t="shared" si="40"/>
        <v>7.766</v>
      </c>
      <c r="AF114" s="107">
        <f t="shared" si="41"/>
        <v>17.677000000000003</v>
      </c>
      <c r="AH114" s="107">
        <v>-0.49</v>
      </c>
      <c r="AI114" s="107">
        <v>1.1099999999999999</v>
      </c>
      <c r="AJ114" s="107">
        <v>7.95</v>
      </c>
      <c r="AK114" s="107">
        <v>12.59</v>
      </c>
      <c r="AL114" s="107">
        <v>-1.6400000000000001</v>
      </c>
      <c r="AM114" s="107">
        <v>7.88</v>
      </c>
      <c r="AN114" s="107">
        <v>17.809999999999999</v>
      </c>
      <c r="AO114" s="107">
        <v>2.5499999999999998</v>
      </c>
      <c r="AP114" s="107">
        <v>11.15</v>
      </c>
      <c r="AQ114" s="107">
        <v>12.03</v>
      </c>
      <c r="AR114" s="107">
        <v>7.84</v>
      </c>
      <c r="AS114" s="107">
        <v>28.35</v>
      </c>
      <c r="AT114" s="107">
        <v>1.37</v>
      </c>
      <c r="AU114" s="107">
        <v>7.06</v>
      </c>
      <c r="AV114" s="107">
        <v>16.07</v>
      </c>
    </row>
    <row r="115" spans="1:48" ht="30" customHeight="1" outlineLevel="2">
      <c r="A115" s="125" t="s">
        <v>460</v>
      </c>
      <c r="B115" s="118" t="s">
        <v>461</v>
      </c>
      <c r="C115" s="104" t="s">
        <v>253</v>
      </c>
      <c r="E115" s="105">
        <f t="shared" si="42"/>
        <v>-0.53900000000000003</v>
      </c>
      <c r="F115" s="105">
        <f t="shared" si="43"/>
        <v>9.8713999999999995</v>
      </c>
      <c r="G115" s="105">
        <f t="shared" si="44"/>
        <v>20.218</v>
      </c>
      <c r="H115" s="106"/>
      <c r="I115" s="105">
        <f t="shared" si="45"/>
        <v>8.668000000000001</v>
      </c>
      <c r="J115" s="105">
        <f t="shared" si="46"/>
        <v>16.794800000000002</v>
      </c>
      <c r="K115" s="105">
        <f t="shared" si="47"/>
        <v>32.120000000000005</v>
      </c>
      <c r="N115" s="107">
        <f t="shared" si="27"/>
        <v>-0.53900000000000003</v>
      </c>
      <c r="O115" s="107">
        <f t="shared" si="28"/>
        <v>1.2209999999999999</v>
      </c>
      <c r="P115" s="107">
        <f t="shared" si="29"/>
        <v>8.745000000000001</v>
      </c>
      <c r="R115" s="107">
        <f t="shared" si="30"/>
        <v>13.849</v>
      </c>
      <c r="S115" s="107">
        <f t="shared" si="31"/>
        <v>-1.8040000000000003</v>
      </c>
      <c r="T115" s="107">
        <f t="shared" si="32"/>
        <v>8.668000000000001</v>
      </c>
      <c r="V115" s="107">
        <f t="shared" si="33"/>
        <v>20.218</v>
      </c>
      <c r="W115" s="107">
        <f t="shared" si="34"/>
        <v>3.8170000000000002</v>
      </c>
      <c r="X115" s="107">
        <f t="shared" si="35"/>
        <v>13.618</v>
      </c>
      <c r="Z115" s="107">
        <f t="shared" si="36"/>
        <v>13.794</v>
      </c>
      <c r="AA115" s="107">
        <f t="shared" si="37"/>
        <v>9.4160000000000021</v>
      </c>
      <c r="AB115" s="107">
        <f t="shared" si="38"/>
        <v>32.120000000000005</v>
      </c>
      <c r="AD115" s="107">
        <f t="shared" si="39"/>
        <v>2.0350000000000001</v>
      </c>
      <c r="AE115" s="107">
        <f t="shared" si="40"/>
        <v>8.5580000000000016</v>
      </c>
      <c r="AF115" s="107">
        <f t="shared" si="41"/>
        <v>20.823</v>
      </c>
      <c r="AH115" s="107">
        <v>-0.49</v>
      </c>
      <c r="AI115" s="107">
        <v>1.1099999999999999</v>
      </c>
      <c r="AJ115" s="107">
        <v>7.95</v>
      </c>
      <c r="AK115" s="107">
        <v>12.59</v>
      </c>
      <c r="AL115" s="107">
        <v>-1.6400000000000001</v>
      </c>
      <c r="AM115" s="107">
        <v>7.88</v>
      </c>
      <c r="AN115" s="107">
        <v>18.38</v>
      </c>
      <c r="AO115" s="107">
        <v>3.4699999999999998</v>
      </c>
      <c r="AP115" s="107">
        <v>12.379999999999999</v>
      </c>
      <c r="AQ115" s="107">
        <v>12.54</v>
      </c>
      <c r="AR115" s="107">
        <v>8.56</v>
      </c>
      <c r="AS115" s="107">
        <v>29.2</v>
      </c>
      <c r="AT115" s="107">
        <v>1.85</v>
      </c>
      <c r="AU115" s="107">
        <v>7.78</v>
      </c>
      <c r="AV115" s="107">
        <v>18.93</v>
      </c>
    </row>
    <row r="116" spans="1:48" ht="30" customHeight="1" outlineLevel="2">
      <c r="A116" s="125" t="s">
        <v>462</v>
      </c>
      <c r="B116" s="118" t="s">
        <v>463</v>
      </c>
      <c r="C116" s="104" t="s">
        <v>253</v>
      </c>
      <c r="E116" s="105">
        <f t="shared" si="42"/>
        <v>-0.53900000000000003</v>
      </c>
      <c r="F116" s="105">
        <f t="shared" si="43"/>
        <v>9.9330000000000016</v>
      </c>
      <c r="G116" s="105">
        <f t="shared" si="44"/>
        <v>20.526000000000003</v>
      </c>
      <c r="H116" s="106"/>
      <c r="I116" s="105">
        <f t="shared" si="45"/>
        <v>8.668000000000001</v>
      </c>
      <c r="J116" s="105">
        <f t="shared" si="46"/>
        <v>16.933399999999999</v>
      </c>
      <c r="K116" s="105">
        <f t="shared" si="47"/>
        <v>32.120000000000005</v>
      </c>
      <c r="N116" s="107">
        <f t="shared" si="27"/>
        <v>-0.53900000000000003</v>
      </c>
      <c r="O116" s="107">
        <f t="shared" si="28"/>
        <v>1.2209999999999999</v>
      </c>
      <c r="P116" s="107">
        <f t="shared" si="29"/>
        <v>8.745000000000001</v>
      </c>
      <c r="R116" s="107">
        <f t="shared" si="30"/>
        <v>13.849</v>
      </c>
      <c r="S116" s="107">
        <f t="shared" si="31"/>
        <v>-1.8040000000000003</v>
      </c>
      <c r="T116" s="107">
        <f t="shared" si="32"/>
        <v>8.668000000000001</v>
      </c>
      <c r="V116" s="107">
        <f t="shared" si="33"/>
        <v>20.526000000000003</v>
      </c>
      <c r="W116" s="107">
        <f t="shared" si="34"/>
        <v>4.3230000000000004</v>
      </c>
      <c r="X116" s="107">
        <f t="shared" si="35"/>
        <v>14.311000000000002</v>
      </c>
      <c r="Z116" s="107">
        <f t="shared" si="36"/>
        <v>13.794</v>
      </c>
      <c r="AA116" s="107">
        <f t="shared" si="37"/>
        <v>9.4160000000000021</v>
      </c>
      <c r="AB116" s="107">
        <f t="shared" si="38"/>
        <v>32.120000000000005</v>
      </c>
      <c r="AD116" s="107">
        <f t="shared" si="39"/>
        <v>2.0350000000000001</v>
      </c>
      <c r="AE116" s="107">
        <f t="shared" si="40"/>
        <v>8.5580000000000016</v>
      </c>
      <c r="AF116" s="107">
        <f t="shared" si="41"/>
        <v>20.823</v>
      </c>
      <c r="AH116" s="107">
        <v>-0.49</v>
      </c>
      <c r="AI116" s="107">
        <v>1.1099999999999999</v>
      </c>
      <c r="AJ116" s="107">
        <v>7.95</v>
      </c>
      <c r="AK116" s="107">
        <v>12.59</v>
      </c>
      <c r="AL116" s="107">
        <v>-1.6400000000000001</v>
      </c>
      <c r="AM116" s="107">
        <v>7.88</v>
      </c>
      <c r="AN116" s="107">
        <v>18.66</v>
      </c>
      <c r="AO116" s="107">
        <v>3.9299999999999997</v>
      </c>
      <c r="AP116" s="107">
        <v>13.01</v>
      </c>
      <c r="AQ116" s="107">
        <v>12.54</v>
      </c>
      <c r="AR116" s="107">
        <v>8.56</v>
      </c>
      <c r="AS116" s="107">
        <v>29.2</v>
      </c>
      <c r="AT116" s="107">
        <v>1.85</v>
      </c>
      <c r="AU116" s="107">
        <v>7.78</v>
      </c>
      <c r="AV116" s="107">
        <v>18.93</v>
      </c>
    </row>
    <row r="117" spans="1:48" ht="30" customHeight="1" outlineLevel="2">
      <c r="A117" s="125" t="s">
        <v>464</v>
      </c>
      <c r="B117" s="118" t="s">
        <v>465</v>
      </c>
      <c r="C117" s="104" t="s">
        <v>253</v>
      </c>
      <c r="E117" s="105">
        <f t="shared" si="42"/>
        <v>1.0999999999999767E-2</v>
      </c>
      <c r="F117" s="105">
        <f t="shared" si="43"/>
        <v>10.564400000000001</v>
      </c>
      <c r="G117" s="105">
        <f t="shared" si="44"/>
        <v>21.153000000000002</v>
      </c>
      <c r="H117" s="106"/>
      <c r="I117" s="105">
        <f t="shared" si="45"/>
        <v>9.2840000000000025</v>
      </c>
      <c r="J117" s="105">
        <f t="shared" si="46"/>
        <v>18.156600000000001</v>
      </c>
      <c r="K117" s="105">
        <f t="shared" si="47"/>
        <v>33.539000000000001</v>
      </c>
      <c r="N117" s="107">
        <f t="shared" si="27"/>
        <v>1.0999999999999767E-2</v>
      </c>
      <c r="O117" s="107">
        <f t="shared" si="28"/>
        <v>1.9910000000000003</v>
      </c>
      <c r="P117" s="107">
        <f t="shared" si="29"/>
        <v>9.8230000000000004</v>
      </c>
      <c r="R117" s="107">
        <f t="shared" si="30"/>
        <v>14.256000000000002</v>
      </c>
      <c r="S117" s="107">
        <f t="shared" si="31"/>
        <v>-1.2760000000000002</v>
      </c>
      <c r="T117" s="107">
        <f t="shared" si="32"/>
        <v>9.2840000000000025</v>
      </c>
      <c r="V117" s="107">
        <f t="shared" si="33"/>
        <v>21.153000000000002</v>
      </c>
      <c r="W117" s="107">
        <f t="shared" si="34"/>
        <v>5.3239999999999998</v>
      </c>
      <c r="X117" s="107">
        <f t="shared" si="35"/>
        <v>15.664000000000001</v>
      </c>
      <c r="Z117" s="107">
        <f t="shared" si="36"/>
        <v>14.663000000000002</v>
      </c>
      <c r="AA117" s="107">
        <f t="shared" si="37"/>
        <v>10.626000000000001</v>
      </c>
      <c r="AB117" s="107">
        <f t="shared" si="38"/>
        <v>33.539000000000001</v>
      </c>
      <c r="AD117" s="107">
        <f t="shared" si="39"/>
        <v>2.7390000000000003</v>
      </c>
      <c r="AE117" s="107">
        <f t="shared" si="40"/>
        <v>9.6140000000000008</v>
      </c>
      <c r="AF117" s="107">
        <f t="shared" si="41"/>
        <v>22.473000000000003</v>
      </c>
      <c r="AH117" s="107">
        <v>9.9999999999997868E-3</v>
      </c>
      <c r="AI117" s="107">
        <v>1.81</v>
      </c>
      <c r="AJ117" s="107">
        <v>8.93</v>
      </c>
      <c r="AK117" s="107">
        <v>12.96</v>
      </c>
      <c r="AL117" s="107">
        <v>-1.1600000000000001</v>
      </c>
      <c r="AM117" s="107">
        <v>8.4400000000000013</v>
      </c>
      <c r="AN117" s="107">
        <v>19.23</v>
      </c>
      <c r="AO117" s="107">
        <v>4.84</v>
      </c>
      <c r="AP117" s="107">
        <v>14.24</v>
      </c>
      <c r="AQ117" s="107">
        <v>13.33</v>
      </c>
      <c r="AR117" s="107">
        <v>9.66</v>
      </c>
      <c r="AS117" s="107">
        <v>30.490000000000002</v>
      </c>
      <c r="AT117" s="107">
        <v>2.4900000000000002</v>
      </c>
      <c r="AU117" s="107">
        <v>8.74</v>
      </c>
      <c r="AV117" s="107">
        <v>20.43</v>
      </c>
    </row>
    <row r="118" spans="1:48" ht="30" customHeight="1" outlineLevel="2">
      <c r="A118" s="125" t="s">
        <v>466</v>
      </c>
      <c r="B118" s="118" t="s">
        <v>467</v>
      </c>
      <c r="C118" s="104" t="s">
        <v>253</v>
      </c>
      <c r="E118" s="105">
        <f t="shared" si="42"/>
        <v>1.0999999999999767E-2</v>
      </c>
      <c r="F118" s="105">
        <f t="shared" si="43"/>
        <v>10.7316</v>
      </c>
      <c r="G118" s="105">
        <f t="shared" si="44"/>
        <v>21.153000000000002</v>
      </c>
      <c r="H118" s="106"/>
      <c r="I118" s="105">
        <f t="shared" si="45"/>
        <v>9.2840000000000025</v>
      </c>
      <c r="J118" s="105">
        <f t="shared" si="46"/>
        <v>18.433799999999998</v>
      </c>
      <c r="K118" s="105">
        <f t="shared" si="47"/>
        <v>34.925000000000004</v>
      </c>
      <c r="N118" s="107">
        <f t="shared" si="27"/>
        <v>1.0999999999999767E-2</v>
      </c>
      <c r="O118" s="107">
        <f t="shared" si="28"/>
        <v>1.9910000000000003</v>
      </c>
      <c r="P118" s="107">
        <f t="shared" si="29"/>
        <v>9.8230000000000004</v>
      </c>
      <c r="R118" s="107">
        <f t="shared" si="30"/>
        <v>14.256000000000002</v>
      </c>
      <c r="S118" s="107">
        <f t="shared" si="31"/>
        <v>-1.2760000000000002</v>
      </c>
      <c r="T118" s="107">
        <f t="shared" si="32"/>
        <v>9.2840000000000025</v>
      </c>
      <c r="V118" s="107">
        <f t="shared" si="33"/>
        <v>21.153000000000002</v>
      </c>
      <c r="W118" s="107">
        <f t="shared" si="34"/>
        <v>5.3239999999999998</v>
      </c>
      <c r="X118" s="107">
        <f t="shared" si="35"/>
        <v>15.664000000000001</v>
      </c>
      <c r="Z118" s="107">
        <f t="shared" si="36"/>
        <v>15.499000000000001</v>
      </c>
      <c r="AA118" s="107">
        <f t="shared" si="37"/>
        <v>11.803000000000001</v>
      </c>
      <c r="AB118" s="107">
        <f t="shared" si="38"/>
        <v>34.925000000000004</v>
      </c>
      <c r="AD118" s="107">
        <f t="shared" si="39"/>
        <v>2.7390000000000003</v>
      </c>
      <c r="AE118" s="107">
        <f t="shared" si="40"/>
        <v>9.6140000000000008</v>
      </c>
      <c r="AF118" s="107">
        <f t="shared" si="41"/>
        <v>22.473000000000003</v>
      </c>
      <c r="AH118" s="107">
        <v>9.9999999999997868E-3</v>
      </c>
      <c r="AI118" s="107">
        <v>1.81</v>
      </c>
      <c r="AJ118" s="107">
        <v>8.93</v>
      </c>
      <c r="AK118" s="107">
        <v>12.96</v>
      </c>
      <c r="AL118" s="107">
        <v>-1.1600000000000001</v>
      </c>
      <c r="AM118" s="107">
        <v>8.4400000000000013</v>
      </c>
      <c r="AN118" s="107">
        <v>19.23</v>
      </c>
      <c r="AO118" s="107">
        <v>4.84</v>
      </c>
      <c r="AP118" s="107">
        <v>14.24</v>
      </c>
      <c r="AQ118" s="107">
        <v>14.09</v>
      </c>
      <c r="AR118" s="107">
        <v>10.73</v>
      </c>
      <c r="AS118" s="107">
        <v>31.75</v>
      </c>
      <c r="AT118" s="107">
        <v>2.4900000000000002</v>
      </c>
      <c r="AU118" s="107">
        <v>8.74</v>
      </c>
      <c r="AV118" s="107">
        <v>20.43</v>
      </c>
    </row>
    <row r="119" spans="1:48" ht="30" customHeight="1" outlineLevel="2">
      <c r="A119" s="125" t="s">
        <v>468</v>
      </c>
      <c r="B119" s="118" t="s">
        <v>469</v>
      </c>
      <c r="C119" s="104" t="s">
        <v>253</v>
      </c>
      <c r="E119" s="105">
        <f t="shared" si="42"/>
        <v>1.1109999999999998</v>
      </c>
      <c r="F119" s="105">
        <f t="shared" si="43"/>
        <v>11.077000000000002</v>
      </c>
      <c r="G119" s="105">
        <f t="shared" si="44"/>
        <v>21.450000000000003</v>
      </c>
      <c r="H119" s="106"/>
      <c r="I119" s="105">
        <f t="shared" si="45"/>
        <v>9.2840000000000025</v>
      </c>
      <c r="J119" s="105">
        <f t="shared" si="46"/>
        <v>19.104800000000004</v>
      </c>
      <c r="K119" s="105">
        <f t="shared" si="47"/>
        <v>35.464000000000006</v>
      </c>
      <c r="N119" s="107">
        <f t="shared" si="27"/>
        <v>1.1109999999999998</v>
      </c>
      <c r="O119" s="107">
        <f t="shared" si="28"/>
        <v>3.5310000000000001</v>
      </c>
      <c r="P119" s="107">
        <f t="shared" si="29"/>
        <v>11.979000000000001</v>
      </c>
      <c r="R119" s="107">
        <f t="shared" si="30"/>
        <v>14.256000000000002</v>
      </c>
      <c r="S119" s="107">
        <f t="shared" si="31"/>
        <v>-1.2760000000000002</v>
      </c>
      <c r="T119" s="107">
        <f t="shared" si="32"/>
        <v>9.2840000000000025</v>
      </c>
      <c r="V119" s="107">
        <f t="shared" si="33"/>
        <v>21.450000000000003</v>
      </c>
      <c r="W119" s="107">
        <f t="shared" si="34"/>
        <v>5.8190000000000008</v>
      </c>
      <c r="X119" s="107">
        <f t="shared" si="35"/>
        <v>16.324000000000002</v>
      </c>
      <c r="Z119" s="107">
        <f t="shared" si="36"/>
        <v>15.829000000000002</v>
      </c>
      <c r="AA119" s="107">
        <f t="shared" si="37"/>
        <v>12.265000000000001</v>
      </c>
      <c r="AB119" s="107">
        <f t="shared" si="38"/>
        <v>35.464000000000006</v>
      </c>
      <c r="AD119" s="107">
        <f t="shared" si="39"/>
        <v>2.7390000000000003</v>
      </c>
      <c r="AE119" s="107">
        <f t="shared" si="40"/>
        <v>9.6140000000000008</v>
      </c>
      <c r="AF119" s="107">
        <f t="shared" si="41"/>
        <v>22.473000000000003</v>
      </c>
      <c r="AH119" s="107">
        <v>1.0099999999999998</v>
      </c>
      <c r="AI119" s="107">
        <v>3.21</v>
      </c>
      <c r="AJ119" s="107">
        <v>10.89</v>
      </c>
      <c r="AK119" s="107">
        <v>12.96</v>
      </c>
      <c r="AL119" s="107">
        <v>-1.1600000000000001</v>
      </c>
      <c r="AM119" s="107">
        <v>8.4400000000000013</v>
      </c>
      <c r="AN119" s="107">
        <v>19.5</v>
      </c>
      <c r="AO119" s="107">
        <v>5.29</v>
      </c>
      <c r="AP119" s="107">
        <v>14.84</v>
      </c>
      <c r="AQ119" s="107">
        <v>14.39</v>
      </c>
      <c r="AR119" s="107">
        <v>11.15</v>
      </c>
      <c r="AS119" s="107">
        <v>32.24</v>
      </c>
      <c r="AT119" s="107">
        <v>2.4900000000000002</v>
      </c>
      <c r="AU119" s="107">
        <v>8.74</v>
      </c>
      <c r="AV119" s="107">
        <v>20.43</v>
      </c>
    </row>
    <row r="120" spans="1:48" ht="30" customHeight="1" outlineLevel="1">
      <c r="A120" s="121" t="s">
        <v>470</v>
      </c>
      <c r="B120" s="122" t="s">
        <v>471</v>
      </c>
      <c r="C120" s="130"/>
      <c r="N120" s="11" t="str">
        <f t="shared" si="27"/>
        <v/>
      </c>
      <c r="O120" s="11" t="str">
        <f t="shared" si="28"/>
        <v/>
      </c>
      <c r="P120" s="11" t="str">
        <f t="shared" si="29"/>
        <v/>
      </c>
      <c r="R120" s="11" t="str">
        <f t="shared" si="30"/>
        <v/>
      </c>
      <c r="S120" s="11" t="str">
        <f t="shared" si="31"/>
        <v/>
      </c>
      <c r="T120" s="11" t="str">
        <f t="shared" si="32"/>
        <v/>
      </c>
      <c r="V120" s="11" t="str">
        <f t="shared" si="33"/>
        <v/>
      </c>
      <c r="W120" s="11" t="str">
        <f t="shared" si="34"/>
        <v/>
      </c>
      <c r="X120" s="11" t="str">
        <f t="shared" si="35"/>
        <v/>
      </c>
      <c r="Z120" s="11" t="str">
        <f t="shared" si="36"/>
        <v/>
      </c>
      <c r="AA120" s="11" t="str">
        <f t="shared" si="37"/>
        <v/>
      </c>
      <c r="AB120" s="11" t="str">
        <f t="shared" si="38"/>
        <v/>
      </c>
      <c r="AD120" s="11" t="str">
        <f t="shared" si="39"/>
        <v/>
      </c>
      <c r="AE120" s="11" t="str">
        <f t="shared" si="40"/>
        <v/>
      </c>
      <c r="AF120" s="11" t="str">
        <f t="shared" si="41"/>
        <v/>
      </c>
    </row>
    <row r="121" spans="1:48" ht="30" customHeight="1" outlineLevel="2">
      <c r="A121" s="125" t="s">
        <v>472</v>
      </c>
      <c r="B121" s="118" t="s">
        <v>473</v>
      </c>
      <c r="C121" s="104" t="s">
        <v>253</v>
      </c>
      <c r="E121" s="105">
        <f>MIN(N121,R121,V121,Z121,AD121)</f>
        <v>-0.53900000000000003</v>
      </c>
      <c r="F121" s="105">
        <f>AVERAGE(N121,R121,V121,Z121,AD121)</f>
        <v>9.4028000000000009</v>
      </c>
      <c r="G121" s="105">
        <f>MAX(N121,R121,V121,Z121,AD121)</f>
        <v>18.975000000000001</v>
      </c>
      <c r="H121" s="106"/>
      <c r="I121" s="105">
        <f>MIN(T121,X121,AB121,AF121,P121)</f>
        <v>8.0630000000000006</v>
      </c>
      <c r="J121" s="105">
        <f>AVERAGE(P121,T121,X121,AB121,AF121)</f>
        <v>15.833400000000001</v>
      </c>
      <c r="K121" s="105">
        <f>MAX(P121,T121,X121,AB121,AF121)</f>
        <v>31.834000000000003</v>
      </c>
      <c r="N121" s="107">
        <f t="shared" si="27"/>
        <v>-0.53900000000000003</v>
      </c>
      <c r="O121" s="107">
        <f t="shared" si="28"/>
        <v>1.2209999999999999</v>
      </c>
      <c r="P121" s="107">
        <f t="shared" si="29"/>
        <v>8.745000000000001</v>
      </c>
      <c r="R121" s="107">
        <f t="shared" si="30"/>
        <v>13.442000000000002</v>
      </c>
      <c r="S121" s="107">
        <f t="shared" si="31"/>
        <v>-2.3320000000000003</v>
      </c>
      <c r="T121" s="107">
        <f t="shared" si="32"/>
        <v>8.0630000000000006</v>
      </c>
      <c r="V121" s="107">
        <f t="shared" si="33"/>
        <v>18.975000000000001</v>
      </c>
      <c r="W121" s="107">
        <f t="shared" si="34"/>
        <v>1.8040000000000003</v>
      </c>
      <c r="X121" s="107">
        <f t="shared" si="35"/>
        <v>10.912000000000001</v>
      </c>
      <c r="Z121" s="107">
        <f t="shared" si="36"/>
        <v>13.629000000000001</v>
      </c>
      <c r="AA121" s="107">
        <f t="shared" si="37"/>
        <v>9.1850000000000005</v>
      </c>
      <c r="AB121" s="107">
        <f t="shared" si="38"/>
        <v>31.834000000000003</v>
      </c>
      <c r="AD121" s="107">
        <f t="shared" si="39"/>
        <v>1.5070000000000003</v>
      </c>
      <c r="AE121" s="107">
        <f t="shared" si="40"/>
        <v>7.766</v>
      </c>
      <c r="AF121" s="107">
        <f t="shared" si="41"/>
        <v>19.613</v>
      </c>
      <c r="AH121" s="107">
        <v>-0.49</v>
      </c>
      <c r="AI121" s="107">
        <v>1.1099999999999999</v>
      </c>
      <c r="AJ121" s="107">
        <v>7.95</v>
      </c>
      <c r="AK121" s="107">
        <v>12.22</v>
      </c>
      <c r="AL121" s="107">
        <v>-2.12</v>
      </c>
      <c r="AM121" s="107">
        <v>7.33</v>
      </c>
      <c r="AN121" s="107">
        <v>17.25</v>
      </c>
      <c r="AO121" s="107">
        <v>1.6400000000000001</v>
      </c>
      <c r="AP121" s="107">
        <v>9.92</v>
      </c>
      <c r="AQ121" s="107">
        <v>12.39</v>
      </c>
      <c r="AR121" s="107">
        <v>8.35</v>
      </c>
      <c r="AS121" s="107">
        <v>28.94</v>
      </c>
      <c r="AT121" s="107">
        <v>1.37</v>
      </c>
      <c r="AU121" s="107">
        <v>7.06</v>
      </c>
      <c r="AV121" s="107">
        <v>17.829999999999998</v>
      </c>
    </row>
    <row r="122" spans="1:48" ht="30" customHeight="1" outlineLevel="2">
      <c r="A122" s="125" t="s">
        <v>474</v>
      </c>
      <c r="B122" s="118" t="s">
        <v>475</v>
      </c>
      <c r="C122" s="104" t="s">
        <v>253</v>
      </c>
      <c r="E122" s="105">
        <f>MIN(N122,R122,V122,Z122,AD122)</f>
        <v>2.0350000000000001</v>
      </c>
      <c r="F122" s="105">
        <f>AVERAGE(N122,R122,V122,Z122,AD122)</f>
        <v>11.022</v>
      </c>
      <c r="G122" s="105">
        <f>MAX(N122,R122,V122,Z122,AD122)</f>
        <v>19.591000000000001</v>
      </c>
      <c r="H122" s="106"/>
      <c r="I122" s="105">
        <f>MIN(T122,X122,AB122,AF122,P122)</f>
        <v>8.668000000000001</v>
      </c>
      <c r="J122" s="105">
        <f>AVERAGE(P122,T122,X122,AB122,AF122)</f>
        <v>18.948600000000006</v>
      </c>
      <c r="K122" s="105">
        <f>MAX(P122,T122,X122,AB122,AF122)</f>
        <v>32.384000000000007</v>
      </c>
      <c r="N122" s="107">
        <f t="shared" si="27"/>
        <v>5.5220000000000002</v>
      </c>
      <c r="O122" s="107">
        <f t="shared" si="28"/>
        <v>9.6910000000000007</v>
      </c>
      <c r="P122" s="107">
        <f t="shared" si="29"/>
        <v>20.603000000000002</v>
      </c>
      <c r="R122" s="107">
        <f t="shared" si="30"/>
        <v>13.849</v>
      </c>
      <c r="S122" s="107">
        <f t="shared" si="31"/>
        <v>-1.8040000000000003</v>
      </c>
      <c r="T122" s="107">
        <f t="shared" si="32"/>
        <v>8.668000000000001</v>
      </c>
      <c r="V122" s="107">
        <f t="shared" si="33"/>
        <v>19.591000000000001</v>
      </c>
      <c r="W122" s="107">
        <f t="shared" si="34"/>
        <v>2.8050000000000002</v>
      </c>
      <c r="X122" s="107">
        <f t="shared" si="35"/>
        <v>12.265000000000001</v>
      </c>
      <c r="Z122" s="107">
        <f t="shared" si="36"/>
        <v>14.113000000000001</v>
      </c>
      <c r="AA122" s="107">
        <f t="shared" si="37"/>
        <v>9.5920000000000023</v>
      </c>
      <c r="AB122" s="107">
        <f t="shared" si="38"/>
        <v>32.384000000000007</v>
      </c>
      <c r="AD122" s="107">
        <f t="shared" si="39"/>
        <v>2.0350000000000001</v>
      </c>
      <c r="AE122" s="107">
        <f t="shared" si="40"/>
        <v>8.5580000000000016</v>
      </c>
      <c r="AF122" s="107">
        <f t="shared" si="41"/>
        <v>20.823</v>
      </c>
      <c r="AH122" s="107">
        <v>5.0199999999999996</v>
      </c>
      <c r="AI122" s="107">
        <v>8.81</v>
      </c>
      <c r="AJ122" s="107">
        <v>18.73</v>
      </c>
      <c r="AK122" s="107">
        <v>12.59</v>
      </c>
      <c r="AL122" s="107">
        <v>-1.6400000000000001</v>
      </c>
      <c r="AM122" s="107">
        <v>7.88</v>
      </c>
      <c r="AN122" s="107">
        <v>17.809999999999999</v>
      </c>
      <c r="AO122" s="107">
        <v>2.5499999999999998</v>
      </c>
      <c r="AP122" s="107">
        <v>11.15</v>
      </c>
      <c r="AQ122" s="107">
        <v>12.83</v>
      </c>
      <c r="AR122" s="107">
        <v>8.7200000000000006</v>
      </c>
      <c r="AS122" s="107">
        <v>29.44</v>
      </c>
      <c r="AT122" s="107">
        <v>1.85</v>
      </c>
      <c r="AU122" s="107">
        <v>7.78</v>
      </c>
      <c r="AV122" s="107">
        <v>18.93</v>
      </c>
    </row>
    <row r="123" spans="1:48" ht="30" customHeight="1" outlineLevel="2">
      <c r="A123" s="125" t="s">
        <v>476</v>
      </c>
      <c r="B123" s="118" t="s">
        <v>477</v>
      </c>
      <c r="C123" s="104" t="s">
        <v>253</v>
      </c>
      <c r="E123" s="105">
        <f>MIN(N123,R123,V123,Z123,AD123)</f>
        <v>2.7390000000000003</v>
      </c>
      <c r="F123" s="105">
        <f>AVERAGE(N123,R123,V123,Z123,AD123)</f>
        <v>12.163800000000002</v>
      </c>
      <c r="G123" s="105">
        <f>MAX(N123,R123,V123,Z123,AD123)</f>
        <v>20.207000000000004</v>
      </c>
      <c r="H123" s="106"/>
      <c r="I123" s="105">
        <f>MIN(T123,X123,AB123,AF123,P123)</f>
        <v>9.2840000000000025</v>
      </c>
      <c r="J123" s="105">
        <f>AVERAGE(P123,T123,X123,AB123,AF123)</f>
        <v>21.2102</v>
      </c>
      <c r="K123" s="105">
        <f>MAX(P123,T123,X123,AB123,AF123)</f>
        <v>33.605000000000004</v>
      </c>
      <c r="N123" s="107">
        <f t="shared" si="27"/>
        <v>8.822000000000001</v>
      </c>
      <c r="O123" s="107">
        <f t="shared" si="28"/>
        <v>14.311000000000002</v>
      </c>
      <c r="P123" s="107">
        <f t="shared" si="29"/>
        <v>27.071000000000002</v>
      </c>
      <c r="R123" s="107">
        <f t="shared" si="30"/>
        <v>14.256000000000002</v>
      </c>
      <c r="S123" s="107">
        <f t="shared" si="31"/>
        <v>-1.2760000000000002</v>
      </c>
      <c r="T123" s="107">
        <f t="shared" si="32"/>
        <v>9.2840000000000025</v>
      </c>
      <c r="V123" s="107">
        <f t="shared" si="33"/>
        <v>20.207000000000004</v>
      </c>
      <c r="W123" s="107">
        <f t="shared" si="34"/>
        <v>3.806</v>
      </c>
      <c r="X123" s="107">
        <f t="shared" si="35"/>
        <v>13.618</v>
      </c>
      <c r="Z123" s="107">
        <f t="shared" si="36"/>
        <v>14.795</v>
      </c>
      <c r="AA123" s="107">
        <f t="shared" si="37"/>
        <v>10.307000000000002</v>
      </c>
      <c r="AB123" s="107">
        <f t="shared" si="38"/>
        <v>33.605000000000004</v>
      </c>
      <c r="AD123" s="107">
        <f t="shared" si="39"/>
        <v>2.7390000000000003</v>
      </c>
      <c r="AE123" s="107">
        <f t="shared" si="40"/>
        <v>9.6140000000000008</v>
      </c>
      <c r="AF123" s="107">
        <f t="shared" si="41"/>
        <v>22.473000000000003</v>
      </c>
      <c r="AH123" s="107">
        <v>8.02</v>
      </c>
      <c r="AI123" s="107">
        <v>13.01</v>
      </c>
      <c r="AJ123" s="107">
        <v>24.61</v>
      </c>
      <c r="AK123" s="107">
        <v>12.96</v>
      </c>
      <c r="AL123" s="107">
        <v>-1.1600000000000001</v>
      </c>
      <c r="AM123" s="107">
        <v>8.4400000000000013</v>
      </c>
      <c r="AN123" s="107">
        <v>18.37</v>
      </c>
      <c r="AO123" s="107">
        <v>3.46</v>
      </c>
      <c r="AP123" s="107">
        <v>12.379999999999999</v>
      </c>
      <c r="AQ123" s="107">
        <v>13.45</v>
      </c>
      <c r="AR123" s="107">
        <v>9.370000000000001</v>
      </c>
      <c r="AS123" s="107">
        <v>30.55</v>
      </c>
      <c r="AT123" s="107">
        <v>2.4900000000000002</v>
      </c>
      <c r="AU123" s="107">
        <v>8.74</v>
      </c>
      <c r="AV123" s="107">
        <v>20.43</v>
      </c>
    </row>
    <row r="124" spans="1:48" ht="30" customHeight="1" outlineLevel="2" thickBot="1">
      <c r="A124" s="125" t="s">
        <v>478</v>
      </c>
      <c r="B124" s="118" t="s">
        <v>479</v>
      </c>
      <c r="C124" s="104" t="s">
        <v>253</v>
      </c>
      <c r="E124" s="105">
        <f>MIN(N124,R124,V124,Z124,AD124)</f>
        <v>3.1900000000000008</v>
      </c>
      <c r="F124" s="105">
        <f>AVERAGE(N124,R124,V124,Z124,AD124)</f>
        <v>13.743400000000003</v>
      </c>
      <c r="G124" s="105">
        <f>MAX(N124,R124,V124,Z124,AD124)</f>
        <v>20.823</v>
      </c>
      <c r="H124" s="106"/>
      <c r="I124" s="105">
        <f>MIN(T124,X124,AB124,AF124,P124)</f>
        <v>9.2840000000000025</v>
      </c>
      <c r="J124" s="105">
        <f>AVERAGE(P124,T124,X124,AB124,AF124)</f>
        <v>24.380400000000002</v>
      </c>
      <c r="K124" s="105">
        <f>MAX(P124,T124,X124,AB124,AF124)</f>
        <v>40.007000000000005</v>
      </c>
      <c r="N124" s="107">
        <f t="shared" si="27"/>
        <v>15.433000000000003</v>
      </c>
      <c r="O124" s="107">
        <f t="shared" si="28"/>
        <v>23.551000000000002</v>
      </c>
      <c r="P124" s="107">
        <f t="shared" si="29"/>
        <v>40.007000000000005</v>
      </c>
      <c r="R124" s="107">
        <f t="shared" si="30"/>
        <v>14.256000000000002</v>
      </c>
      <c r="S124" s="107">
        <f t="shared" si="31"/>
        <v>-1.2760000000000002</v>
      </c>
      <c r="T124" s="107">
        <f t="shared" si="32"/>
        <v>9.2840000000000025</v>
      </c>
      <c r="V124" s="107">
        <f t="shared" si="33"/>
        <v>20.823</v>
      </c>
      <c r="W124" s="107">
        <f t="shared" si="34"/>
        <v>4.8070000000000004</v>
      </c>
      <c r="X124" s="107">
        <f t="shared" si="35"/>
        <v>14.971</v>
      </c>
      <c r="Z124" s="107">
        <f t="shared" si="36"/>
        <v>15.015000000000002</v>
      </c>
      <c r="AA124" s="107">
        <f t="shared" si="37"/>
        <v>10.450000000000001</v>
      </c>
      <c r="AB124" s="107">
        <f t="shared" si="38"/>
        <v>34.122</v>
      </c>
      <c r="AD124" s="107">
        <f t="shared" si="39"/>
        <v>3.1900000000000008</v>
      </c>
      <c r="AE124" s="107">
        <f t="shared" si="40"/>
        <v>10.285</v>
      </c>
      <c r="AF124" s="107">
        <f t="shared" si="41"/>
        <v>23.518000000000004</v>
      </c>
      <c r="AH124" s="107">
        <v>14.030000000000001</v>
      </c>
      <c r="AI124" s="107">
        <v>21.41</v>
      </c>
      <c r="AJ124" s="107">
        <v>36.370000000000005</v>
      </c>
      <c r="AK124" s="107">
        <v>12.96</v>
      </c>
      <c r="AL124" s="107">
        <v>-1.1600000000000001</v>
      </c>
      <c r="AM124" s="107">
        <v>8.4400000000000013</v>
      </c>
      <c r="AN124" s="107">
        <v>18.93</v>
      </c>
      <c r="AO124" s="107">
        <v>4.37</v>
      </c>
      <c r="AP124" s="107">
        <v>13.61</v>
      </c>
      <c r="AQ124" s="107">
        <v>13.65</v>
      </c>
      <c r="AR124" s="107">
        <v>9.5</v>
      </c>
      <c r="AS124" s="107">
        <v>31.02</v>
      </c>
      <c r="AT124" s="107">
        <v>2.9000000000000004</v>
      </c>
      <c r="AU124" s="107">
        <v>9.35</v>
      </c>
      <c r="AV124" s="107">
        <v>21.380000000000003</v>
      </c>
    </row>
    <row r="125" spans="1:48" ht="30" customHeight="1" thickBot="1">
      <c r="A125" s="96" t="s">
        <v>480</v>
      </c>
      <c r="B125" s="115" t="s">
        <v>481</v>
      </c>
      <c r="C125" s="98"/>
      <c r="N125" s="11" t="str">
        <f t="shared" si="27"/>
        <v/>
      </c>
      <c r="O125" s="11" t="str">
        <f t="shared" si="28"/>
        <v/>
      </c>
      <c r="P125" s="11" t="str">
        <f t="shared" si="29"/>
        <v/>
      </c>
      <c r="R125" s="11" t="str">
        <f t="shared" si="30"/>
        <v/>
      </c>
      <c r="S125" s="11" t="str">
        <f t="shared" si="31"/>
        <v/>
      </c>
      <c r="T125" s="11" t="str">
        <f t="shared" si="32"/>
        <v/>
      </c>
      <c r="V125" s="11" t="str">
        <f t="shared" si="33"/>
        <v/>
      </c>
      <c r="W125" s="11" t="str">
        <f t="shared" si="34"/>
        <v/>
      </c>
      <c r="X125" s="11" t="str">
        <f t="shared" si="35"/>
        <v/>
      </c>
      <c r="Z125" s="11" t="str">
        <f t="shared" si="36"/>
        <v/>
      </c>
      <c r="AA125" s="11" t="str">
        <f t="shared" si="37"/>
        <v/>
      </c>
      <c r="AB125" s="11" t="str">
        <f t="shared" si="38"/>
        <v/>
      </c>
      <c r="AD125" s="11" t="str">
        <f t="shared" si="39"/>
        <v/>
      </c>
      <c r="AE125" s="11" t="str">
        <f t="shared" si="40"/>
        <v/>
      </c>
      <c r="AF125" s="11" t="str">
        <f t="shared" si="41"/>
        <v/>
      </c>
    </row>
    <row r="126" spans="1:48" ht="30" customHeight="1" outlineLevel="1">
      <c r="A126" s="132" t="s">
        <v>482</v>
      </c>
      <c r="B126" s="133" t="s">
        <v>483</v>
      </c>
      <c r="C126" s="101"/>
      <c r="N126" s="11" t="str">
        <f t="shared" si="27"/>
        <v/>
      </c>
      <c r="O126" s="11" t="str">
        <f t="shared" si="28"/>
        <v/>
      </c>
      <c r="P126" s="11" t="str">
        <f t="shared" si="29"/>
        <v/>
      </c>
      <c r="R126" s="11" t="str">
        <f t="shared" si="30"/>
        <v/>
      </c>
      <c r="S126" s="11" t="str">
        <f t="shared" si="31"/>
        <v/>
      </c>
      <c r="T126" s="11" t="str">
        <f t="shared" si="32"/>
        <v/>
      </c>
      <c r="V126" s="11" t="str">
        <f t="shared" si="33"/>
        <v/>
      </c>
      <c r="W126" s="11" t="str">
        <f t="shared" si="34"/>
        <v/>
      </c>
      <c r="X126" s="11" t="str">
        <f t="shared" si="35"/>
        <v/>
      </c>
      <c r="Z126" s="11" t="str">
        <f t="shared" si="36"/>
        <v/>
      </c>
      <c r="AA126" s="11" t="str">
        <f t="shared" si="37"/>
        <v/>
      </c>
      <c r="AB126" s="11" t="str">
        <f t="shared" si="38"/>
        <v/>
      </c>
      <c r="AD126" s="11" t="str">
        <f t="shared" si="39"/>
        <v/>
      </c>
      <c r="AE126" s="11" t="str">
        <f t="shared" si="40"/>
        <v/>
      </c>
      <c r="AF126" s="11" t="str">
        <f t="shared" si="41"/>
        <v/>
      </c>
    </row>
    <row r="127" spans="1:48" ht="30" customHeight="1" outlineLevel="2">
      <c r="A127" s="116" t="s">
        <v>484</v>
      </c>
      <c r="B127" s="118" t="s">
        <v>485</v>
      </c>
      <c r="C127" s="134" t="s">
        <v>242</v>
      </c>
      <c r="E127" s="105">
        <f>MIN(N127,R127,V127,Z127,AD127)</f>
        <v>3.762</v>
      </c>
      <c r="F127" s="105">
        <f>AVERAGE(N127,R127,V127,Z127,AD127)</f>
        <v>12.141800000000002</v>
      </c>
      <c r="G127" s="105">
        <f>MAX(N127,R127,V127,Z127,AD127)</f>
        <v>20.416</v>
      </c>
      <c r="H127" s="106"/>
      <c r="I127" s="105">
        <f>MIN(T127,X127,AB127,AF127,P127)</f>
        <v>9.8450000000000006</v>
      </c>
      <c r="J127" s="105">
        <f>AVERAGE(P127,T127,X127,AB127,AF127)</f>
        <v>18.904600000000002</v>
      </c>
      <c r="K127" s="105">
        <f>MAX(P127,T127,X127,AB127,AF127)</f>
        <v>31.592000000000002</v>
      </c>
      <c r="N127" s="107">
        <f t="shared" si="27"/>
        <v>3.762</v>
      </c>
      <c r="O127" s="107">
        <f t="shared" si="28"/>
        <v>5.9620000000000006</v>
      </c>
      <c r="P127" s="107">
        <f t="shared" si="29"/>
        <v>14.102000000000002</v>
      </c>
      <c r="R127" s="107">
        <f t="shared" si="30"/>
        <v>15.323</v>
      </c>
      <c r="S127" s="107">
        <f t="shared" si="31"/>
        <v>-0.50600000000000001</v>
      </c>
      <c r="T127" s="107">
        <f t="shared" si="32"/>
        <v>9.8450000000000006</v>
      </c>
      <c r="V127" s="107">
        <f t="shared" si="33"/>
        <v>20.416</v>
      </c>
      <c r="W127" s="107">
        <f t="shared" si="34"/>
        <v>4.1360000000000001</v>
      </c>
      <c r="X127" s="107">
        <f t="shared" si="35"/>
        <v>14.058000000000002</v>
      </c>
      <c r="Z127" s="107">
        <f t="shared" si="36"/>
        <v>13.992000000000003</v>
      </c>
      <c r="AA127" s="107">
        <f t="shared" si="37"/>
        <v>9.3610000000000007</v>
      </c>
      <c r="AB127" s="107">
        <f t="shared" si="38"/>
        <v>31.592000000000002</v>
      </c>
      <c r="AD127" s="107">
        <f t="shared" si="39"/>
        <v>7.2160000000000011</v>
      </c>
      <c r="AE127" s="107">
        <f t="shared" si="40"/>
        <v>14.432</v>
      </c>
      <c r="AF127" s="107">
        <f t="shared" si="41"/>
        <v>24.926000000000002</v>
      </c>
      <c r="AH127" s="107">
        <v>3.42</v>
      </c>
      <c r="AI127" s="107">
        <v>5.42</v>
      </c>
      <c r="AJ127" s="107">
        <v>12.82</v>
      </c>
      <c r="AK127" s="107">
        <v>13.93</v>
      </c>
      <c r="AL127" s="107">
        <v>-0.45999999999999996</v>
      </c>
      <c r="AM127" s="107">
        <v>8.9499999999999993</v>
      </c>
      <c r="AN127" s="107">
        <v>18.559999999999999</v>
      </c>
      <c r="AO127" s="107">
        <v>3.76</v>
      </c>
      <c r="AP127" s="107">
        <v>12.780000000000001</v>
      </c>
      <c r="AQ127" s="107">
        <v>12.72</v>
      </c>
      <c r="AR127" s="107">
        <v>8.51</v>
      </c>
      <c r="AS127" s="107">
        <v>28.72</v>
      </c>
      <c r="AT127" s="107">
        <v>6.5600000000000005</v>
      </c>
      <c r="AU127" s="107">
        <v>13.12</v>
      </c>
      <c r="AV127" s="107">
        <v>22.66</v>
      </c>
    </row>
    <row r="128" spans="1:48" ht="30" customHeight="1" outlineLevel="2">
      <c r="A128" s="116" t="s">
        <v>486</v>
      </c>
      <c r="B128" s="118" t="s">
        <v>487</v>
      </c>
      <c r="C128" s="134" t="s">
        <v>242</v>
      </c>
      <c r="E128" s="105">
        <f>MIN(N128,R128,V128,Z128,AD128)</f>
        <v>7.2160000000000011</v>
      </c>
      <c r="F128" s="105">
        <f>AVERAGE(N128,R128,V128,Z128,AD128)</f>
        <v>13.558600000000002</v>
      </c>
      <c r="G128" s="105">
        <f>MAX(N128,R128,V128,Z128,AD128)</f>
        <v>20.416</v>
      </c>
      <c r="H128" s="106"/>
      <c r="I128" s="105">
        <f>MIN(T128,X128,AB128,AF128,P128)</f>
        <v>11.880000000000003</v>
      </c>
      <c r="J128" s="105">
        <f>AVERAGE(P128,T128,X128,AB128,AF128)</f>
        <v>21.467600000000001</v>
      </c>
      <c r="K128" s="105">
        <f>MAX(P128,T128,X128,AB128,AF128)</f>
        <v>31.592000000000002</v>
      </c>
      <c r="N128" s="107">
        <f t="shared" si="27"/>
        <v>9.2729999999999997</v>
      </c>
      <c r="O128" s="107">
        <f t="shared" si="28"/>
        <v>13.662000000000001</v>
      </c>
      <c r="P128" s="107">
        <f t="shared" si="29"/>
        <v>24.882000000000001</v>
      </c>
      <c r="R128" s="107">
        <f t="shared" si="30"/>
        <v>16.896000000000001</v>
      </c>
      <c r="S128" s="107">
        <f t="shared" si="31"/>
        <v>1.3419999999999999</v>
      </c>
      <c r="T128" s="107">
        <f t="shared" si="32"/>
        <v>11.880000000000003</v>
      </c>
      <c r="V128" s="107">
        <f t="shared" si="33"/>
        <v>20.416</v>
      </c>
      <c r="W128" s="107">
        <f t="shared" si="34"/>
        <v>4.1360000000000001</v>
      </c>
      <c r="X128" s="107">
        <f t="shared" si="35"/>
        <v>14.058000000000002</v>
      </c>
      <c r="Z128" s="107">
        <f t="shared" si="36"/>
        <v>13.992000000000003</v>
      </c>
      <c r="AA128" s="107">
        <f t="shared" si="37"/>
        <v>9.3610000000000007</v>
      </c>
      <c r="AB128" s="107">
        <f t="shared" si="38"/>
        <v>31.592000000000002</v>
      </c>
      <c r="AD128" s="107">
        <f t="shared" si="39"/>
        <v>7.2160000000000011</v>
      </c>
      <c r="AE128" s="107">
        <f t="shared" si="40"/>
        <v>14.432</v>
      </c>
      <c r="AF128" s="107">
        <f t="shared" si="41"/>
        <v>24.926000000000002</v>
      </c>
      <c r="AH128" s="107">
        <v>8.43</v>
      </c>
      <c r="AI128" s="107">
        <v>12.42</v>
      </c>
      <c r="AJ128" s="107">
        <v>22.62</v>
      </c>
      <c r="AK128" s="107">
        <v>15.36</v>
      </c>
      <c r="AL128" s="107">
        <v>1.2199999999999998</v>
      </c>
      <c r="AM128" s="107">
        <v>10.8</v>
      </c>
      <c r="AN128" s="107">
        <v>18.559999999999999</v>
      </c>
      <c r="AO128" s="107">
        <v>3.76</v>
      </c>
      <c r="AP128" s="107">
        <v>12.780000000000001</v>
      </c>
      <c r="AQ128" s="107">
        <v>12.72</v>
      </c>
      <c r="AR128" s="107">
        <v>8.51</v>
      </c>
      <c r="AS128" s="107">
        <v>28.72</v>
      </c>
      <c r="AT128" s="107">
        <v>6.5600000000000005</v>
      </c>
      <c r="AU128" s="107">
        <v>13.12</v>
      </c>
      <c r="AV128" s="107">
        <v>22.66</v>
      </c>
    </row>
    <row r="129" spans="1:48" ht="30" customHeight="1" outlineLevel="2">
      <c r="A129" s="116" t="s">
        <v>488</v>
      </c>
      <c r="B129" s="126" t="s">
        <v>489</v>
      </c>
      <c r="C129" s="134" t="s">
        <v>242</v>
      </c>
      <c r="E129" s="105">
        <f>MIN(N129,R129,V129,Z129,AD129)</f>
        <v>7.2160000000000011</v>
      </c>
      <c r="F129" s="105">
        <f>AVERAGE(N129,R129,V129,Z129,AD129)</f>
        <v>14.220800000000002</v>
      </c>
      <c r="G129" s="105">
        <f>MAX(N129,R129,V129,Z129,AD129)</f>
        <v>22.154000000000003</v>
      </c>
      <c r="H129" s="106"/>
      <c r="I129" s="105">
        <f>MIN(T129,X129,AB129,AF129,P129)</f>
        <v>11.198</v>
      </c>
      <c r="J129" s="105">
        <f>AVERAGE(P129,T129,X129,AB129,AF129)</f>
        <v>22.420200000000001</v>
      </c>
      <c r="K129" s="105">
        <f>MAX(P129,T129,X129,AB129,AF129)</f>
        <v>35.442</v>
      </c>
      <c r="N129" s="107">
        <f t="shared" si="27"/>
        <v>9.7020000000000017</v>
      </c>
      <c r="O129" s="107">
        <f t="shared" si="28"/>
        <v>13.002000000000001</v>
      </c>
      <c r="P129" s="107">
        <f t="shared" si="29"/>
        <v>22.681999999999999</v>
      </c>
      <c r="R129" s="107">
        <f t="shared" si="30"/>
        <v>16.214000000000002</v>
      </c>
      <c r="S129" s="107">
        <f t="shared" si="31"/>
        <v>0.6599999999999997</v>
      </c>
      <c r="T129" s="107">
        <f t="shared" si="32"/>
        <v>11.198</v>
      </c>
      <c r="V129" s="107">
        <f t="shared" si="33"/>
        <v>22.154000000000003</v>
      </c>
      <c r="W129" s="107">
        <f t="shared" si="34"/>
        <v>6.9520000000000008</v>
      </c>
      <c r="X129" s="107">
        <f t="shared" si="35"/>
        <v>17.853000000000002</v>
      </c>
      <c r="Z129" s="107">
        <f t="shared" si="36"/>
        <v>15.818</v>
      </c>
      <c r="AA129" s="107">
        <f t="shared" si="37"/>
        <v>12.243</v>
      </c>
      <c r="AB129" s="107">
        <f t="shared" si="38"/>
        <v>35.442</v>
      </c>
      <c r="AD129" s="107">
        <f t="shared" si="39"/>
        <v>7.2160000000000011</v>
      </c>
      <c r="AE129" s="107">
        <f t="shared" si="40"/>
        <v>14.432</v>
      </c>
      <c r="AF129" s="107">
        <f t="shared" si="41"/>
        <v>24.926000000000002</v>
      </c>
      <c r="AH129" s="107">
        <v>8.82</v>
      </c>
      <c r="AI129" s="107">
        <v>11.82</v>
      </c>
      <c r="AJ129" s="107">
        <v>20.619999999999997</v>
      </c>
      <c r="AK129" s="107">
        <v>14.74</v>
      </c>
      <c r="AL129" s="107">
        <v>0.59999999999999964</v>
      </c>
      <c r="AM129" s="107">
        <v>10.18</v>
      </c>
      <c r="AN129" s="107">
        <v>20.14</v>
      </c>
      <c r="AO129" s="107">
        <v>6.32</v>
      </c>
      <c r="AP129" s="107">
        <v>16.23</v>
      </c>
      <c r="AQ129" s="107">
        <v>14.379999999999999</v>
      </c>
      <c r="AR129" s="107">
        <v>11.129999999999999</v>
      </c>
      <c r="AS129" s="107">
        <v>32.22</v>
      </c>
      <c r="AT129" s="107">
        <v>6.5600000000000005</v>
      </c>
      <c r="AU129" s="107">
        <v>13.12</v>
      </c>
      <c r="AV129" s="107">
        <v>22.66</v>
      </c>
    </row>
    <row r="130" spans="1:48" ht="30" customHeight="1" outlineLevel="1">
      <c r="A130" s="109" t="s">
        <v>490</v>
      </c>
      <c r="B130" s="135" t="s">
        <v>491</v>
      </c>
      <c r="C130" s="111"/>
      <c r="N130" s="11" t="str">
        <f t="shared" si="27"/>
        <v/>
      </c>
      <c r="O130" s="11" t="str">
        <f t="shared" si="28"/>
        <v/>
      </c>
      <c r="P130" s="11" t="str">
        <f t="shared" si="29"/>
        <v/>
      </c>
      <c r="R130" s="11" t="str">
        <f t="shared" si="30"/>
        <v/>
      </c>
      <c r="S130" s="11" t="str">
        <f t="shared" si="31"/>
        <v/>
      </c>
      <c r="T130" s="11" t="str">
        <f t="shared" si="32"/>
        <v/>
      </c>
      <c r="V130" s="11" t="str">
        <f t="shared" si="33"/>
        <v/>
      </c>
      <c r="W130" s="11" t="str">
        <f t="shared" si="34"/>
        <v/>
      </c>
      <c r="X130" s="11" t="str">
        <f t="shared" si="35"/>
        <v/>
      </c>
      <c r="Z130" s="11" t="str">
        <f t="shared" si="36"/>
        <v/>
      </c>
      <c r="AA130" s="11" t="str">
        <f t="shared" si="37"/>
        <v/>
      </c>
      <c r="AB130" s="11" t="str">
        <f t="shared" si="38"/>
        <v/>
      </c>
      <c r="AD130" s="11" t="str">
        <f t="shared" si="39"/>
        <v/>
      </c>
      <c r="AE130" s="11" t="str">
        <f t="shared" si="40"/>
        <v/>
      </c>
      <c r="AF130" s="11" t="str">
        <f t="shared" si="41"/>
        <v/>
      </c>
    </row>
    <row r="131" spans="1:48" ht="30" customHeight="1" outlineLevel="2" thickBot="1">
      <c r="A131" s="102" t="s">
        <v>492</v>
      </c>
      <c r="B131" s="120" t="s">
        <v>493</v>
      </c>
      <c r="C131" s="136" t="s">
        <v>242</v>
      </c>
      <c r="E131" s="105">
        <f>MIN(N131,R131,V131,Z131,AD131)</f>
        <v>3.2669999999999999</v>
      </c>
      <c r="F131" s="105">
        <f>AVERAGE(N131,R131,V131,Z131,AD131)</f>
        <v>13.3034</v>
      </c>
      <c r="G131" s="105">
        <f>MAX(N131,R131,V131,Z131,AD131)</f>
        <v>23.122</v>
      </c>
      <c r="H131" s="106"/>
      <c r="I131" s="105">
        <f>MIN(T131,X131,AB131,AF131,P131)</f>
        <v>11.198</v>
      </c>
      <c r="J131" s="105">
        <f>AVERAGE(P131,T131,X131,AB131,AF131)</f>
        <v>21.003400000000003</v>
      </c>
      <c r="K131" s="105">
        <f>MAX(P131,T131,X131,AB131,AF131)</f>
        <v>31.559000000000005</v>
      </c>
      <c r="N131" s="107">
        <f t="shared" si="27"/>
        <v>3.2669999999999999</v>
      </c>
      <c r="O131" s="107">
        <f t="shared" si="28"/>
        <v>5.9070000000000009</v>
      </c>
      <c r="P131" s="107">
        <f t="shared" si="29"/>
        <v>14.663000000000002</v>
      </c>
      <c r="R131" s="107">
        <f t="shared" si="30"/>
        <v>16.214000000000002</v>
      </c>
      <c r="S131" s="107">
        <f t="shared" si="31"/>
        <v>0.6599999999999997</v>
      </c>
      <c r="T131" s="107">
        <f t="shared" si="32"/>
        <v>11.198</v>
      </c>
      <c r="V131" s="107">
        <f t="shared" si="33"/>
        <v>23.122</v>
      </c>
      <c r="W131" s="107">
        <f t="shared" si="34"/>
        <v>8.5359999999999996</v>
      </c>
      <c r="X131" s="107">
        <f t="shared" si="35"/>
        <v>19.987000000000002</v>
      </c>
      <c r="Z131" s="107">
        <f t="shared" si="36"/>
        <v>13.97</v>
      </c>
      <c r="AA131" s="107">
        <f t="shared" si="37"/>
        <v>9.3280000000000012</v>
      </c>
      <c r="AB131" s="107">
        <f t="shared" si="38"/>
        <v>31.559000000000005</v>
      </c>
      <c r="AD131" s="107">
        <f t="shared" si="39"/>
        <v>9.9439999999999991</v>
      </c>
      <c r="AE131" s="107">
        <f t="shared" si="40"/>
        <v>17.138000000000002</v>
      </c>
      <c r="AF131" s="107">
        <f t="shared" si="41"/>
        <v>27.610000000000003</v>
      </c>
      <c r="AH131" s="107">
        <v>2.9699999999999998</v>
      </c>
      <c r="AI131" s="107">
        <v>5.37</v>
      </c>
      <c r="AJ131" s="107">
        <v>13.33</v>
      </c>
      <c r="AK131" s="107">
        <v>14.74</v>
      </c>
      <c r="AL131" s="107">
        <v>0.59999999999999964</v>
      </c>
      <c r="AM131" s="107">
        <v>10.18</v>
      </c>
      <c r="AN131" s="107">
        <v>21.02</v>
      </c>
      <c r="AO131" s="107">
        <v>7.76</v>
      </c>
      <c r="AP131" s="107">
        <v>18.170000000000002</v>
      </c>
      <c r="AQ131" s="107">
        <v>12.7</v>
      </c>
      <c r="AR131" s="107">
        <v>8.48</v>
      </c>
      <c r="AS131" s="107">
        <v>28.69</v>
      </c>
      <c r="AT131" s="107">
        <v>9.0399999999999991</v>
      </c>
      <c r="AU131" s="107">
        <v>15.58</v>
      </c>
      <c r="AV131" s="107">
        <v>25.1</v>
      </c>
    </row>
    <row r="132" spans="1:48" ht="30" customHeight="1" thickBot="1">
      <c r="A132" s="96" t="s">
        <v>494</v>
      </c>
      <c r="B132" s="115" t="s">
        <v>495</v>
      </c>
      <c r="C132" s="98"/>
      <c r="N132" s="11" t="str">
        <f t="shared" ref="N132:N195" si="48" xml:space="preserve"> IF(ISBLANK(AH132),"",_k_EIFFAGE * AH132)</f>
        <v/>
      </c>
      <c r="O132" s="11" t="str">
        <f t="shared" ref="O132:O195" si="49" xml:space="preserve"> IF(ISBLANK(AI132),"",_k_EIFFAGE * AI132)</f>
        <v/>
      </c>
      <c r="P132" s="11" t="str">
        <f t="shared" ref="P132:P195" si="50" xml:space="preserve"> IF(ISBLANK(AJ132),"",_k_EIFFAGE * AJ132)</f>
        <v/>
      </c>
      <c r="R132" s="11" t="str">
        <f t="shared" ref="R132:R195" si="51" xml:space="preserve"> IF(ISBLANK(AK132),"",_k_ERI * AK132)</f>
        <v/>
      </c>
      <c r="S132" s="11" t="str">
        <f t="shared" ref="S132:S195" si="52" xml:space="preserve"> IF(ISBLANK(AL132),"",_k_ERI * AL132)</f>
        <v/>
      </c>
      <c r="T132" s="11" t="str">
        <f t="shared" ref="T132:T195" si="53" xml:space="preserve"> IF(ISBLANK(AM132),"",_k_ERI * AM132)</f>
        <v/>
      </c>
      <c r="V132" s="11" t="str">
        <f t="shared" ref="V132:V195" si="54" xml:space="preserve"> IF(ISBLANK(AN132),"",_k_INEO * AN132)</f>
        <v/>
      </c>
      <c r="W132" s="11" t="str">
        <f t="shared" ref="W132:W195" si="55" xml:space="preserve"> IF(ISBLANK(AO132),"",_k_INEO * AO132)</f>
        <v/>
      </c>
      <c r="X132" s="11" t="str">
        <f t="shared" ref="X132:X195" si="56" xml:space="preserve"> IF(ISBLANK(AP132),"",_k_INEO * AP132)</f>
        <v/>
      </c>
      <c r="Z132" s="11" t="str">
        <f t="shared" ref="Z132:Z195" si="57" xml:space="preserve"> IF(ISBLANK(AQ132),"",_k_SDEL * AQ132)</f>
        <v/>
      </c>
      <c r="AA132" s="11" t="str">
        <f t="shared" ref="AA132:AA195" si="58" xml:space="preserve"> IF(ISBLANK(AR132),"",_k_SDEL * AR132)</f>
        <v/>
      </c>
      <c r="AB132" s="11" t="str">
        <f t="shared" ref="AB132:AB195" si="59" xml:space="preserve"> IF(ISBLANK(AS132),"",_k_SDEL * AS132)</f>
        <v/>
      </c>
      <c r="AD132" s="11" t="str">
        <f t="shared" ref="AD132:AD195" si="60" xml:space="preserve"> IF(ISBLANK(AT132),"",_k_SOGETREL * AT132)</f>
        <v/>
      </c>
      <c r="AE132" s="11" t="str">
        <f t="shared" ref="AE132:AE195" si="61" xml:space="preserve"> IF(ISBLANK(AU132),"",_k_SOGETREL * AU132)</f>
        <v/>
      </c>
      <c r="AF132" s="11" t="str">
        <f t="shared" ref="AF132:AF195" si="62" xml:space="preserve"> IF(ISBLANK(AV132),"",_k_SOGETREL * AV132)</f>
        <v/>
      </c>
    </row>
    <row r="133" spans="1:48" ht="30" customHeight="1" outlineLevel="1">
      <c r="A133" s="127" t="s">
        <v>496</v>
      </c>
      <c r="B133" s="128" t="s">
        <v>497</v>
      </c>
      <c r="C133" s="129"/>
      <c r="N133" s="11" t="str">
        <f t="shared" si="48"/>
        <v/>
      </c>
      <c r="O133" s="11" t="str">
        <f t="shared" si="49"/>
        <v/>
      </c>
      <c r="P133" s="11" t="str">
        <f t="shared" si="50"/>
        <v/>
      </c>
      <c r="R133" s="11" t="str">
        <f t="shared" si="51"/>
        <v/>
      </c>
      <c r="S133" s="11" t="str">
        <f t="shared" si="52"/>
        <v/>
      </c>
      <c r="T133" s="11" t="str">
        <f t="shared" si="53"/>
        <v/>
      </c>
      <c r="V133" s="11" t="str">
        <f t="shared" si="54"/>
        <v/>
      </c>
      <c r="W133" s="11" t="str">
        <f t="shared" si="55"/>
        <v/>
      </c>
      <c r="X133" s="11" t="str">
        <f t="shared" si="56"/>
        <v/>
      </c>
      <c r="Z133" s="11" t="str">
        <f t="shared" si="57"/>
        <v/>
      </c>
      <c r="AA133" s="11" t="str">
        <f t="shared" si="58"/>
        <v/>
      </c>
      <c r="AB133" s="11" t="str">
        <f t="shared" si="59"/>
        <v/>
      </c>
      <c r="AD133" s="11" t="str">
        <f t="shared" si="60"/>
        <v/>
      </c>
      <c r="AE133" s="11" t="str">
        <f t="shared" si="61"/>
        <v/>
      </c>
      <c r="AF133" s="11" t="str">
        <f t="shared" si="62"/>
        <v/>
      </c>
    </row>
    <row r="134" spans="1:48" s="124" customFormat="1" ht="30" customHeight="1" outlineLevel="2">
      <c r="A134" s="125" t="s">
        <v>498</v>
      </c>
      <c r="B134" s="118" t="s">
        <v>499</v>
      </c>
      <c r="C134" s="104" t="s">
        <v>242</v>
      </c>
      <c r="E134" s="105">
        <f>MIN(N134,R134,V134,Z134,AD134)</f>
        <v>48.279000000000003</v>
      </c>
      <c r="F134" s="105">
        <f>AVERAGE(N134,R134,V134,Z134,AD134)</f>
        <v>110.66220000000001</v>
      </c>
      <c r="G134" s="105">
        <f>MAX(N134,R134,V134,Z134,AD134)</f>
        <v>187.00000000000003</v>
      </c>
      <c r="H134" s="106"/>
      <c r="I134" s="105">
        <f>MIN(T134,X134,AB134,AF134,P134)</f>
        <v>98.14200000000001</v>
      </c>
      <c r="J134" s="105">
        <f>AVERAGE(P134,T134,X134,AB134,AF134)</f>
        <v>217.00360000000001</v>
      </c>
      <c r="K134" s="105">
        <f>MAX(P134,T134,X134,AB134,AF134)</f>
        <v>459.8</v>
      </c>
      <c r="N134" s="107">
        <f t="shared" si="48"/>
        <v>48.279000000000003</v>
      </c>
      <c r="O134" s="107">
        <f t="shared" si="49"/>
        <v>66.902000000000001</v>
      </c>
      <c r="P134" s="107">
        <f t="shared" si="50"/>
        <v>98.14200000000001</v>
      </c>
      <c r="R134" s="107">
        <f t="shared" si="51"/>
        <v>117.61200000000001</v>
      </c>
      <c r="S134" s="107">
        <f t="shared" si="52"/>
        <v>132.47300000000001</v>
      </c>
      <c r="T134" s="107">
        <f t="shared" si="53"/>
        <v>163.28400000000002</v>
      </c>
      <c r="V134" s="107">
        <f t="shared" si="54"/>
        <v>101.15600000000001</v>
      </c>
      <c r="W134" s="107">
        <f t="shared" si="55"/>
        <v>134.94800000000001</v>
      </c>
      <c r="X134" s="107">
        <f t="shared" si="56"/>
        <v>190.65200000000002</v>
      </c>
      <c r="Z134" s="107">
        <f t="shared" si="57"/>
        <v>99.263999999999996</v>
      </c>
      <c r="AA134" s="107">
        <f t="shared" si="58"/>
        <v>129.07400000000001</v>
      </c>
      <c r="AB134" s="107">
        <f t="shared" si="59"/>
        <v>173.14000000000001</v>
      </c>
      <c r="AD134" s="107">
        <f t="shared" si="60"/>
        <v>187.00000000000003</v>
      </c>
      <c r="AE134" s="107">
        <f t="shared" si="61"/>
        <v>267.3</v>
      </c>
      <c r="AF134" s="107">
        <f t="shared" si="62"/>
        <v>459.8</v>
      </c>
      <c r="AH134" s="107">
        <v>43.89</v>
      </c>
      <c r="AI134" s="107">
        <v>60.82</v>
      </c>
      <c r="AJ134" s="107">
        <v>89.22</v>
      </c>
      <c r="AK134" s="107">
        <v>106.92</v>
      </c>
      <c r="AL134" s="107">
        <v>120.43</v>
      </c>
      <c r="AM134" s="107">
        <v>148.44</v>
      </c>
      <c r="AN134" s="107">
        <v>91.96</v>
      </c>
      <c r="AO134" s="107">
        <v>122.68</v>
      </c>
      <c r="AP134" s="107">
        <v>173.32</v>
      </c>
      <c r="AQ134" s="107">
        <v>90.24</v>
      </c>
      <c r="AR134" s="107">
        <v>117.34</v>
      </c>
      <c r="AS134" s="107">
        <v>157.4</v>
      </c>
      <c r="AT134" s="107">
        <v>170</v>
      </c>
      <c r="AU134" s="107">
        <v>243</v>
      </c>
      <c r="AV134" s="107">
        <v>418</v>
      </c>
    </row>
    <row r="135" spans="1:48" s="124" customFormat="1" ht="30" customHeight="1" outlineLevel="2">
      <c r="A135" s="125" t="s">
        <v>500</v>
      </c>
      <c r="B135" s="118" t="s">
        <v>501</v>
      </c>
      <c r="C135" s="104" t="s">
        <v>242</v>
      </c>
      <c r="E135" s="105">
        <f>MIN(N135,R135,V135,Z135,AD135)</f>
        <v>114.38900000000001</v>
      </c>
      <c r="F135" s="105">
        <f>AVERAGE(N135,R135,V135,Z135,AD135)</f>
        <v>203.76180000000002</v>
      </c>
      <c r="G135" s="105">
        <f>MAX(N135,R135,V135,Z135,AD135)</f>
        <v>354.20000000000005</v>
      </c>
      <c r="H135" s="106"/>
      <c r="I135" s="105">
        <f>MIN(T135,X135,AB135,AF135,P135)</f>
        <v>227.52400000000003</v>
      </c>
      <c r="J135" s="105">
        <f>AVERAGE(P135,T135,X135,AB135,AF135)</f>
        <v>419.07579999999996</v>
      </c>
      <c r="K135" s="105">
        <f>MAX(P135,T135,X135,AB135,AF135)</f>
        <v>910.80000000000007</v>
      </c>
      <c r="N135" s="107">
        <f t="shared" si="48"/>
        <v>114.38900000000001</v>
      </c>
      <c r="O135" s="107">
        <f t="shared" si="49"/>
        <v>159.31300000000002</v>
      </c>
      <c r="P135" s="107">
        <f t="shared" si="50"/>
        <v>227.52400000000003</v>
      </c>
      <c r="R135" s="107">
        <f t="shared" si="51"/>
        <v>169.88400000000001</v>
      </c>
      <c r="S135" s="107">
        <f t="shared" si="52"/>
        <v>200.43100000000001</v>
      </c>
      <c r="T135" s="107">
        <f t="shared" si="53"/>
        <v>241.69200000000001</v>
      </c>
      <c r="V135" s="107">
        <f t="shared" si="54"/>
        <v>203.03800000000004</v>
      </c>
      <c r="W135" s="107">
        <f t="shared" si="55"/>
        <v>299.99200000000008</v>
      </c>
      <c r="X135" s="107">
        <f t="shared" si="56"/>
        <v>413.46800000000002</v>
      </c>
      <c r="Z135" s="107">
        <f t="shared" si="57"/>
        <v>177.29800000000003</v>
      </c>
      <c r="AA135" s="107">
        <f t="shared" si="58"/>
        <v>238.31500000000003</v>
      </c>
      <c r="AB135" s="107">
        <f t="shared" si="59"/>
        <v>301.89500000000004</v>
      </c>
      <c r="AD135" s="107">
        <f t="shared" si="60"/>
        <v>354.20000000000005</v>
      </c>
      <c r="AE135" s="107">
        <f t="shared" si="61"/>
        <v>518.1</v>
      </c>
      <c r="AF135" s="107">
        <f t="shared" si="62"/>
        <v>910.80000000000007</v>
      </c>
      <c r="AH135" s="107">
        <v>103.99</v>
      </c>
      <c r="AI135" s="107">
        <v>144.83000000000001</v>
      </c>
      <c r="AJ135" s="107">
        <v>206.84</v>
      </c>
      <c r="AK135" s="107">
        <v>154.44</v>
      </c>
      <c r="AL135" s="107">
        <v>182.21</v>
      </c>
      <c r="AM135" s="107">
        <v>219.72</v>
      </c>
      <c r="AN135" s="107">
        <v>184.58</v>
      </c>
      <c r="AO135" s="107">
        <v>272.72000000000003</v>
      </c>
      <c r="AP135" s="107">
        <v>375.88</v>
      </c>
      <c r="AQ135" s="107">
        <v>161.18</v>
      </c>
      <c r="AR135" s="107">
        <v>216.65</v>
      </c>
      <c r="AS135" s="107">
        <v>274.45</v>
      </c>
      <c r="AT135" s="107">
        <v>322</v>
      </c>
      <c r="AU135" s="107">
        <v>471</v>
      </c>
      <c r="AV135" s="107">
        <v>828</v>
      </c>
    </row>
    <row r="136" spans="1:48" s="124" customFormat="1" ht="30" customHeight="1" outlineLevel="2">
      <c r="A136" s="125" t="s">
        <v>502</v>
      </c>
      <c r="B136" s="118" t="s">
        <v>503</v>
      </c>
      <c r="C136" s="104" t="s">
        <v>242</v>
      </c>
      <c r="E136" s="105">
        <f>MIN(N136,R136,V136,Z136,AD136)</f>
        <v>197.03200000000001</v>
      </c>
      <c r="F136" s="105">
        <f>AVERAGE(N136,R136,V136,Z136,AD136)</f>
        <v>332.55640000000005</v>
      </c>
      <c r="G136" s="105">
        <f>MAX(N136,R136,V136,Z136,AD136)</f>
        <v>478.50000000000006</v>
      </c>
      <c r="H136" s="106"/>
      <c r="I136" s="105">
        <f>MIN(T136,X136,AB136,AF136,P136)</f>
        <v>389.23500000000007</v>
      </c>
      <c r="J136" s="105">
        <f>AVERAGE(P136,T136,X136,AB136,AF136)</f>
        <v>677.62200000000007</v>
      </c>
      <c r="K136" s="105">
        <f>MAX(P136,T136,X136,AB136,AF136)</f>
        <v>1246.3000000000002</v>
      </c>
      <c r="N136" s="107">
        <f t="shared" si="48"/>
        <v>197.03200000000001</v>
      </c>
      <c r="O136" s="107">
        <f t="shared" si="49"/>
        <v>274.82400000000001</v>
      </c>
      <c r="P136" s="107">
        <f t="shared" si="50"/>
        <v>389.23500000000007</v>
      </c>
      <c r="R136" s="107">
        <f t="shared" si="51"/>
        <v>274.428</v>
      </c>
      <c r="S136" s="107">
        <f t="shared" si="52"/>
        <v>336.33600000000001</v>
      </c>
      <c r="T136" s="107">
        <f t="shared" si="53"/>
        <v>398.50799999999998</v>
      </c>
      <c r="V136" s="107">
        <f t="shared" si="54"/>
        <v>370.84300000000002</v>
      </c>
      <c r="W136" s="107">
        <f t="shared" si="55"/>
        <v>571.83500000000004</v>
      </c>
      <c r="X136" s="107">
        <f t="shared" si="56"/>
        <v>780.45</v>
      </c>
      <c r="Z136" s="107">
        <f t="shared" si="57"/>
        <v>341.97899999999998</v>
      </c>
      <c r="AA136" s="107">
        <f t="shared" si="58"/>
        <v>468.87500000000006</v>
      </c>
      <c r="AB136" s="107">
        <f t="shared" si="59"/>
        <v>573.61700000000008</v>
      </c>
      <c r="AD136" s="107">
        <f t="shared" si="60"/>
        <v>478.50000000000006</v>
      </c>
      <c r="AE136" s="107">
        <f t="shared" si="61"/>
        <v>705.1</v>
      </c>
      <c r="AF136" s="107">
        <f t="shared" si="62"/>
        <v>1246.3000000000002</v>
      </c>
      <c r="AH136" s="107">
        <v>179.12</v>
      </c>
      <c r="AI136" s="107">
        <v>249.84</v>
      </c>
      <c r="AJ136" s="107">
        <v>353.85</v>
      </c>
      <c r="AK136" s="107">
        <v>249.48</v>
      </c>
      <c r="AL136" s="107">
        <v>305.76</v>
      </c>
      <c r="AM136" s="107">
        <v>362.28</v>
      </c>
      <c r="AN136" s="107">
        <v>337.13</v>
      </c>
      <c r="AO136" s="107">
        <v>519.85</v>
      </c>
      <c r="AP136" s="107">
        <v>709.5</v>
      </c>
      <c r="AQ136" s="107">
        <v>310.89</v>
      </c>
      <c r="AR136" s="107">
        <v>426.25</v>
      </c>
      <c r="AS136" s="107">
        <v>521.47</v>
      </c>
      <c r="AT136" s="107">
        <v>435</v>
      </c>
      <c r="AU136" s="107">
        <v>641</v>
      </c>
      <c r="AV136" s="107">
        <v>1133</v>
      </c>
    </row>
    <row r="137" spans="1:48" ht="30" customHeight="1" outlineLevel="2">
      <c r="A137" s="125" t="s">
        <v>504</v>
      </c>
      <c r="B137" s="118" t="s">
        <v>505</v>
      </c>
      <c r="C137" s="104" t="s">
        <v>242</v>
      </c>
      <c r="E137" s="105">
        <f>MIN(N137,R137,V137,Z137,AD137)</f>
        <v>378.97200000000004</v>
      </c>
      <c r="F137" s="105">
        <f>AVERAGE(N137,R137,V137,Z137,AD137)</f>
        <v>513.03780000000006</v>
      </c>
      <c r="G137" s="105">
        <f>MAX(N137,R137,V137,Z137,AD137)</f>
        <v>866.80000000000007</v>
      </c>
      <c r="H137" s="106"/>
      <c r="I137" s="105">
        <f>MIN(T137,X137,AB137,AF137,P137)</f>
        <v>555.32400000000007</v>
      </c>
      <c r="J137" s="105">
        <f>AVERAGE(P137,T137,X137,AB137,AF137)</f>
        <v>1081.7246</v>
      </c>
      <c r="K137" s="105">
        <f>MAX(P137,T137,X137,AB137,AF137)</f>
        <v>2294.6000000000004</v>
      </c>
      <c r="N137" s="107">
        <f t="shared" si="48"/>
        <v>389.87300000000005</v>
      </c>
      <c r="O137" s="107">
        <f t="shared" si="49"/>
        <v>544.35700000000008</v>
      </c>
      <c r="P137" s="107">
        <f t="shared" si="50"/>
        <v>766.57900000000006</v>
      </c>
      <c r="R137" s="107">
        <f t="shared" si="51"/>
        <v>378.97200000000004</v>
      </c>
      <c r="S137" s="107">
        <f t="shared" si="52"/>
        <v>472.24100000000004</v>
      </c>
      <c r="T137" s="107">
        <f t="shared" si="53"/>
        <v>555.32400000000007</v>
      </c>
      <c r="V137" s="107">
        <f t="shared" si="54"/>
        <v>520.68500000000006</v>
      </c>
      <c r="W137" s="107">
        <f t="shared" si="55"/>
        <v>814.58300000000008</v>
      </c>
      <c r="X137" s="107">
        <f t="shared" si="56"/>
        <v>1108.1510000000001</v>
      </c>
      <c r="Z137" s="107">
        <f t="shared" si="57"/>
        <v>408.85900000000004</v>
      </c>
      <c r="AA137" s="107">
        <f t="shared" si="58"/>
        <v>562.50700000000006</v>
      </c>
      <c r="AB137" s="107">
        <f t="shared" si="59"/>
        <v>683.96900000000005</v>
      </c>
      <c r="AD137" s="107">
        <f t="shared" si="60"/>
        <v>866.80000000000007</v>
      </c>
      <c r="AE137" s="107">
        <f t="shared" si="61"/>
        <v>1287</v>
      </c>
      <c r="AF137" s="107">
        <f t="shared" si="62"/>
        <v>2294.6000000000004</v>
      </c>
      <c r="AH137" s="107">
        <v>354.43</v>
      </c>
      <c r="AI137" s="107">
        <v>494.87</v>
      </c>
      <c r="AJ137" s="107">
        <v>696.89</v>
      </c>
      <c r="AK137" s="107">
        <v>344.52</v>
      </c>
      <c r="AL137" s="107">
        <v>429.31</v>
      </c>
      <c r="AM137" s="107">
        <v>504.84</v>
      </c>
      <c r="AN137" s="107">
        <v>473.35</v>
      </c>
      <c r="AO137" s="107">
        <v>740.53</v>
      </c>
      <c r="AP137" s="107">
        <v>1007.41</v>
      </c>
      <c r="AQ137" s="107">
        <v>371.69</v>
      </c>
      <c r="AR137" s="107">
        <v>511.37</v>
      </c>
      <c r="AS137" s="107">
        <v>621.79</v>
      </c>
      <c r="AT137" s="107">
        <v>788</v>
      </c>
      <c r="AU137" s="107">
        <v>1170</v>
      </c>
      <c r="AV137" s="107">
        <v>2086</v>
      </c>
    </row>
    <row r="138" spans="1:48" ht="30" customHeight="1" outlineLevel="2">
      <c r="A138" s="125" t="s">
        <v>506</v>
      </c>
      <c r="B138" s="118" t="s">
        <v>507</v>
      </c>
      <c r="C138" s="104" t="s">
        <v>242</v>
      </c>
      <c r="E138" s="105">
        <f>MIN(N138,R138,V138,Z138,AD138)</f>
        <v>172.52400000000003</v>
      </c>
      <c r="F138" s="105">
        <f>AVERAGE(N138,R138,V138,Z138,AD138)</f>
        <v>309.18140000000005</v>
      </c>
      <c r="G138" s="105">
        <f>MAX(N138,R138,V138,Z138,AD138)</f>
        <v>478.50000000000006</v>
      </c>
      <c r="H138" s="106"/>
      <c r="I138" s="105">
        <f>MIN(T138,X138,AB138,AF138,P138)</f>
        <v>294.01900000000001</v>
      </c>
      <c r="J138" s="105">
        <f>AVERAGE(P138,T138,X138,AB138,AF138)</f>
        <v>645.02460000000008</v>
      </c>
      <c r="K138" s="105">
        <f>MAX(P138,T138,X138,AB138,AF138)</f>
        <v>1246.3000000000002</v>
      </c>
      <c r="N138" s="107">
        <f t="shared" si="48"/>
        <v>197.03200000000001</v>
      </c>
      <c r="O138" s="107">
        <f t="shared" si="49"/>
        <v>274.82400000000001</v>
      </c>
      <c r="P138" s="107">
        <f t="shared" si="50"/>
        <v>389.23500000000007</v>
      </c>
      <c r="R138" s="107">
        <f t="shared" si="51"/>
        <v>273.053</v>
      </c>
      <c r="S138" s="107">
        <f t="shared" si="52"/>
        <v>334.96100000000001</v>
      </c>
      <c r="T138" s="107">
        <f t="shared" si="53"/>
        <v>397.13299999999998</v>
      </c>
      <c r="V138" s="107">
        <f t="shared" si="54"/>
        <v>424.79800000000006</v>
      </c>
      <c r="W138" s="107">
        <f t="shared" si="55"/>
        <v>659.23</v>
      </c>
      <c r="X138" s="107">
        <f t="shared" si="56"/>
        <v>898.43600000000004</v>
      </c>
      <c r="Z138" s="107">
        <f t="shared" si="57"/>
        <v>172.52400000000003</v>
      </c>
      <c r="AA138" s="107">
        <f t="shared" si="58"/>
        <v>231.63800000000003</v>
      </c>
      <c r="AB138" s="107">
        <f t="shared" si="59"/>
        <v>294.01900000000001</v>
      </c>
      <c r="AD138" s="107">
        <f t="shared" si="60"/>
        <v>478.50000000000006</v>
      </c>
      <c r="AE138" s="107">
        <f t="shared" si="61"/>
        <v>705.1</v>
      </c>
      <c r="AF138" s="107">
        <f t="shared" si="62"/>
        <v>1246.3000000000002</v>
      </c>
      <c r="AH138" s="107">
        <v>179.12</v>
      </c>
      <c r="AI138" s="107">
        <v>249.84</v>
      </c>
      <c r="AJ138" s="107">
        <v>353.85</v>
      </c>
      <c r="AK138" s="107">
        <v>248.23</v>
      </c>
      <c r="AL138" s="107">
        <v>304.51</v>
      </c>
      <c r="AM138" s="107">
        <v>361.03</v>
      </c>
      <c r="AN138" s="107">
        <v>386.18</v>
      </c>
      <c r="AO138" s="107">
        <v>599.29999999999995</v>
      </c>
      <c r="AP138" s="107">
        <v>816.76</v>
      </c>
      <c r="AQ138" s="107">
        <v>156.84</v>
      </c>
      <c r="AR138" s="107">
        <v>210.58</v>
      </c>
      <c r="AS138" s="107">
        <v>267.28999999999996</v>
      </c>
      <c r="AT138" s="107">
        <v>435</v>
      </c>
      <c r="AU138" s="107">
        <v>641</v>
      </c>
      <c r="AV138" s="107">
        <v>1133</v>
      </c>
    </row>
    <row r="139" spans="1:48" s="124" customFormat="1" ht="30" customHeight="1" outlineLevel="1">
      <c r="A139" s="121" t="s">
        <v>508</v>
      </c>
      <c r="B139" s="122" t="s">
        <v>509</v>
      </c>
      <c r="C139" s="123"/>
      <c r="E139" s="11"/>
      <c r="F139" s="11"/>
      <c r="G139" s="11"/>
      <c r="H139" s="11"/>
      <c r="I139" s="11"/>
      <c r="J139" s="11"/>
      <c r="K139" s="11"/>
      <c r="L139" s="11"/>
      <c r="M139" s="11"/>
      <c r="N139" s="11" t="str">
        <f t="shared" si="48"/>
        <v/>
      </c>
      <c r="O139" s="11" t="str">
        <f t="shared" si="49"/>
        <v/>
      </c>
      <c r="P139" s="11" t="str">
        <f t="shared" si="50"/>
        <v/>
      </c>
      <c r="Q139" s="11"/>
      <c r="R139" s="11" t="str">
        <f t="shared" si="51"/>
        <v/>
      </c>
      <c r="S139" s="11" t="str">
        <f t="shared" si="52"/>
        <v/>
      </c>
      <c r="T139" s="11" t="str">
        <f t="shared" si="53"/>
        <v/>
      </c>
      <c r="U139" s="11"/>
      <c r="V139" s="11" t="str">
        <f t="shared" si="54"/>
        <v/>
      </c>
      <c r="W139" s="11" t="str">
        <f t="shared" si="55"/>
        <v/>
      </c>
      <c r="X139" s="11" t="str">
        <f t="shared" si="56"/>
        <v/>
      </c>
      <c r="Y139" s="11"/>
      <c r="Z139" s="11" t="str">
        <f t="shared" si="57"/>
        <v/>
      </c>
      <c r="AA139" s="11" t="str">
        <f t="shared" si="58"/>
        <v/>
      </c>
      <c r="AB139" s="11" t="str">
        <f t="shared" si="59"/>
        <v/>
      </c>
      <c r="AC139" s="11"/>
      <c r="AD139" s="11" t="str">
        <f t="shared" si="60"/>
        <v/>
      </c>
      <c r="AE139" s="11" t="str">
        <f t="shared" si="61"/>
        <v/>
      </c>
      <c r="AF139" s="11" t="str">
        <f t="shared" si="62"/>
        <v/>
      </c>
      <c r="AH139" s="11"/>
      <c r="AI139" s="11"/>
      <c r="AJ139" s="11"/>
      <c r="AK139" s="11"/>
      <c r="AL139" s="11"/>
      <c r="AM139" s="11"/>
      <c r="AN139" s="11"/>
      <c r="AO139" s="11"/>
      <c r="AP139" s="11"/>
      <c r="AQ139" s="11"/>
      <c r="AR139" s="11"/>
      <c r="AS139" s="11"/>
      <c r="AT139" s="11"/>
      <c r="AU139" s="11"/>
      <c r="AV139" s="11"/>
    </row>
    <row r="140" spans="1:48" s="124" customFormat="1" ht="30" customHeight="1" outlineLevel="2">
      <c r="A140" s="125" t="s">
        <v>510</v>
      </c>
      <c r="B140" s="118" t="s">
        <v>511</v>
      </c>
      <c r="C140" s="104" t="s">
        <v>242</v>
      </c>
      <c r="E140" s="105">
        <f>MIN(N140,R140,V140,Z140,AD140)</f>
        <v>45.518000000000008</v>
      </c>
      <c r="F140" s="105">
        <f>AVERAGE(N140,R140,V140,Z140,AD140)</f>
        <v>91.478200000000001</v>
      </c>
      <c r="G140" s="105">
        <f>MAX(N140,R140,V140,Z140,AD140)</f>
        <v>117.7</v>
      </c>
      <c r="H140" s="106"/>
      <c r="I140" s="105">
        <f>MIN(T140,X140,AB140,AF140,P140)</f>
        <v>92.751999999999995</v>
      </c>
      <c r="J140" s="105">
        <f>AVERAGE(P140,T140,X140,AB140,AF140)</f>
        <v>170.65180000000001</v>
      </c>
      <c r="K140" s="105">
        <f>MAX(P140,T140,X140,AB140,AF140)</f>
        <v>272.8</v>
      </c>
      <c r="N140" s="107">
        <f t="shared" si="48"/>
        <v>45.518000000000008</v>
      </c>
      <c r="O140" s="107">
        <f t="shared" si="49"/>
        <v>63.052000000000007</v>
      </c>
      <c r="P140" s="107">
        <f t="shared" si="50"/>
        <v>92.751999999999995</v>
      </c>
      <c r="R140" s="107">
        <f t="shared" si="51"/>
        <v>117.61200000000001</v>
      </c>
      <c r="S140" s="107">
        <f t="shared" si="52"/>
        <v>132.47300000000001</v>
      </c>
      <c r="T140" s="107">
        <f t="shared" si="53"/>
        <v>163.28400000000002</v>
      </c>
      <c r="V140" s="107">
        <f t="shared" si="54"/>
        <v>101.15600000000001</v>
      </c>
      <c r="W140" s="107">
        <f t="shared" si="55"/>
        <v>134.94800000000001</v>
      </c>
      <c r="X140" s="107">
        <f t="shared" si="56"/>
        <v>190.65200000000002</v>
      </c>
      <c r="Z140" s="107">
        <f t="shared" si="57"/>
        <v>75.405000000000001</v>
      </c>
      <c r="AA140" s="107">
        <f t="shared" si="58"/>
        <v>95.667000000000002</v>
      </c>
      <c r="AB140" s="107">
        <f t="shared" si="59"/>
        <v>133.77100000000002</v>
      </c>
      <c r="AD140" s="107">
        <f t="shared" si="60"/>
        <v>117.7</v>
      </c>
      <c r="AE140" s="107">
        <f t="shared" si="61"/>
        <v>163.9</v>
      </c>
      <c r="AF140" s="107">
        <f t="shared" si="62"/>
        <v>272.8</v>
      </c>
      <c r="AH140" s="107">
        <v>41.38</v>
      </c>
      <c r="AI140" s="107">
        <v>57.32</v>
      </c>
      <c r="AJ140" s="107">
        <v>84.32</v>
      </c>
      <c r="AK140" s="107">
        <v>106.92</v>
      </c>
      <c r="AL140" s="107">
        <v>120.43</v>
      </c>
      <c r="AM140" s="107">
        <v>148.44</v>
      </c>
      <c r="AN140" s="107">
        <v>91.96</v>
      </c>
      <c r="AO140" s="107">
        <v>122.68</v>
      </c>
      <c r="AP140" s="107">
        <v>173.32</v>
      </c>
      <c r="AQ140" s="107">
        <v>68.55</v>
      </c>
      <c r="AR140" s="107">
        <v>86.97</v>
      </c>
      <c r="AS140" s="107">
        <v>121.61</v>
      </c>
      <c r="AT140" s="107">
        <v>107</v>
      </c>
      <c r="AU140" s="107">
        <v>149</v>
      </c>
      <c r="AV140" s="107">
        <v>248</v>
      </c>
    </row>
    <row r="141" spans="1:48" s="124" customFormat="1" ht="30" customHeight="1" outlineLevel="2">
      <c r="A141" s="125" t="s">
        <v>512</v>
      </c>
      <c r="B141" s="118" t="s">
        <v>513</v>
      </c>
      <c r="C141" s="104" t="s">
        <v>242</v>
      </c>
      <c r="E141" s="105">
        <f>MIN(N141,R141,V141,Z141,AD141)</f>
        <v>86.845000000000013</v>
      </c>
      <c r="F141" s="105">
        <f>AVERAGE(N141,R141,V141,Z141,AD141)</f>
        <v>142.43900000000002</v>
      </c>
      <c r="G141" s="105">
        <f>MAX(N141,R141,V141,Z141,AD141)</f>
        <v>203.03800000000004</v>
      </c>
      <c r="H141" s="106"/>
      <c r="I141" s="105">
        <f>MIN(T141,X141,AB141,AF141,P141)</f>
        <v>155.41900000000004</v>
      </c>
      <c r="J141" s="105">
        <f>AVERAGE(P141,T141,X141,AB141,AF141)</f>
        <v>276.47840000000008</v>
      </c>
      <c r="K141" s="105">
        <f>MAX(P141,T141,X141,AB141,AF141)</f>
        <v>413.46800000000002</v>
      </c>
      <c r="N141" s="107">
        <f t="shared" si="48"/>
        <v>86.845000000000013</v>
      </c>
      <c r="O141" s="107">
        <f t="shared" si="49"/>
        <v>120.813</v>
      </c>
      <c r="P141" s="107">
        <f t="shared" si="50"/>
        <v>173.61300000000003</v>
      </c>
      <c r="R141" s="107">
        <f t="shared" si="51"/>
        <v>169.88400000000001</v>
      </c>
      <c r="S141" s="107">
        <f t="shared" si="52"/>
        <v>200.43100000000001</v>
      </c>
      <c r="T141" s="107">
        <f t="shared" si="53"/>
        <v>241.69200000000001</v>
      </c>
      <c r="V141" s="107">
        <f t="shared" si="54"/>
        <v>203.03800000000004</v>
      </c>
      <c r="W141" s="107">
        <f t="shared" si="55"/>
        <v>299.99200000000008</v>
      </c>
      <c r="X141" s="107">
        <f t="shared" si="56"/>
        <v>413.46800000000002</v>
      </c>
      <c r="Z141" s="107">
        <f t="shared" si="57"/>
        <v>88.528000000000006</v>
      </c>
      <c r="AA141" s="107">
        <f t="shared" si="58"/>
        <v>114.03700000000001</v>
      </c>
      <c r="AB141" s="107">
        <f t="shared" si="59"/>
        <v>155.41900000000004</v>
      </c>
      <c r="AD141" s="107">
        <f t="shared" si="60"/>
        <v>163.9</v>
      </c>
      <c r="AE141" s="107">
        <f t="shared" si="61"/>
        <v>233.20000000000002</v>
      </c>
      <c r="AF141" s="107">
        <f t="shared" si="62"/>
        <v>398.20000000000005</v>
      </c>
      <c r="AH141" s="107">
        <v>78.95</v>
      </c>
      <c r="AI141" s="107">
        <v>109.83</v>
      </c>
      <c r="AJ141" s="107">
        <v>157.83000000000001</v>
      </c>
      <c r="AK141" s="107">
        <v>154.44</v>
      </c>
      <c r="AL141" s="107">
        <v>182.21</v>
      </c>
      <c r="AM141" s="107">
        <v>219.72</v>
      </c>
      <c r="AN141" s="107">
        <v>184.58</v>
      </c>
      <c r="AO141" s="107">
        <v>272.72000000000003</v>
      </c>
      <c r="AP141" s="107">
        <v>375.88</v>
      </c>
      <c r="AQ141" s="107">
        <v>80.48</v>
      </c>
      <c r="AR141" s="107">
        <v>103.67</v>
      </c>
      <c r="AS141" s="107">
        <v>141.29000000000002</v>
      </c>
      <c r="AT141" s="107">
        <v>149</v>
      </c>
      <c r="AU141" s="107">
        <v>212</v>
      </c>
      <c r="AV141" s="107">
        <v>362</v>
      </c>
    </row>
    <row r="142" spans="1:48" s="124" customFormat="1" ht="30" customHeight="1" outlineLevel="2">
      <c r="A142" s="125" t="s">
        <v>514</v>
      </c>
      <c r="B142" s="118" t="s">
        <v>515</v>
      </c>
      <c r="C142" s="104" t="s">
        <v>242</v>
      </c>
      <c r="E142" s="105">
        <f>MIN(N142,R142,V142,Z142,AD142)</f>
        <v>105.33600000000001</v>
      </c>
      <c r="F142" s="105">
        <f>AVERAGE(N142,R142,V142,Z142,AD142)</f>
        <v>200.62020000000001</v>
      </c>
      <c r="G142" s="105">
        <f>MAX(N142,R142,V142,Z142,AD142)</f>
        <v>304.92</v>
      </c>
      <c r="H142" s="106"/>
      <c r="I142" s="105">
        <f>MIN(T142,X142,AB142,AF142,P142)</f>
        <v>183.15</v>
      </c>
      <c r="J142" s="105">
        <f>AVERAGE(P142,T142,X142,AB142,AF142)</f>
        <v>402.76940000000002</v>
      </c>
      <c r="K142" s="105">
        <f>MAX(P142,T142,X142,AB142,AF142)</f>
        <v>646.80000000000007</v>
      </c>
      <c r="N142" s="107">
        <f t="shared" si="48"/>
        <v>114.38900000000001</v>
      </c>
      <c r="O142" s="107">
        <f t="shared" si="49"/>
        <v>159.31300000000002</v>
      </c>
      <c r="P142" s="107">
        <f t="shared" si="50"/>
        <v>227.52400000000003</v>
      </c>
      <c r="R142" s="107">
        <f t="shared" si="51"/>
        <v>222.15600000000003</v>
      </c>
      <c r="S142" s="107">
        <f t="shared" si="52"/>
        <v>268.37799999999999</v>
      </c>
      <c r="T142" s="107">
        <f t="shared" si="53"/>
        <v>320.10000000000002</v>
      </c>
      <c r="V142" s="107">
        <f t="shared" si="54"/>
        <v>304.92</v>
      </c>
      <c r="W142" s="107">
        <f t="shared" si="55"/>
        <v>465.04700000000003</v>
      </c>
      <c r="X142" s="107">
        <f t="shared" si="56"/>
        <v>636.27300000000002</v>
      </c>
      <c r="Z142" s="107">
        <f t="shared" si="57"/>
        <v>105.33600000000001</v>
      </c>
      <c r="AA142" s="107">
        <f t="shared" si="58"/>
        <v>137.566</v>
      </c>
      <c r="AB142" s="107">
        <f t="shared" si="59"/>
        <v>183.15</v>
      </c>
      <c r="AD142" s="107">
        <f t="shared" si="60"/>
        <v>256.3</v>
      </c>
      <c r="AE142" s="107">
        <f t="shared" si="61"/>
        <v>371.8</v>
      </c>
      <c r="AF142" s="107">
        <f t="shared" si="62"/>
        <v>646.80000000000007</v>
      </c>
      <c r="AH142" s="107">
        <v>103.99</v>
      </c>
      <c r="AI142" s="107">
        <v>144.83000000000001</v>
      </c>
      <c r="AJ142" s="107">
        <v>206.84</v>
      </c>
      <c r="AK142" s="107">
        <v>201.96</v>
      </c>
      <c r="AL142" s="107">
        <v>243.98</v>
      </c>
      <c r="AM142" s="107">
        <v>291</v>
      </c>
      <c r="AN142" s="107">
        <v>277.2</v>
      </c>
      <c r="AO142" s="107">
        <v>422.77</v>
      </c>
      <c r="AP142" s="107">
        <v>578.42999999999995</v>
      </c>
      <c r="AQ142" s="107">
        <v>95.76</v>
      </c>
      <c r="AR142" s="107">
        <v>125.06</v>
      </c>
      <c r="AS142" s="107">
        <v>166.5</v>
      </c>
      <c r="AT142" s="107">
        <v>233</v>
      </c>
      <c r="AU142" s="107">
        <v>338</v>
      </c>
      <c r="AV142" s="107">
        <v>588</v>
      </c>
    </row>
    <row r="143" spans="1:48" s="124" customFormat="1" ht="30" customHeight="1" outlineLevel="2">
      <c r="A143" s="125" t="s">
        <v>516</v>
      </c>
      <c r="B143" s="118" t="s">
        <v>517</v>
      </c>
      <c r="C143" s="104" t="s">
        <v>242</v>
      </c>
      <c r="E143" s="105">
        <f>MIN(N143,R143,V143,Z143,AD143)</f>
        <v>132.60500000000002</v>
      </c>
      <c r="F143" s="105">
        <f>AVERAGE(N143,R143,V143,Z143,AD143)</f>
        <v>260.46019999999999</v>
      </c>
      <c r="G143" s="105">
        <f>MAX(N143,R143,V143,Z143,AD143)</f>
        <v>376.83800000000002</v>
      </c>
      <c r="H143" s="106"/>
      <c r="I143" s="105">
        <f>MIN(T143,X143,AB143,AF143,P143)</f>
        <v>228.14000000000001</v>
      </c>
      <c r="J143" s="105">
        <f>AVERAGE(P143,T143,X143,AB143,AF143)</f>
        <v>523.8112000000001</v>
      </c>
      <c r="K143" s="105">
        <f>MAX(P143,T143,X143,AB143,AF143)</f>
        <v>840.40000000000009</v>
      </c>
      <c r="N143" s="107">
        <f t="shared" si="48"/>
        <v>141.93300000000002</v>
      </c>
      <c r="O143" s="107">
        <f t="shared" si="49"/>
        <v>197.81300000000002</v>
      </c>
      <c r="P143" s="107">
        <f t="shared" si="50"/>
        <v>281.42400000000004</v>
      </c>
      <c r="R143" s="107">
        <f t="shared" si="51"/>
        <v>325.32500000000005</v>
      </c>
      <c r="S143" s="107">
        <f t="shared" si="52"/>
        <v>402.91900000000004</v>
      </c>
      <c r="T143" s="107">
        <f t="shared" si="53"/>
        <v>475.54100000000005</v>
      </c>
      <c r="V143" s="107">
        <f t="shared" si="54"/>
        <v>376.83800000000002</v>
      </c>
      <c r="W143" s="107">
        <f t="shared" si="55"/>
        <v>581.548</v>
      </c>
      <c r="X143" s="107">
        <f t="shared" si="56"/>
        <v>793.55100000000004</v>
      </c>
      <c r="Z143" s="107">
        <f t="shared" si="57"/>
        <v>132.60500000000002</v>
      </c>
      <c r="AA143" s="107">
        <f t="shared" si="58"/>
        <v>175.74700000000001</v>
      </c>
      <c r="AB143" s="107">
        <f t="shared" si="59"/>
        <v>228.14000000000001</v>
      </c>
      <c r="AD143" s="107">
        <f t="shared" si="60"/>
        <v>325.60000000000002</v>
      </c>
      <c r="AE143" s="107">
        <f t="shared" si="61"/>
        <v>477.40000000000003</v>
      </c>
      <c r="AF143" s="107">
        <f t="shared" si="62"/>
        <v>840.40000000000009</v>
      </c>
      <c r="AH143" s="107">
        <v>129.03</v>
      </c>
      <c r="AI143" s="107">
        <v>179.83</v>
      </c>
      <c r="AJ143" s="107">
        <v>255.84</v>
      </c>
      <c r="AK143" s="107">
        <v>295.75</v>
      </c>
      <c r="AL143" s="107">
        <v>366.29</v>
      </c>
      <c r="AM143" s="107">
        <v>432.31</v>
      </c>
      <c r="AN143" s="107">
        <v>342.58</v>
      </c>
      <c r="AO143" s="107">
        <v>528.67999999999995</v>
      </c>
      <c r="AP143" s="107">
        <v>721.41</v>
      </c>
      <c r="AQ143" s="107">
        <v>120.55</v>
      </c>
      <c r="AR143" s="107">
        <v>159.77000000000001</v>
      </c>
      <c r="AS143" s="107">
        <v>207.4</v>
      </c>
      <c r="AT143" s="107">
        <v>296</v>
      </c>
      <c r="AU143" s="107">
        <v>434</v>
      </c>
      <c r="AV143" s="107">
        <v>764</v>
      </c>
    </row>
    <row r="144" spans="1:48" s="124" customFormat="1" ht="30" customHeight="1" outlineLevel="1">
      <c r="A144" s="121" t="s">
        <v>518</v>
      </c>
      <c r="B144" s="122" t="s">
        <v>519</v>
      </c>
      <c r="C144" s="123"/>
      <c r="E144" s="11"/>
      <c r="F144" s="11"/>
      <c r="G144" s="11"/>
      <c r="H144" s="11"/>
      <c r="I144" s="11"/>
      <c r="J144" s="11"/>
      <c r="K144" s="11"/>
      <c r="L144" s="11"/>
      <c r="M144" s="11"/>
      <c r="N144" s="11" t="str">
        <f t="shared" si="48"/>
        <v/>
      </c>
      <c r="O144" s="11" t="str">
        <f t="shared" si="49"/>
        <v/>
      </c>
      <c r="P144" s="11" t="str">
        <f t="shared" si="50"/>
        <v/>
      </c>
      <c r="Q144" s="11"/>
      <c r="R144" s="11" t="str">
        <f t="shared" si="51"/>
        <v/>
      </c>
      <c r="S144" s="11" t="str">
        <f t="shared" si="52"/>
        <v/>
      </c>
      <c r="T144" s="11" t="str">
        <f t="shared" si="53"/>
        <v/>
      </c>
      <c r="U144" s="11"/>
      <c r="V144" s="11" t="str">
        <f t="shared" si="54"/>
        <v/>
      </c>
      <c r="W144" s="11" t="str">
        <f t="shared" si="55"/>
        <v/>
      </c>
      <c r="X144" s="11" t="str">
        <f t="shared" si="56"/>
        <v/>
      </c>
      <c r="Y144" s="11"/>
      <c r="Z144" s="11" t="str">
        <f t="shared" si="57"/>
        <v/>
      </c>
      <c r="AA144" s="11" t="str">
        <f t="shared" si="58"/>
        <v/>
      </c>
      <c r="AB144" s="11" t="str">
        <f t="shared" si="59"/>
        <v/>
      </c>
      <c r="AC144" s="11"/>
      <c r="AD144" s="11" t="str">
        <f t="shared" si="60"/>
        <v/>
      </c>
      <c r="AE144" s="11" t="str">
        <f t="shared" si="61"/>
        <v/>
      </c>
      <c r="AF144" s="11" t="str">
        <f t="shared" si="62"/>
        <v/>
      </c>
      <c r="AH144" s="11"/>
      <c r="AI144" s="11"/>
      <c r="AJ144" s="11"/>
      <c r="AK144" s="11"/>
      <c r="AL144" s="11"/>
      <c r="AM144" s="11"/>
      <c r="AN144" s="11"/>
      <c r="AO144" s="11"/>
      <c r="AP144" s="11"/>
      <c r="AQ144" s="11"/>
      <c r="AR144" s="11"/>
      <c r="AS144" s="11"/>
      <c r="AT144" s="11"/>
      <c r="AU144" s="11"/>
      <c r="AV144" s="11"/>
    </row>
    <row r="145" spans="1:48" s="124" customFormat="1" ht="30" customHeight="1" outlineLevel="2">
      <c r="A145" s="125" t="s">
        <v>520</v>
      </c>
      <c r="B145" s="118" t="s">
        <v>521</v>
      </c>
      <c r="C145" s="104" t="s">
        <v>242</v>
      </c>
      <c r="E145" s="105">
        <f>MIN(N145,R145,V145,Z145,AD145)</f>
        <v>28.556000000000004</v>
      </c>
      <c r="F145" s="105">
        <f>AVERAGE(N145,R145,V145,Z145,AD145)</f>
        <v>66.277199999999993</v>
      </c>
      <c r="G145" s="105">
        <f>MAX(N145,R145,V145,Z145,AD145)</f>
        <v>91.475999999999999</v>
      </c>
      <c r="H145" s="106"/>
      <c r="I145" s="105">
        <f>MIN(T145,X145,AB145,AF145,P145)</f>
        <v>62.612000000000009</v>
      </c>
      <c r="J145" s="105">
        <f>AVERAGE(P145,T145,X145,AB145,AF145)</f>
        <v>117.15220000000002</v>
      </c>
      <c r="K145" s="105">
        <f>MAX(P145,T145,X145,AB145,AF145)</f>
        <v>162.77799999999999</v>
      </c>
      <c r="N145" s="107">
        <f t="shared" si="48"/>
        <v>28.556000000000004</v>
      </c>
      <c r="O145" s="107">
        <f t="shared" si="49"/>
        <v>40.612000000000002</v>
      </c>
      <c r="P145" s="107">
        <f t="shared" si="50"/>
        <v>62.612000000000009</v>
      </c>
      <c r="R145" s="107">
        <f t="shared" si="51"/>
        <v>91.475999999999999</v>
      </c>
      <c r="S145" s="107">
        <f t="shared" si="52"/>
        <v>98.494000000000014</v>
      </c>
      <c r="T145" s="107">
        <f t="shared" si="53"/>
        <v>124.08000000000001</v>
      </c>
      <c r="V145" s="107">
        <f t="shared" si="54"/>
        <v>88.418000000000006</v>
      </c>
      <c r="W145" s="107">
        <f t="shared" si="55"/>
        <v>114.301</v>
      </c>
      <c r="X145" s="107">
        <f t="shared" si="56"/>
        <v>162.77799999999999</v>
      </c>
      <c r="Z145" s="107">
        <f t="shared" si="57"/>
        <v>63.536000000000001</v>
      </c>
      <c r="AA145" s="107">
        <f t="shared" si="58"/>
        <v>79.057000000000016</v>
      </c>
      <c r="AB145" s="107">
        <f t="shared" si="59"/>
        <v>114.19100000000002</v>
      </c>
      <c r="AD145" s="107">
        <f t="shared" si="60"/>
        <v>59.400000000000006</v>
      </c>
      <c r="AE145" s="107">
        <f t="shared" si="61"/>
        <v>94.600000000000009</v>
      </c>
      <c r="AF145" s="107">
        <f t="shared" si="62"/>
        <v>122.10000000000001</v>
      </c>
      <c r="AH145" s="107">
        <v>25.96</v>
      </c>
      <c r="AI145" s="107">
        <v>36.92</v>
      </c>
      <c r="AJ145" s="107">
        <v>56.92</v>
      </c>
      <c r="AK145" s="107">
        <v>83.16</v>
      </c>
      <c r="AL145" s="107">
        <v>89.54</v>
      </c>
      <c r="AM145" s="107">
        <v>112.8</v>
      </c>
      <c r="AN145" s="107">
        <v>80.38</v>
      </c>
      <c r="AO145" s="107">
        <v>103.91</v>
      </c>
      <c r="AP145" s="107">
        <v>147.97999999999999</v>
      </c>
      <c r="AQ145" s="107">
        <v>57.76</v>
      </c>
      <c r="AR145" s="107">
        <v>71.87</v>
      </c>
      <c r="AS145" s="107">
        <v>103.81</v>
      </c>
      <c r="AT145" s="107">
        <v>54</v>
      </c>
      <c r="AU145" s="107">
        <v>86</v>
      </c>
      <c r="AV145" s="107">
        <v>111</v>
      </c>
    </row>
    <row r="146" spans="1:48" s="124" customFormat="1" ht="30" customHeight="1" outlineLevel="2">
      <c r="A146" s="125" t="s">
        <v>522</v>
      </c>
      <c r="B146" s="118" t="s">
        <v>523</v>
      </c>
      <c r="C146" s="104" t="s">
        <v>242</v>
      </c>
      <c r="E146" s="105">
        <f>MIN(N146,R146,V146,Z146,AD146)</f>
        <v>56.1</v>
      </c>
      <c r="F146" s="105">
        <f>AVERAGE(N146,R146,V146,Z146,AD146)</f>
        <v>121.6534</v>
      </c>
      <c r="G146" s="105">
        <f>MAX(N146,R146,V146,Z146,AD146)</f>
        <v>196.28400000000002</v>
      </c>
      <c r="H146" s="106"/>
      <c r="I146" s="105">
        <f>MIN(T146,X146,AB146,AF146,P146)</f>
        <v>116.52300000000001</v>
      </c>
      <c r="J146" s="105">
        <f>AVERAGE(P146,T146,X146,AB146,AF146)</f>
        <v>222.12299999999999</v>
      </c>
      <c r="K146" s="105">
        <f>MAX(P146,T146,X146,AB146,AF146)</f>
        <v>398.69499999999999</v>
      </c>
      <c r="N146" s="107">
        <f t="shared" si="48"/>
        <v>56.1</v>
      </c>
      <c r="O146" s="107">
        <f t="shared" si="49"/>
        <v>79.112000000000009</v>
      </c>
      <c r="P146" s="107">
        <f t="shared" si="50"/>
        <v>116.52300000000001</v>
      </c>
      <c r="R146" s="107">
        <f t="shared" si="51"/>
        <v>143.74800000000002</v>
      </c>
      <c r="S146" s="107">
        <f t="shared" si="52"/>
        <v>166.452</v>
      </c>
      <c r="T146" s="107">
        <f t="shared" si="53"/>
        <v>202.48800000000003</v>
      </c>
      <c r="V146" s="107">
        <f t="shared" si="54"/>
        <v>196.28400000000002</v>
      </c>
      <c r="W146" s="107">
        <f t="shared" si="55"/>
        <v>289.05799999999999</v>
      </c>
      <c r="X146" s="107">
        <f t="shared" si="56"/>
        <v>398.69499999999999</v>
      </c>
      <c r="Z146" s="107">
        <f t="shared" si="57"/>
        <v>91.135000000000005</v>
      </c>
      <c r="AA146" s="107">
        <f t="shared" si="58"/>
        <v>117.67800000000001</v>
      </c>
      <c r="AB146" s="107">
        <f t="shared" si="59"/>
        <v>159.709</v>
      </c>
      <c r="AD146" s="107">
        <f t="shared" si="60"/>
        <v>121.00000000000001</v>
      </c>
      <c r="AE146" s="107">
        <f t="shared" si="61"/>
        <v>187.00000000000003</v>
      </c>
      <c r="AF146" s="107">
        <f t="shared" si="62"/>
        <v>233.20000000000002</v>
      </c>
      <c r="AH146" s="107">
        <v>51</v>
      </c>
      <c r="AI146" s="107">
        <v>71.92</v>
      </c>
      <c r="AJ146" s="107">
        <v>105.93</v>
      </c>
      <c r="AK146" s="107">
        <v>130.68</v>
      </c>
      <c r="AL146" s="107">
        <v>151.32</v>
      </c>
      <c r="AM146" s="107">
        <v>184.08</v>
      </c>
      <c r="AN146" s="107">
        <v>178.44</v>
      </c>
      <c r="AO146" s="107">
        <v>262.77999999999997</v>
      </c>
      <c r="AP146" s="107">
        <v>362.45</v>
      </c>
      <c r="AQ146" s="107">
        <v>82.85</v>
      </c>
      <c r="AR146" s="107">
        <v>106.98</v>
      </c>
      <c r="AS146" s="107">
        <v>145.19</v>
      </c>
      <c r="AT146" s="107">
        <v>110</v>
      </c>
      <c r="AU146" s="107">
        <v>170</v>
      </c>
      <c r="AV146" s="107">
        <v>212</v>
      </c>
    </row>
    <row r="147" spans="1:48" s="124" customFormat="1" ht="30" customHeight="1" outlineLevel="2">
      <c r="A147" s="125" t="s">
        <v>524</v>
      </c>
      <c r="B147" s="118" t="s">
        <v>525</v>
      </c>
      <c r="C147" s="104" t="s">
        <v>242</v>
      </c>
      <c r="E147" s="105">
        <f>MIN(N147,R147,V147,Z147,AD147)</f>
        <v>83.655000000000001</v>
      </c>
      <c r="F147" s="105">
        <f>AVERAGE(N147,R147,V147,Z147,AD147)</f>
        <v>164.4676</v>
      </c>
      <c r="G147" s="105">
        <f>MAX(N147,R147,V147,Z147,AD147)</f>
        <v>256.22300000000001</v>
      </c>
      <c r="H147" s="106"/>
      <c r="I147" s="105">
        <f>MIN(T147,X147,AB147,AF147,P147)</f>
        <v>170.42300000000003</v>
      </c>
      <c r="J147" s="105">
        <f>AVERAGE(P147,T147,X147,AB147,AF147)</f>
        <v>301.28120000000001</v>
      </c>
      <c r="K147" s="105">
        <f>MAX(P147,T147,X147,AB147,AF147)</f>
        <v>529.7600000000001</v>
      </c>
      <c r="N147" s="107">
        <f t="shared" si="48"/>
        <v>83.655000000000001</v>
      </c>
      <c r="O147" s="107">
        <f t="shared" si="49"/>
        <v>117.62300000000002</v>
      </c>
      <c r="P147" s="107">
        <f t="shared" si="50"/>
        <v>170.42300000000003</v>
      </c>
      <c r="R147" s="107">
        <f t="shared" si="51"/>
        <v>169.88400000000001</v>
      </c>
      <c r="S147" s="107">
        <f t="shared" si="52"/>
        <v>200.43100000000001</v>
      </c>
      <c r="T147" s="107">
        <f t="shared" si="53"/>
        <v>241.69200000000001</v>
      </c>
      <c r="V147" s="107">
        <f t="shared" si="54"/>
        <v>256.22300000000001</v>
      </c>
      <c r="W147" s="107">
        <f t="shared" si="55"/>
        <v>386.14400000000006</v>
      </c>
      <c r="X147" s="107">
        <f t="shared" si="56"/>
        <v>529.7600000000001</v>
      </c>
      <c r="Z147" s="107">
        <f t="shared" si="57"/>
        <v>146.476</v>
      </c>
      <c r="AA147" s="107">
        <f t="shared" si="58"/>
        <v>195.16200000000001</v>
      </c>
      <c r="AB147" s="107">
        <f t="shared" si="59"/>
        <v>251.03100000000003</v>
      </c>
      <c r="AD147" s="107">
        <f t="shared" si="60"/>
        <v>166.10000000000002</v>
      </c>
      <c r="AE147" s="107">
        <f t="shared" si="61"/>
        <v>255.20000000000002</v>
      </c>
      <c r="AF147" s="107">
        <f t="shared" si="62"/>
        <v>313.5</v>
      </c>
      <c r="AH147" s="107">
        <v>76.05</v>
      </c>
      <c r="AI147" s="107">
        <v>106.93</v>
      </c>
      <c r="AJ147" s="107">
        <v>154.93</v>
      </c>
      <c r="AK147" s="107">
        <v>154.44</v>
      </c>
      <c r="AL147" s="107">
        <v>182.21</v>
      </c>
      <c r="AM147" s="107">
        <v>219.72</v>
      </c>
      <c r="AN147" s="107">
        <v>232.93</v>
      </c>
      <c r="AO147" s="107">
        <v>351.04</v>
      </c>
      <c r="AP147" s="107">
        <v>481.6</v>
      </c>
      <c r="AQ147" s="107">
        <v>133.16</v>
      </c>
      <c r="AR147" s="107">
        <v>177.42</v>
      </c>
      <c r="AS147" s="107">
        <v>228.21</v>
      </c>
      <c r="AT147" s="107">
        <v>151</v>
      </c>
      <c r="AU147" s="107">
        <v>232</v>
      </c>
      <c r="AV147" s="107">
        <v>285</v>
      </c>
    </row>
    <row r="148" spans="1:48" s="124" customFormat="1" ht="30" customHeight="1" outlineLevel="2">
      <c r="A148" s="125" t="s">
        <v>526</v>
      </c>
      <c r="B148" s="118" t="s">
        <v>527</v>
      </c>
      <c r="C148" s="104" t="s">
        <v>242</v>
      </c>
      <c r="E148" s="105">
        <f>MIN(N148,R148,V148,Z148,AD148)</f>
        <v>166.29800000000003</v>
      </c>
      <c r="F148" s="105">
        <f>AVERAGE(N148,R148,V148,Z148,AD148)</f>
        <v>300.77080000000001</v>
      </c>
      <c r="G148" s="105">
        <f>MAX(N148,R148,V148,Z148,AD148)</f>
        <v>495.93500000000006</v>
      </c>
      <c r="H148" s="106"/>
      <c r="I148" s="105">
        <f>MIN(T148,X148,AB148,AF148,P148)</f>
        <v>332.14500000000004</v>
      </c>
      <c r="J148" s="105">
        <f>AVERAGE(P148,T148,X148,AB148,AF148)</f>
        <v>558.2324000000001</v>
      </c>
      <c r="K148" s="105">
        <f>MAX(P148,T148,X148,AB148,AF148)</f>
        <v>1054.0310000000002</v>
      </c>
      <c r="N148" s="107">
        <f t="shared" si="48"/>
        <v>166.29800000000003</v>
      </c>
      <c r="O148" s="107">
        <f t="shared" si="49"/>
        <v>233.13400000000001</v>
      </c>
      <c r="P148" s="107">
        <f t="shared" si="50"/>
        <v>332.14500000000004</v>
      </c>
      <c r="R148" s="107">
        <f t="shared" si="51"/>
        <v>274.428</v>
      </c>
      <c r="S148" s="107">
        <f t="shared" si="52"/>
        <v>336.33600000000001</v>
      </c>
      <c r="T148" s="107">
        <f t="shared" si="53"/>
        <v>398.50799999999998</v>
      </c>
      <c r="V148" s="107">
        <f t="shared" si="54"/>
        <v>495.93500000000006</v>
      </c>
      <c r="W148" s="107">
        <f t="shared" si="55"/>
        <v>774.48800000000006</v>
      </c>
      <c r="X148" s="107">
        <f t="shared" si="56"/>
        <v>1054.0310000000002</v>
      </c>
      <c r="Z148" s="107">
        <f t="shared" si="57"/>
        <v>256.99299999999999</v>
      </c>
      <c r="AA148" s="107">
        <f t="shared" si="58"/>
        <v>349.88800000000003</v>
      </c>
      <c r="AB148" s="107">
        <f t="shared" si="59"/>
        <v>433.37800000000004</v>
      </c>
      <c r="AD148" s="107">
        <f t="shared" si="60"/>
        <v>310.20000000000005</v>
      </c>
      <c r="AE148" s="107">
        <f t="shared" si="61"/>
        <v>470.8</v>
      </c>
      <c r="AF148" s="107">
        <f t="shared" si="62"/>
        <v>573.1</v>
      </c>
      <c r="AH148" s="107">
        <v>151.18</v>
      </c>
      <c r="AI148" s="107">
        <v>211.94</v>
      </c>
      <c r="AJ148" s="107">
        <v>301.95</v>
      </c>
      <c r="AK148" s="107">
        <v>249.48</v>
      </c>
      <c r="AL148" s="107">
        <v>305.76</v>
      </c>
      <c r="AM148" s="107">
        <v>362.28</v>
      </c>
      <c r="AN148" s="107">
        <v>450.85</v>
      </c>
      <c r="AO148" s="107">
        <v>704.08</v>
      </c>
      <c r="AP148" s="107">
        <v>958.21</v>
      </c>
      <c r="AQ148" s="107">
        <v>233.63</v>
      </c>
      <c r="AR148" s="107">
        <v>318.08</v>
      </c>
      <c r="AS148" s="107">
        <v>393.98</v>
      </c>
      <c r="AT148" s="107">
        <v>282</v>
      </c>
      <c r="AU148" s="107">
        <v>428</v>
      </c>
      <c r="AV148" s="107">
        <v>521</v>
      </c>
    </row>
    <row r="149" spans="1:48" s="124" customFormat="1" ht="30" customHeight="1" outlineLevel="2">
      <c r="A149" s="125" t="s">
        <v>528</v>
      </c>
      <c r="B149" s="118" t="s">
        <v>529</v>
      </c>
      <c r="C149" s="104" t="s">
        <v>242</v>
      </c>
      <c r="E149" s="105">
        <f>MIN(N149,R149,V149,Z149,AD149)</f>
        <v>83.655000000000001</v>
      </c>
      <c r="F149" s="105">
        <f>AVERAGE(N149,R149,V149,Z149,AD149)</f>
        <v>177.43880000000004</v>
      </c>
      <c r="G149" s="105">
        <f>MAX(N149,R149,V149,Z149,AD149)</f>
        <v>268.21300000000002</v>
      </c>
      <c r="H149" s="106"/>
      <c r="I149" s="105">
        <f>MIN(T149,X149,AB149,AF149,P149)</f>
        <v>170.42300000000003</v>
      </c>
      <c r="J149" s="105">
        <f>AVERAGE(P149,T149,X149,AB149,AF149)</f>
        <v>323.24160000000001</v>
      </c>
      <c r="K149" s="105">
        <f>MAX(P149,T149,X149,AB149,AF149)</f>
        <v>555.98400000000004</v>
      </c>
      <c r="N149" s="107">
        <f t="shared" si="48"/>
        <v>83.655000000000001</v>
      </c>
      <c r="O149" s="107">
        <f t="shared" si="49"/>
        <v>117.62300000000002</v>
      </c>
      <c r="P149" s="107">
        <f t="shared" si="50"/>
        <v>170.42300000000003</v>
      </c>
      <c r="R149" s="107">
        <f t="shared" si="51"/>
        <v>220.78100000000003</v>
      </c>
      <c r="S149" s="107">
        <f t="shared" si="52"/>
        <v>267.00299999999999</v>
      </c>
      <c r="T149" s="107">
        <f t="shared" si="53"/>
        <v>318.72500000000002</v>
      </c>
      <c r="V149" s="107">
        <f t="shared" si="54"/>
        <v>268.21300000000002</v>
      </c>
      <c r="W149" s="107">
        <f t="shared" si="55"/>
        <v>405.57</v>
      </c>
      <c r="X149" s="107">
        <f t="shared" si="56"/>
        <v>555.98400000000004</v>
      </c>
      <c r="Z149" s="107">
        <f t="shared" si="57"/>
        <v>126.44500000000001</v>
      </c>
      <c r="AA149" s="107">
        <f t="shared" si="58"/>
        <v>167.11199999999999</v>
      </c>
      <c r="AB149" s="107">
        <f t="shared" si="59"/>
        <v>217.97600000000003</v>
      </c>
      <c r="AD149" s="107">
        <f t="shared" si="60"/>
        <v>188.10000000000002</v>
      </c>
      <c r="AE149" s="107">
        <f t="shared" si="61"/>
        <v>288.20000000000005</v>
      </c>
      <c r="AF149" s="107">
        <f t="shared" si="62"/>
        <v>353.1</v>
      </c>
      <c r="AH149" s="107">
        <v>76.05</v>
      </c>
      <c r="AI149" s="107">
        <v>106.93</v>
      </c>
      <c r="AJ149" s="107">
        <v>154.93</v>
      </c>
      <c r="AK149" s="107">
        <v>200.71</v>
      </c>
      <c r="AL149" s="107">
        <v>242.73</v>
      </c>
      <c r="AM149" s="107">
        <v>289.75</v>
      </c>
      <c r="AN149" s="107">
        <v>243.83</v>
      </c>
      <c r="AO149" s="107">
        <v>368.7</v>
      </c>
      <c r="AP149" s="107">
        <v>505.44</v>
      </c>
      <c r="AQ149" s="107">
        <v>114.95</v>
      </c>
      <c r="AR149" s="107">
        <v>151.91999999999999</v>
      </c>
      <c r="AS149" s="107">
        <v>198.16</v>
      </c>
      <c r="AT149" s="107">
        <v>171</v>
      </c>
      <c r="AU149" s="107">
        <v>262</v>
      </c>
      <c r="AV149" s="107">
        <v>321</v>
      </c>
    </row>
    <row r="150" spans="1:48" s="124" customFormat="1" ht="30" customHeight="1" outlineLevel="1">
      <c r="A150" s="121" t="s">
        <v>530</v>
      </c>
      <c r="B150" s="122" t="s">
        <v>531</v>
      </c>
      <c r="C150" s="123"/>
      <c r="E150" s="11"/>
      <c r="F150" s="11"/>
      <c r="G150" s="11"/>
      <c r="H150" s="11"/>
      <c r="I150" s="11"/>
      <c r="J150" s="11"/>
      <c r="K150" s="11"/>
      <c r="L150" s="11"/>
      <c r="M150" s="11"/>
      <c r="N150" s="11" t="str">
        <f t="shared" si="48"/>
        <v/>
      </c>
      <c r="O150" s="11" t="str">
        <f t="shared" si="49"/>
        <v/>
      </c>
      <c r="P150" s="11" t="str">
        <f t="shared" si="50"/>
        <v/>
      </c>
      <c r="Q150" s="11"/>
      <c r="R150" s="11" t="str">
        <f t="shared" si="51"/>
        <v/>
      </c>
      <c r="S150" s="11" t="str">
        <f t="shared" si="52"/>
        <v/>
      </c>
      <c r="T150" s="11" t="str">
        <f t="shared" si="53"/>
        <v/>
      </c>
      <c r="U150" s="11"/>
      <c r="V150" s="11" t="str">
        <f t="shared" si="54"/>
        <v/>
      </c>
      <c r="W150" s="11" t="str">
        <f t="shared" si="55"/>
        <v/>
      </c>
      <c r="X150" s="11" t="str">
        <f t="shared" si="56"/>
        <v/>
      </c>
      <c r="Y150" s="11"/>
      <c r="Z150" s="11" t="str">
        <f t="shared" si="57"/>
        <v/>
      </c>
      <c r="AA150" s="11" t="str">
        <f t="shared" si="58"/>
        <v/>
      </c>
      <c r="AB150" s="11" t="str">
        <f t="shared" si="59"/>
        <v/>
      </c>
      <c r="AC150" s="11"/>
      <c r="AD150" s="11" t="str">
        <f t="shared" si="60"/>
        <v/>
      </c>
      <c r="AE150" s="11" t="str">
        <f t="shared" si="61"/>
        <v/>
      </c>
      <c r="AF150" s="11" t="str">
        <f t="shared" si="62"/>
        <v/>
      </c>
      <c r="AH150" s="11"/>
      <c r="AI150" s="11"/>
      <c r="AJ150" s="11"/>
      <c r="AK150" s="11"/>
      <c r="AL150" s="11"/>
      <c r="AM150" s="11"/>
      <c r="AN150" s="11"/>
      <c r="AO150" s="11"/>
      <c r="AP150" s="11"/>
      <c r="AQ150" s="11"/>
      <c r="AR150" s="11"/>
      <c r="AS150" s="11"/>
      <c r="AT150" s="11"/>
      <c r="AU150" s="11"/>
      <c r="AV150" s="11"/>
    </row>
    <row r="151" spans="1:48" s="124" customFormat="1" ht="30" customHeight="1" outlineLevel="2">
      <c r="A151" s="125" t="s">
        <v>532</v>
      </c>
      <c r="B151" s="118" t="s">
        <v>533</v>
      </c>
      <c r="C151" s="104" t="s">
        <v>242</v>
      </c>
      <c r="E151" s="105">
        <f>MIN(N151,R151,V151,Z151,AD151)</f>
        <v>28.556000000000004</v>
      </c>
      <c r="F151" s="105">
        <f>AVERAGE(N151,R151,V151,Z151,AD151)</f>
        <v>64.195999999999998</v>
      </c>
      <c r="G151" s="105">
        <f>MAX(N151,R151,V151,Z151,AD151)</f>
        <v>91.475999999999999</v>
      </c>
      <c r="H151" s="106"/>
      <c r="I151" s="105">
        <f>MIN(T151,X151,AB151,AF151,P151)</f>
        <v>62.612000000000009</v>
      </c>
      <c r="J151" s="105">
        <f>AVERAGE(P151,T151,X151,AB151,AF151)</f>
        <v>113.34180000000001</v>
      </c>
      <c r="K151" s="105">
        <f>MAX(P151,T151,X151,AB151,AF151)</f>
        <v>162.77799999999999</v>
      </c>
      <c r="N151" s="107">
        <f t="shared" si="48"/>
        <v>28.556000000000004</v>
      </c>
      <c r="O151" s="107">
        <f t="shared" si="49"/>
        <v>40.612000000000002</v>
      </c>
      <c r="P151" s="107">
        <f t="shared" si="50"/>
        <v>62.612000000000009</v>
      </c>
      <c r="R151" s="107">
        <f t="shared" si="51"/>
        <v>91.475999999999999</v>
      </c>
      <c r="S151" s="107">
        <f t="shared" si="52"/>
        <v>98.494000000000014</v>
      </c>
      <c r="T151" s="107">
        <f t="shared" si="53"/>
        <v>124.08000000000001</v>
      </c>
      <c r="V151" s="107">
        <f t="shared" si="54"/>
        <v>88.418000000000006</v>
      </c>
      <c r="W151" s="107">
        <f t="shared" si="55"/>
        <v>114.301</v>
      </c>
      <c r="X151" s="107">
        <f t="shared" si="56"/>
        <v>162.77799999999999</v>
      </c>
      <c r="Z151" s="107">
        <f t="shared" si="57"/>
        <v>64.13</v>
      </c>
      <c r="AA151" s="107">
        <f t="shared" si="58"/>
        <v>79.882000000000005</v>
      </c>
      <c r="AB151" s="107">
        <f t="shared" si="59"/>
        <v>115.15900000000001</v>
      </c>
      <c r="AD151" s="107">
        <f t="shared" si="60"/>
        <v>48.400000000000006</v>
      </c>
      <c r="AE151" s="107">
        <f t="shared" si="61"/>
        <v>78.100000000000009</v>
      </c>
      <c r="AF151" s="107">
        <f t="shared" si="62"/>
        <v>102.08</v>
      </c>
      <c r="AH151" s="107">
        <v>25.96</v>
      </c>
      <c r="AI151" s="107">
        <v>36.92</v>
      </c>
      <c r="AJ151" s="107">
        <v>56.92</v>
      </c>
      <c r="AK151" s="107">
        <v>83.16</v>
      </c>
      <c r="AL151" s="107">
        <v>89.54</v>
      </c>
      <c r="AM151" s="107">
        <v>112.8</v>
      </c>
      <c r="AN151" s="107">
        <v>80.38</v>
      </c>
      <c r="AO151" s="107">
        <v>103.91</v>
      </c>
      <c r="AP151" s="107">
        <v>147.97999999999999</v>
      </c>
      <c r="AQ151" s="107">
        <v>58.3</v>
      </c>
      <c r="AR151" s="107">
        <v>72.62</v>
      </c>
      <c r="AS151" s="107">
        <v>104.69</v>
      </c>
      <c r="AT151" s="107">
        <v>44</v>
      </c>
      <c r="AU151" s="107">
        <v>71</v>
      </c>
      <c r="AV151" s="107">
        <v>92.8</v>
      </c>
    </row>
    <row r="152" spans="1:48" s="124" customFormat="1" ht="30" customHeight="1" outlineLevel="2">
      <c r="A152" s="125" t="s">
        <v>534</v>
      </c>
      <c r="B152" s="118" t="s">
        <v>535</v>
      </c>
      <c r="C152" s="104" t="s">
        <v>242</v>
      </c>
      <c r="E152" s="105">
        <f>MIN(N152,R152,V152,Z152,AD152)</f>
        <v>39.578000000000003</v>
      </c>
      <c r="F152" s="105">
        <f>AVERAGE(N152,R152,V152,Z152,AD152)</f>
        <v>111.36180000000004</v>
      </c>
      <c r="G152" s="105">
        <f>MAX(N152,R152,V152,Z152,AD152)</f>
        <v>184.30500000000004</v>
      </c>
      <c r="H152" s="106"/>
      <c r="I152" s="105">
        <f>MIN(T152,X152,AB152,AF152,P152)</f>
        <v>84.171999999999997</v>
      </c>
      <c r="J152" s="105">
        <f>AVERAGE(P152,T152,X152,AB152,AF152)</f>
        <v>202.02380000000002</v>
      </c>
      <c r="K152" s="105">
        <f>MAX(P152,T152,X152,AB152,AF152)</f>
        <v>372.48200000000003</v>
      </c>
      <c r="N152" s="107">
        <f t="shared" si="48"/>
        <v>39.578000000000003</v>
      </c>
      <c r="O152" s="107">
        <f t="shared" si="49"/>
        <v>56.012000000000008</v>
      </c>
      <c r="P152" s="107">
        <f t="shared" si="50"/>
        <v>84.171999999999997</v>
      </c>
      <c r="R152" s="107">
        <f t="shared" si="51"/>
        <v>143.74800000000002</v>
      </c>
      <c r="S152" s="107">
        <f t="shared" si="52"/>
        <v>166.452</v>
      </c>
      <c r="T152" s="107">
        <f t="shared" si="53"/>
        <v>202.48800000000003</v>
      </c>
      <c r="V152" s="107">
        <f t="shared" si="54"/>
        <v>184.30500000000004</v>
      </c>
      <c r="W152" s="107">
        <f t="shared" si="55"/>
        <v>269.64300000000003</v>
      </c>
      <c r="X152" s="107">
        <f t="shared" si="56"/>
        <v>372.48200000000003</v>
      </c>
      <c r="Z152" s="107">
        <f t="shared" si="57"/>
        <v>92.378000000000014</v>
      </c>
      <c r="AA152" s="107">
        <f t="shared" si="58"/>
        <v>119.438</v>
      </c>
      <c r="AB152" s="107">
        <f t="shared" si="59"/>
        <v>161.77700000000002</v>
      </c>
      <c r="AD152" s="107">
        <f t="shared" si="60"/>
        <v>96.800000000000011</v>
      </c>
      <c r="AE152" s="107">
        <f t="shared" si="61"/>
        <v>150.70000000000002</v>
      </c>
      <c r="AF152" s="107">
        <f t="shared" si="62"/>
        <v>189.20000000000002</v>
      </c>
      <c r="AH152" s="107">
        <v>35.979999999999997</v>
      </c>
      <c r="AI152" s="107">
        <v>50.92</v>
      </c>
      <c r="AJ152" s="107">
        <v>76.52</v>
      </c>
      <c r="AK152" s="107">
        <v>130.68</v>
      </c>
      <c r="AL152" s="107">
        <v>151.32</v>
      </c>
      <c r="AM152" s="107">
        <v>184.08</v>
      </c>
      <c r="AN152" s="107">
        <v>167.55</v>
      </c>
      <c r="AO152" s="107">
        <v>245.13</v>
      </c>
      <c r="AP152" s="107">
        <v>338.62</v>
      </c>
      <c r="AQ152" s="107">
        <v>83.98</v>
      </c>
      <c r="AR152" s="107">
        <v>108.58</v>
      </c>
      <c r="AS152" s="107">
        <v>147.07</v>
      </c>
      <c r="AT152" s="107">
        <v>88</v>
      </c>
      <c r="AU152" s="107">
        <v>137</v>
      </c>
      <c r="AV152" s="107">
        <v>172</v>
      </c>
    </row>
    <row r="153" spans="1:48" s="124" customFormat="1" ht="30" customHeight="1" outlineLevel="2">
      <c r="A153" s="125" t="s">
        <v>536</v>
      </c>
      <c r="B153" s="118" t="s">
        <v>537</v>
      </c>
      <c r="C153" s="104" t="s">
        <v>242</v>
      </c>
      <c r="E153" s="105">
        <f>MIN(N153,R153,V153,Z153,AD153)</f>
        <v>67.122000000000014</v>
      </c>
      <c r="F153" s="105">
        <f>AVERAGE(N153,R153,V153,Z153,AD153)</f>
        <v>147.21520000000004</v>
      </c>
      <c r="G153" s="105">
        <f>MAX(N153,R153,V153,Z153,AD153)</f>
        <v>244.23300000000003</v>
      </c>
      <c r="H153" s="106"/>
      <c r="I153" s="105">
        <f>MIN(T153,X153,AB153,AF153,P153)</f>
        <v>138.083</v>
      </c>
      <c r="J153" s="105">
        <f>AVERAGE(P153,T153,X153,AB153,AF153)</f>
        <v>269.60559999999998</v>
      </c>
      <c r="K153" s="105">
        <f>MAX(P153,T153,X153,AB153,AF153)</f>
        <v>503.54700000000003</v>
      </c>
      <c r="N153" s="107">
        <f t="shared" si="48"/>
        <v>67.122000000000014</v>
      </c>
      <c r="O153" s="107">
        <f t="shared" si="49"/>
        <v>94.512000000000015</v>
      </c>
      <c r="P153" s="107">
        <f t="shared" si="50"/>
        <v>138.083</v>
      </c>
      <c r="R153" s="107">
        <f t="shared" si="51"/>
        <v>169.88400000000001</v>
      </c>
      <c r="S153" s="107">
        <f t="shared" si="52"/>
        <v>200.43100000000001</v>
      </c>
      <c r="T153" s="107">
        <f t="shared" si="53"/>
        <v>241.69200000000001</v>
      </c>
      <c r="V153" s="107">
        <f t="shared" si="54"/>
        <v>244.23300000000003</v>
      </c>
      <c r="W153" s="107">
        <f t="shared" si="55"/>
        <v>366.72900000000004</v>
      </c>
      <c r="X153" s="107">
        <f t="shared" si="56"/>
        <v>503.54700000000003</v>
      </c>
      <c r="Z153" s="107">
        <f t="shared" si="57"/>
        <v>120.63700000000001</v>
      </c>
      <c r="AA153" s="107">
        <f t="shared" si="58"/>
        <v>158.994</v>
      </c>
      <c r="AB153" s="107">
        <f t="shared" si="59"/>
        <v>208.40600000000003</v>
      </c>
      <c r="AD153" s="107">
        <f t="shared" si="60"/>
        <v>134.20000000000002</v>
      </c>
      <c r="AE153" s="107">
        <f t="shared" si="61"/>
        <v>206.8</v>
      </c>
      <c r="AF153" s="107">
        <f t="shared" si="62"/>
        <v>256.3</v>
      </c>
      <c r="AH153" s="107">
        <v>61.02</v>
      </c>
      <c r="AI153" s="107">
        <v>85.92</v>
      </c>
      <c r="AJ153" s="107">
        <v>125.53</v>
      </c>
      <c r="AK153" s="107">
        <v>154.44</v>
      </c>
      <c r="AL153" s="107">
        <v>182.21</v>
      </c>
      <c r="AM153" s="107">
        <v>219.72</v>
      </c>
      <c r="AN153" s="107">
        <v>222.03</v>
      </c>
      <c r="AO153" s="107">
        <v>333.39</v>
      </c>
      <c r="AP153" s="107">
        <v>457.77</v>
      </c>
      <c r="AQ153" s="107">
        <v>109.67</v>
      </c>
      <c r="AR153" s="107">
        <v>144.54</v>
      </c>
      <c r="AS153" s="107">
        <v>189.46</v>
      </c>
      <c r="AT153" s="107">
        <v>122</v>
      </c>
      <c r="AU153" s="107">
        <v>188</v>
      </c>
      <c r="AV153" s="107">
        <v>233</v>
      </c>
    </row>
    <row r="154" spans="1:48" s="124" customFormat="1" ht="30" customHeight="1" outlineLevel="2">
      <c r="A154" s="125" t="s">
        <v>538</v>
      </c>
      <c r="B154" s="118" t="s">
        <v>539</v>
      </c>
      <c r="C154" s="104" t="s">
        <v>242</v>
      </c>
      <c r="E154" s="105">
        <f>MIN(N154,R154,V154,Z154,AD154)</f>
        <v>111.19900000000001</v>
      </c>
      <c r="F154" s="105">
        <f>AVERAGE(N154,R154,V154,Z154,AD154)</f>
        <v>256.49360000000001</v>
      </c>
      <c r="G154" s="105">
        <f>MAX(N154,R154,V154,Z154,AD154)</f>
        <v>483.95600000000002</v>
      </c>
      <c r="H154" s="106"/>
      <c r="I154" s="105">
        <f>MIN(T154,X154,AB154,AF154,P154)</f>
        <v>224.334</v>
      </c>
      <c r="J154" s="105">
        <f>AVERAGE(P154,T154,X154,AB154,AF154)</f>
        <v>476.13720000000001</v>
      </c>
      <c r="K154" s="105">
        <f>MAX(P154,T154,X154,AB154,AF154)</f>
        <v>1027.818</v>
      </c>
      <c r="N154" s="107">
        <f t="shared" si="48"/>
        <v>111.19900000000001</v>
      </c>
      <c r="O154" s="107">
        <f t="shared" si="49"/>
        <v>156.12300000000002</v>
      </c>
      <c r="P154" s="107">
        <f t="shared" si="50"/>
        <v>224.334</v>
      </c>
      <c r="R154" s="107">
        <f t="shared" si="51"/>
        <v>325.32500000000005</v>
      </c>
      <c r="S154" s="107">
        <f t="shared" si="52"/>
        <v>402.91900000000004</v>
      </c>
      <c r="T154" s="107">
        <f t="shared" si="53"/>
        <v>475.54100000000005</v>
      </c>
      <c r="V154" s="107">
        <f t="shared" si="54"/>
        <v>483.95600000000002</v>
      </c>
      <c r="W154" s="107">
        <f t="shared" si="55"/>
        <v>755.07299999999998</v>
      </c>
      <c r="X154" s="107">
        <f t="shared" si="56"/>
        <v>1027.818</v>
      </c>
      <c r="Z154" s="107">
        <f t="shared" si="57"/>
        <v>154.08800000000002</v>
      </c>
      <c r="AA154" s="107">
        <f t="shared" si="58"/>
        <v>205.82100000000003</v>
      </c>
      <c r="AB154" s="107">
        <f t="shared" si="59"/>
        <v>263.59300000000002</v>
      </c>
      <c r="AD154" s="107">
        <f t="shared" si="60"/>
        <v>207.9</v>
      </c>
      <c r="AE154" s="107">
        <f t="shared" si="61"/>
        <v>317.90000000000003</v>
      </c>
      <c r="AF154" s="107">
        <f t="shared" si="62"/>
        <v>389.40000000000003</v>
      </c>
      <c r="AH154" s="107">
        <v>101.09</v>
      </c>
      <c r="AI154" s="107">
        <v>141.93</v>
      </c>
      <c r="AJ154" s="107">
        <v>203.94</v>
      </c>
      <c r="AK154" s="107">
        <v>295.75</v>
      </c>
      <c r="AL154" s="107">
        <v>366.29</v>
      </c>
      <c r="AM154" s="107">
        <v>432.31</v>
      </c>
      <c r="AN154" s="107">
        <v>439.96</v>
      </c>
      <c r="AO154" s="107">
        <v>686.43</v>
      </c>
      <c r="AP154" s="107">
        <v>934.38</v>
      </c>
      <c r="AQ154" s="107">
        <v>140.08000000000001</v>
      </c>
      <c r="AR154" s="107">
        <v>187.11</v>
      </c>
      <c r="AS154" s="107">
        <v>239.63</v>
      </c>
      <c r="AT154" s="107">
        <v>189</v>
      </c>
      <c r="AU154" s="107">
        <v>289</v>
      </c>
      <c r="AV154" s="107">
        <v>354</v>
      </c>
    </row>
    <row r="155" spans="1:48" s="124" customFormat="1" ht="30" customHeight="1" outlineLevel="1">
      <c r="A155" s="121" t="s">
        <v>540</v>
      </c>
      <c r="B155" s="122" t="s">
        <v>541</v>
      </c>
      <c r="C155" s="123"/>
      <c r="E155" s="11"/>
      <c r="F155" s="11"/>
      <c r="G155" s="11"/>
      <c r="H155" s="11"/>
      <c r="I155" s="11"/>
      <c r="J155" s="11"/>
      <c r="K155" s="11"/>
      <c r="L155" s="11"/>
      <c r="M155" s="11"/>
      <c r="N155" s="11" t="str">
        <f t="shared" si="48"/>
        <v/>
      </c>
      <c r="O155" s="11" t="str">
        <f t="shared" si="49"/>
        <v/>
      </c>
      <c r="P155" s="11" t="str">
        <f t="shared" si="50"/>
        <v/>
      </c>
      <c r="Q155" s="11"/>
      <c r="R155" s="11" t="str">
        <f t="shared" si="51"/>
        <v/>
      </c>
      <c r="S155" s="11" t="str">
        <f t="shared" si="52"/>
        <v/>
      </c>
      <c r="T155" s="11" t="str">
        <f t="shared" si="53"/>
        <v/>
      </c>
      <c r="U155" s="11"/>
      <c r="V155" s="11" t="str">
        <f t="shared" si="54"/>
        <v/>
      </c>
      <c r="W155" s="11" t="str">
        <f t="shared" si="55"/>
        <v/>
      </c>
      <c r="X155" s="11" t="str">
        <f t="shared" si="56"/>
        <v/>
      </c>
      <c r="Y155" s="11"/>
      <c r="Z155" s="11" t="str">
        <f t="shared" si="57"/>
        <v/>
      </c>
      <c r="AA155" s="11" t="str">
        <f t="shared" si="58"/>
        <v/>
      </c>
      <c r="AB155" s="11" t="str">
        <f t="shared" si="59"/>
        <v/>
      </c>
      <c r="AC155" s="11"/>
      <c r="AD155" s="11" t="str">
        <f t="shared" si="60"/>
        <v/>
      </c>
      <c r="AE155" s="11" t="str">
        <f t="shared" si="61"/>
        <v/>
      </c>
      <c r="AF155" s="11" t="str">
        <f t="shared" si="62"/>
        <v/>
      </c>
      <c r="AH155" s="11"/>
      <c r="AI155" s="11"/>
      <c r="AJ155" s="11"/>
      <c r="AK155" s="11"/>
      <c r="AL155" s="11"/>
      <c r="AM155" s="11"/>
      <c r="AN155" s="11"/>
      <c r="AO155" s="11"/>
      <c r="AP155" s="11"/>
      <c r="AQ155" s="11"/>
      <c r="AR155" s="11"/>
      <c r="AS155" s="11"/>
      <c r="AT155" s="11"/>
      <c r="AU155" s="11"/>
      <c r="AV155" s="11"/>
    </row>
    <row r="156" spans="1:48" s="124" customFormat="1" ht="30" customHeight="1" outlineLevel="2">
      <c r="A156" s="125" t="s">
        <v>542</v>
      </c>
      <c r="B156" s="118" t="s">
        <v>543</v>
      </c>
      <c r="C156" s="104" t="s">
        <v>242</v>
      </c>
      <c r="E156" s="105">
        <f>MIN(N156,R156,V156,Z156,AD156)</f>
        <v>18.700000000000003</v>
      </c>
      <c r="F156" s="105">
        <f>AVERAGE(N156,R156,V156,Z156,AD156)</f>
        <v>37.963200000000008</v>
      </c>
      <c r="G156" s="105">
        <f>MAX(N156,R156,V156,Z156,AD156)</f>
        <v>73.435999999999993</v>
      </c>
      <c r="H156" s="106"/>
      <c r="I156" s="105">
        <f>MIN(T156,X156,AB156,AF156,P156)</f>
        <v>37.829000000000001</v>
      </c>
      <c r="J156" s="105">
        <f>AVERAGE(P156,T156,X156,AB156,AF156)</f>
        <v>68.84020000000001</v>
      </c>
      <c r="K156" s="105">
        <f>MAX(P156,T156,X156,AB156,AF156)</f>
        <v>130.00900000000001</v>
      </c>
      <c r="N156" s="107">
        <f t="shared" si="48"/>
        <v>21.395</v>
      </c>
      <c r="O156" s="107">
        <f t="shared" si="49"/>
        <v>30.602000000000004</v>
      </c>
      <c r="P156" s="107">
        <f t="shared" si="50"/>
        <v>48.598000000000006</v>
      </c>
      <c r="R156" s="107">
        <f t="shared" si="51"/>
        <v>33.979000000000006</v>
      </c>
      <c r="S156" s="107">
        <f t="shared" si="52"/>
        <v>23.749000000000002</v>
      </c>
      <c r="T156" s="107">
        <f t="shared" si="53"/>
        <v>37.829000000000001</v>
      </c>
      <c r="V156" s="107">
        <f t="shared" si="54"/>
        <v>73.435999999999993</v>
      </c>
      <c r="W156" s="107">
        <f t="shared" si="55"/>
        <v>90.034999999999997</v>
      </c>
      <c r="X156" s="107">
        <f t="shared" si="56"/>
        <v>130.00900000000001</v>
      </c>
      <c r="Z156" s="107">
        <f t="shared" si="57"/>
        <v>42.306000000000004</v>
      </c>
      <c r="AA156" s="107">
        <f t="shared" si="58"/>
        <v>49.324000000000005</v>
      </c>
      <c r="AB156" s="107">
        <f t="shared" si="59"/>
        <v>79.14500000000001</v>
      </c>
      <c r="AD156" s="107">
        <f t="shared" si="60"/>
        <v>18.700000000000003</v>
      </c>
      <c r="AE156" s="107">
        <f t="shared" si="61"/>
        <v>34.1</v>
      </c>
      <c r="AF156" s="107">
        <f t="shared" si="62"/>
        <v>48.620000000000005</v>
      </c>
      <c r="AH156" s="107">
        <v>19.45</v>
      </c>
      <c r="AI156" s="107">
        <v>27.82</v>
      </c>
      <c r="AJ156" s="107">
        <v>44.18</v>
      </c>
      <c r="AK156" s="107">
        <v>30.89</v>
      </c>
      <c r="AL156" s="107">
        <v>21.59</v>
      </c>
      <c r="AM156" s="107">
        <v>34.39</v>
      </c>
      <c r="AN156" s="107">
        <v>66.759999999999991</v>
      </c>
      <c r="AO156" s="107">
        <v>81.849999999999994</v>
      </c>
      <c r="AP156" s="107">
        <v>118.19</v>
      </c>
      <c r="AQ156" s="107">
        <v>38.46</v>
      </c>
      <c r="AR156" s="107">
        <v>44.84</v>
      </c>
      <c r="AS156" s="107">
        <v>71.95</v>
      </c>
      <c r="AT156" s="107">
        <v>17</v>
      </c>
      <c r="AU156" s="107">
        <v>31</v>
      </c>
      <c r="AV156" s="107">
        <v>44.2</v>
      </c>
    </row>
    <row r="157" spans="1:48" s="124" customFormat="1" ht="30" customHeight="1" outlineLevel="2">
      <c r="A157" s="125" t="s">
        <v>544</v>
      </c>
      <c r="B157" s="118" t="s">
        <v>545</v>
      </c>
      <c r="C157" s="104" t="s">
        <v>242</v>
      </c>
      <c r="E157" s="105">
        <f>MIN(N157,R157,V157,Z157,AD157)</f>
        <v>44</v>
      </c>
      <c r="F157" s="105">
        <f>AVERAGE(N157,R157,V157,Z157,AD157)</f>
        <v>81.580400000000012</v>
      </c>
      <c r="G157" s="105">
        <f>MAX(N157,R157,V157,Z157,AD157)</f>
        <v>133.364</v>
      </c>
      <c r="H157" s="106"/>
      <c r="I157" s="105">
        <f>MIN(T157,X157,AB157,AF157,P157)</f>
        <v>65.274000000000015</v>
      </c>
      <c r="J157" s="105">
        <f>AVERAGE(P157,T157,X157,AB157,AF157)</f>
        <v>149.59120000000001</v>
      </c>
      <c r="K157" s="105">
        <f>MAX(P157,T157,X157,AB157,AF157)</f>
        <v>261.07400000000001</v>
      </c>
      <c r="N157" s="107">
        <f t="shared" si="48"/>
        <v>56.1</v>
      </c>
      <c r="O157" s="107">
        <f t="shared" si="49"/>
        <v>79.112000000000009</v>
      </c>
      <c r="P157" s="107">
        <f t="shared" si="50"/>
        <v>116.52300000000001</v>
      </c>
      <c r="R157" s="107">
        <f t="shared" si="51"/>
        <v>52.272000000000006</v>
      </c>
      <c r="S157" s="107">
        <f t="shared" si="52"/>
        <v>47.531000000000006</v>
      </c>
      <c r="T157" s="107">
        <f t="shared" si="53"/>
        <v>65.274000000000015</v>
      </c>
      <c r="V157" s="107">
        <f t="shared" si="54"/>
        <v>133.364</v>
      </c>
      <c r="W157" s="107">
        <f t="shared" si="55"/>
        <v>187.12100000000004</v>
      </c>
      <c r="X157" s="107">
        <f t="shared" si="56"/>
        <v>261.07400000000001</v>
      </c>
      <c r="Z157" s="107">
        <f t="shared" si="57"/>
        <v>122.16600000000001</v>
      </c>
      <c r="AA157" s="107">
        <f t="shared" si="58"/>
        <v>161.12800000000001</v>
      </c>
      <c r="AB157" s="107">
        <f t="shared" si="59"/>
        <v>210.92500000000001</v>
      </c>
      <c r="AD157" s="107">
        <f t="shared" si="60"/>
        <v>44</v>
      </c>
      <c r="AE157" s="107">
        <f t="shared" si="61"/>
        <v>71.5</v>
      </c>
      <c r="AF157" s="107">
        <f t="shared" si="62"/>
        <v>94.16</v>
      </c>
      <c r="AH157" s="107">
        <v>51</v>
      </c>
      <c r="AI157" s="107">
        <v>71.92</v>
      </c>
      <c r="AJ157" s="107">
        <v>105.93</v>
      </c>
      <c r="AK157" s="107">
        <v>47.52</v>
      </c>
      <c r="AL157" s="107">
        <v>43.21</v>
      </c>
      <c r="AM157" s="107">
        <v>59.34</v>
      </c>
      <c r="AN157" s="107">
        <v>121.24</v>
      </c>
      <c r="AO157" s="107">
        <v>170.11</v>
      </c>
      <c r="AP157" s="107">
        <v>237.34</v>
      </c>
      <c r="AQ157" s="107">
        <v>111.06</v>
      </c>
      <c r="AR157" s="107">
        <v>146.47999999999999</v>
      </c>
      <c r="AS157" s="107">
        <v>191.75</v>
      </c>
      <c r="AT157" s="107">
        <v>40</v>
      </c>
      <c r="AU157" s="107">
        <v>65</v>
      </c>
      <c r="AV157" s="107">
        <v>85.6</v>
      </c>
    </row>
    <row r="158" spans="1:48" s="124" customFormat="1" ht="30" customHeight="1" outlineLevel="2">
      <c r="A158" s="125" t="s">
        <v>546</v>
      </c>
      <c r="B158" s="118" t="s">
        <v>547</v>
      </c>
      <c r="C158" s="104" t="s">
        <v>242</v>
      </c>
      <c r="E158" s="105">
        <f>MIN(N158,R158,V158,Z158,AD158)</f>
        <v>91.475999999999999</v>
      </c>
      <c r="F158" s="105">
        <f>AVERAGE(N158,R158,V158,Z158,AD158)</f>
        <v>153.23000000000002</v>
      </c>
      <c r="G158" s="105">
        <f>MAX(N158,R158,V158,Z158,AD158)</f>
        <v>243.60600000000002</v>
      </c>
      <c r="H158" s="106"/>
      <c r="I158" s="105">
        <f>MIN(T158,X158,AB158,AF158,P158)</f>
        <v>124.08000000000001</v>
      </c>
      <c r="J158" s="105">
        <f>AVERAGE(P158,T158,X158,AB158,AF158)</f>
        <v>280.46699999999998</v>
      </c>
      <c r="K158" s="105">
        <f>MAX(P158,T158,X158,AB158,AF158)</f>
        <v>438.02000000000004</v>
      </c>
      <c r="N158" s="107">
        <f t="shared" si="48"/>
        <v>111.19900000000001</v>
      </c>
      <c r="O158" s="107">
        <f t="shared" si="49"/>
        <v>156.12300000000002</v>
      </c>
      <c r="P158" s="107">
        <f t="shared" si="50"/>
        <v>224.334</v>
      </c>
      <c r="R158" s="107">
        <f t="shared" si="51"/>
        <v>91.475999999999999</v>
      </c>
      <c r="S158" s="107">
        <f t="shared" si="52"/>
        <v>98.494000000000014</v>
      </c>
      <c r="T158" s="107">
        <f t="shared" si="53"/>
        <v>124.08000000000001</v>
      </c>
      <c r="V158" s="107">
        <f t="shared" si="54"/>
        <v>214.26900000000001</v>
      </c>
      <c r="W158" s="107">
        <f t="shared" si="55"/>
        <v>318.18600000000004</v>
      </c>
      <c r="X158" s="107">
        <f t="shared" si="56"/>
        <v>438.02000000000004</v>
      </c>
      <c r="Z158" s="107">
        <f t="shared" si="57"/>
        <v>243.60600000000002</v>
      </c>
      <c r="AA158" s="107">
        <f t="shared" si="58"/>
        <v>331.15500000000003</v>
      </c>
      <c r="AB158" s="107">
        <f t="shared" si="59"/>
        <v>411.30100000000004</v>
      </c>
      <c r="AD158" s="107">
        <f t="shared" si="60"/>
        <v>105.60000000000001</v>
      </c>
      <c r="AE158" s="107">
        <f t="shared" si="61"/>
        <v>163.9</v>
      </c>
      <c r="AF158" s="107">
        <f t="shared" si="62"/>
        <v>204.60000000000002</v>
      </c>
      <c r="AH158" s="107">
        <v>101.09</v>
      </c>
      <c r="AI158" s="107">
        <v>141.93</v>
      </c>
      <c r="AJ158" s="107">
        <v>203.94</v>
      </c>
      <c r="AK158" s="107">
        <v>83.16</v>
      </c>
      <c r="AL158" s="107">
        <v>89.54</v>
      </c>
      <c r="AM158" s="107">
        <v>112.8</v>
      </c>
      <c r="AN158" s="107">
        <v>194.79</v>
      </c>
      <c r="AO158" s="107">
        <v>289.26</v>
      </c>
      <c r="AP158" s="107">
        <v>398.2</v>
      </c>
      <c r="AQ158" s="107">
        <v>221.46</v>
      </c>
      <c r="AR158" s="107">
        <v>301.05</v>
      </c>
      <c r="AS158" s="107">
        <v>373.91</v>
      </c>
      <c r="AT158" s="107">
        <v>96</v>
      </c>
      <c r="AU158" s="107">
        <v>149</v>
      </c>
      <c r="AV158" s="107">
        <v>186</v>
      </c>
    </row>
    <row r="159" spans="1:48" s="124" customFormat="1" ht="30" customHeight="1" outlineLevel="2">
      <c r="A159" s="125" t="s">
        <v>548</v>
      </c>
      <c r="B159" s="118" t="s">
        <v>549</v>
      </c>
      <c r="C159" s="104" t="s">
        <v>242</v>
      </c>
      <c r="E159" s="105">
        <f>MIN(N159,R159,V159,Z159,AD159)</f>
        <v>143.74800000000002</v>
      </c>
      <c r="F159" s="105">
        <f>AVERAGE(N159,R159,V159,Z159,AD159)</f>
        <v>221.80180000000001</v>
      </c>
      <c r="G159" s="105">
        <f>MAX(N159,R159,V159,Z159,AD159)</f>
        <v>339.42700000000002</v>
      </c>
      <c r="H159" s="106"/>
      <c r="I159" s="105">
        <f>MIN(T159,X159,AB159,AF159,P159)</f>
        <v>202.48800000000003</v>
      </c>
      <c r="J159" s="105">
        <f>AVERAGE(P159,T159,X159,AB159,AF159)</f>
        <v>405.66240000000005</v>
      </c>
      <c r="K159" s="105">
        <f>MAX(P159,T159,X159,AB159,AF159)</f>
        <v>582.18600000000004</v>
      </c>
      <c r="N159" s="107">
        <f t="shared" si="48"/>
        <v>193.84200000000001</v>
      </c>
      <c r="O159" s="107">
        <f t="shared" si="49"/>
        <v>271.63400000000001</v>
      </c>
      <c r="P159" s="107">
        <f t="shared" si="50"/>
        <v>386.04500000000002</v>
      </c>
      <c r="R159" s="107">
        <f t="shared" si="51"/>
        <v>143.74800000000002</v>
      </c>
      <c r="S159" s="107">
        <f t="shared" si="52"/>
        <v>166.452</v>
      </c>
      <c r="T159" s="107">
        <f t="shared" si="53"/>
        <v>202.48800000000003</v>
      </c>
      <c r="V159" s="107">
        <f t="shared" si="54"/>
        <v>280.19200000000001</v>
      </c>
      <c r="W159" s="107">
        <f t="shared" si="55"/>
        <v>424.97399999999999</v>
      </c>
      <c r="X159" s="107">
        <f t="shared" si="56"/>
        <v>582.18600000000004</v>
      </c>
      <c r="Z159" s="107">
        <f t="shared" si="57"/>
        <v>339.42700000000002</v>
      </c>
      <c r="AA159" s="107">
        <f t="shared" si="58"/>
        <v>465.28900000000004</v>
      </c>
      <c r="AB159" s="107">
        <f t="shared" si="59"/>
        <v>569.39300000000003</v>
      </c>
      <c r="AD159" s="107">
        <f t="shared" si="60"/>
        <v>151.80000000000001</v>
      </c>
      <c r="AE159" s="107">
        <f t="shared" si="61"/>
        <v>233.20000000000002</v>
      </c>
      <c r="AF159" s="107">
        <f t="shared" si="62"/>
        <v>288.20000000000005</v>
      </c>
      <c r="AH159" s="107">
        <v>176.22</v>
      </c>
      <c r="AI159" s="107">
        <v>246.94</v>
      </c>
      <c r="AJ159" s="107">
        <v>350.95</v>
      </c>
      <c r="AK159" s="107">
        <v>130.68</v>
      </c>
      <c r="AL159" s="107">
        <v>151.32</v>
      </c>
      <c r="AM159" s="107">
        <v>184.08</v>
      </c>
      <c r="AN159" s="107">
        <v>254.72</v>
      </c>
      <c r="AO159" s="107">
        <v>386.34</v>
      </c>
      <c r="AP159" s="107">
        <v>529.26</v>
      </c>
      <c r="AQ159" s="107">
        <v>308.57</v>
      </c>
      <c r="AR159" s="107">
        <v>422.99</v>
      </c>
      <c r="AS159" s="107">
        <v>517.63</v>
      </c>
      <c r="AT159" s="107">
        <v>138</v>
      </c>
      <c r="AU159" s="107">
        <v>212</v>
      </c>
      <c r="AV159" s="107">
        <v>262</v>
      </c>
    </row>
    <row r="160" spans="1:48" s="124" customFormat="1" ht="30" customHeight="1" outlineLevel="2" thickBot="1">
      <c r="A160" s="119" t="s">
        <v>550</v>
      </c>
      <c r="B160" s="120" t="s">
        <v>551</v>
      </c>
      <c r="C160" s="114" t="s">
        <v>242</v>
      </c>
      <c r="E160" s="105">
        <f>MIN(N160,R160,V160,Z160,AD160)</f>
        <v>222.15600000000003</v>
      </c>
      <c r="F160" s="105">
        <f>AVERAGE(N160,R160,V160,Z160,AD160)</f>
        <v>393.03660000000002</v>
      </c>
      <c r="G160" s="105">
        <f>MAX(N160,R160,V160,Z160,AD160)</f>
        <v>527.09800000000007</v>
      </c>
      <c r="H160" s="106"/>
      <c r="I160" s="105">
        <f>MIN(T160,X160,AB160,AF160,P160)</f>
        <v>320.10000000000002</v>
      </c>
      <c r="J160" s="105">
        <f>AVERAGE(P160,T160,X160,AB160,AF160)</f>
        <v>726.29920000000016</v>
      </c>
      <c r="K160" s="105">
        <f>MAX(P160,T160,X160,AB160,AF160)</f>
        <v>1054.0530000000001</v>
      </c>
      <c r="N160" s="107">
        <f t="shared" si="48"/>
        <v>386.68299999999999</v>
      </c>
      <c r="O160" s="107">
        <f t="shared" si="49"/>
        <v>541.16700000000003</v>
      </c>
      <c r="P160" s="107">
        <f t="shared" si="50"/>
        <v>763.38900000000012</v>
      </c>
      <c r="R160" s="107">
        <f t="shared" si="51"/>
        <v>222.15600000000003</v>
      </c>
      <c r="S160" s="107">
        <f t="shared" si="52"/>
        <v>268.37799999999999</v>
      </c>
      <c r="T160" s="107">
        <f t="shared" si="53"/>
        <v>320.10000000000002</v>
      </c>
      <c r="V160" s="107">
        <f t="shared" si="54"/>
        <v>495.94600000000008</v>
      </c>
      <c r="W160" s="107">
        <f t="shared" si="55"/>
        <v>774.5100000000001</v>
      </c>
      <c r="X160" s="107">
        <f t="shared" si="56"/>
        <v>1054.0530000000001</v>
      </c>
      <c r="Z160" s="107">
        <f t="shared" si="57"/>
        <v>527.09800000000007</v>
      </c>
      <c r="AA160" s="107">
        <f t="shared" si="58"/>
        <v>728.03500000000008</v>
      </c>
      <c r="AB160" s="107">
        <f t="shared" si="59"/>
        <v>879.05400000000009</v>
      </c>
      <c r="AD160" s="107">
        <f t="shared" si="60"/>
        <v>333.3</v>
      </c>
      <c r="AE160" s="107">
        <f t="shared" si="61"/>
        <v>506.00000000000006</v>
      </c>
      <c r="AF160" s="107">
        <f t="shared" si="62"/>
        <v>614.90000000000009</v>
      </c>
      <c r="AH160" s="107">
        <v>351.53</v>
      </c>
      <c r="AI160" s="107">
        <v>491.97</v>
      </c>
      <c r="AJ160" s="107">
        <v>693.99</v>
      </c>
      <c r="AK160" s="107">
        <v>201.96</v>
      </c>
      <c r="AL160" s="107">
        <v>243.98</v>
      </c>
      <c r="AM160" s="107">
        <v>291</v>
      </c>
      <c r="AN160" s="107">
        <v>450.86</v>
      </c>
      <c r="AO160" s="107">
        <v>704.1</v>
      </c>
      <c r="AP160" s="107">
        <v>958.23</v>
      </c>
      <c r="AQ160" s="107">
        <v>479.18</v>
      </c>
      <c r="AR160" s="107">
        <v>661.85</v>
      </c>
      <c r="AS160" s="107">
        <v>799.14</v>
      </c>
      <c r="AT160" s="107">
        <v>303</v>
      </c>
      <c r="AU160" s="107">
        <v>460</v>
      </c>
      <c r="AV160" s="107">
        <v>559</v>
      </c>
    </row>
    <row r="161" spans="1:48" ht="30" customHeight="1" thickBot="1">
      <c r="A161" s="96" t="s">
        <v>552</v>
      </c>
      <c r="B161" s="115" t="s">
        <v>553</v>
      </c>
      <c r="C161" s="98"/>
      <c r="N161" s="11" t="str">
        <f t="shared" si="48"/>
        <v/>
      </c>
      <c r="O161" s="11" t="str">
        <f t="shared" si="49"/>
        <v/>
      </c>
      <c r="P161" s="11" t="str">
        <f t="shared" si="50"/>
        <v/>
      </c>
      <c r="R161" s="11" t="str">
        <f t="shared" si="51"/>
        <v/>
      </c>
      <c r="S161" s="11" t="str">
        <f t="shared" si="52"/>
        <v/>
      </c>
      <c r="T161" s="11" t="str">
        <f t="shared" si="53"/>
        <v/>
      </c>
      <c r="V161" s="11" t="str">
        <f t="shared" si="54"/>
        <v/>
      </c>
      <c r="W161" s="11" t="str">
        <f t="shared" si="55"/>
        <v/>
      </c>
      <c r="X161" s="11" t="str">
        <f t="shared" si="56"/>
        <v/>
      </c>
      <c r="Z161" s="11" t="str">
        <f t="shared" si="57"/>
        <v/>
      </c>
      <c r="AA161" s="11" t="str">
        <f t="shared" si="58"/>
        <v/>
      </c>
      <c r="AB161" s="11" t="str">
        <f t="shared" si="59"/>
        <v/>
      </c>
      <c r="AD161" s="11" t="str">
        <f t="shared" si="60"/>
        <v/>
      </c>
      <c r="AE161" s="11" t="str">
        <f t="shared" si="61"/>
        <v/>
      </c>
      <c r="AF161" s="11" t="str">
        <f t="shared" si="62"/>
        <v/>
      </c>
    </row>
    <row r="162" spans="1:48" ht="30" customHeight="1" outlineLevel="1">
      <c r="A162" s="132" t="s">
        <v>554</v>
      </c>
      <c r="B162" s="133" t="s">
        <v>555</v>
      </c>
      <c r="C162" s="101"/>
      <c r="N162" s="11" t="str">
        <f t="shared" si="48"/>
        <v/>
      </c>
      <c r="O162" s="11" t="str">
        <f t="shared" si="49"/>
        <v/>
      </c>
      <c r="P162" s="11" t="str">
        <f t="shared" si="50"/>
        <v/>
      </c>
      <c r="R162" s="11" t="str">
        <f t="shared" si="51"/>
        <v/>
      </c>
      <c r="S162" s="11" t="str">
        <f t="shared" si="52"/>
        <v/>
      </c>
      <c r="T162" s="11" t="str">
        <f t="shared" si="53"/>
        <v/>
      </c>
      <c r="V162" s="11" t="str">
        <f t="shared" si="54"/>
        <v/>
      </c>
      <c r="W162" s="11" t="str">
        <f t="shared" si="55"/>
        <v/>
      </c>
      <c r="X162" s="11" t="str">
        <f t="shared" si="56"/>
        <v/>
      </c>
      <c r="Z162" s="11" t="str">
        <f t="shared" si="57"/>
        <v/>
      </c>
      <c r="AA162" s="11" t="str">
        <f t="shared" si="58"/>
        <v/>
      </c>
      <c r="AB162" s="11" t="str">
        <f t="shared" si="59"/>
        <v/>
      </c>
      <c r="AD162" s="11" t="str">
        <f t="shared" si="60"/>
        <v/>
      </c>
      <c r="AE162" s="11" t="str">
        <f t="shared" si="61"/>
        <v/>
      </c>
      <c r="AF162" s="11" t="str">
        <f t="shared" si="62"/>
        <v/>
      </c>
    </row>
    <row r="163" spans="1:48" s="124" customFormat="1" ht="30" customHeight="1" outlineLevel="2">
      <c r="A163" s="116" t="s">
        <v>556</v>
      </c>
      <c r="B163" s="126" t="s">
        <v>557</v>
      </c>
      <c r="C163" s="134" t="s">
        <v>242</v>
      </c>
      <c r="E163" s="105">
        <f>MIN(N163,R163,V163,Z163,AD163)</f>
        <v>14.993000000000002</v>
      </c>
      <c r="F163" s="105">
        <f>AVERAGE(N163,R163,V163,Z163,AD163)</f>
        <v>24.116399999999999</v>
      </c>
      <c r="G163" s="105">
        <f>MAX(N163,R163,V163,Z163,AD163)</f>
        <v>31.481999999999999</v>
      </c>
      <c r="H163" s="106"/>
      <c r="I163" s="105">
        <f>MIN(T163,X163,AB163,AF163,P163)</f>
        <v>26.07</v>
      </c>
      <c r="J163" s="105">
        <f>AVERAGE(P163,T163,X163,AB163,AF163)</f>
        <v>41.382000000000005</v>
      </c>
      <c r="K163" s="105">
        <f>MAX(P163,T163,X163,AB163,AF163)</f>
        <v>59.576000000000001</v>
      </c>
      <c r="N163" s="107">
        <f t="shared" si="48"/>
        <v>17.534000000000002</v>
      </c>
      <c r="O163" s="107">
        <f t="shared" si="49"/>
        <v>25.212000000000003</v>
      </c>
      <c r="P163" s="107">
        <f t="shared" si="50"/>
        <v>41.052000000000007</v>
      </c>
      <c r="R163" s="107">
        <f t="shared" si="51"/>
        <v>26.135999999999999</v>
      </c>
      <c r="S163" s="107">
        <f t="shared" si="52"/>
        <v>13.552000000000001</v>
      </c>
      <c r="T163" s="107">
        <f t="shared" si="53"/>
        <v>26.07</v>
      </c>
      <c r="V163" s="107">
        <f t="shared" si="54"/>
        <v>31.481999999999999</v>
      </c>
      <c r="W163" s="107">
        <f t="shared" si="55"/>
        <v>22.077000000000002</v>
      </c>
      <c r="X163" s="107">
        <f t="shared" si="56"/>
        <v>38.269000000000005</v>
      </c>
      <c r="Z163" s="107">
        <f t="shared" si="57"/>
        <v>30.437000000000005</v>
      </c>
      <c r="AA163" s="107">
        <f t="shared" si="58"/>
        <v>32.713999999999999</v>
      </c>
      <c r="AB163" s="107">
        <f t="shared" si="59"/>
        <v>59.576000000000001</v>
      </c>
      <c r="AD163" s="107">
        <f t="shared" si="60"/>
        <v>14.993000000000002</v>
      </c>
      <c r="AE163" s="107">
        <f t="shared" si="61"/>
        <v>27.995000000000001</v>
      </c>
      <c r="AF163" s="107">
        <f t="shared" si="62"/>
        <v>41.942999999999998</v>
      </c>
      <c r="AH163" s="107">
        <v>15.940000000000001</v>
      </c>
      <c r="AI163" s="107">
        <v>22.92</v>
      </c>
      <c r="AJ163" s="107">
        <v>37.32</v>
      </c>
      <c r="AK163" s="107">
        <v>23.759999999999998</v>
      </c>
      <c r="AL163" s="107">
        <v>12.32</v>
      </c>
      <c r="AM163" s="107">
        <v>23.7</v>
      </c>
      <c r="AN163" s="107">
        <v>28.619999999999997</v>
      </c>
      <c r="AO163" s="107">
        <v>20.07</v>
      </c>
      <c r="AP163" s="107">
        <v>34.79</v>
      </c>
      <c r="AQ163" s="107">
        <v>27.67</v>
      </c>
      <c r="AR163" s="107">
        <v>29.74</v>
      </c>
      <c r="AS163" s="107">
        <v>54.16</v>
      </c>
      <c r="AT163" s="107">
        <v>13.63</v>
      </c>
      <c r="AU163" s="107">
        <v>25.45</v>
      </c>
      <c r="AV163" s="107">
        <v>38.129999999999995</v>
      </c>
    </row>
    <row r="164" spans="1:48" s="124" customFormat="1" ht="30" customHeight="1" outlineLevel="2">
      <c r="A164" s="116" t="s">
        <v>558</v>
      </c>
      <c r="B164" s="126" t="s">
        <v>559</v>
      </c>
      <c r="C164" s="134" t="s">
        <v>242</v>
      </c>
      <c r="E164" s="105">
        <f>MIN(N164,R164,V164,Z164,AD164)</f>
        <v>26.455000000000002</v>
      </c>
      <c r="F164" s="105">
        <f>AVERAGE(N164,R164,V164,Z164,AD164)</f>
        <v>36.685000000000009</v>
      </c>
      <c r="G164" s="105">
        <f>MAX(N164,R164,V164,Z164,AD164)</f>
        <v>47.234000000000002</v>
      </c>
      <c r="H164" s="106"/>
      <c r="I164" s="105">
        <f>MIN(T164,X164,AB164,AF164,P164)</f>
        <v>45.672000000000004</v>
      </c>
      <c r="J164" s="105">
        <f>AVERAGE(P164,T164,X164,AB164,AF164)</f>
        <v>66.321200000000005</v>
      </c>
      <c r="K164" s="105">
        <f>MAX(P164,T164,X164,AB164,AF164)</f>
        <v>110.94600000000001</v>
      </c>
      <c r="N164" s="107">
        <f t="shared" si="48"/>
        <v>47.234000000000002</v>
      </c>
      <c r="O164" s="107">
        <f t="shared" si="49"/>
        <v>66.594000000000008</v>
      </c>
      <c r="P164" s="107">
        <f t="shared" si="50"/>
        <v>110.94600000000001</v>
      </c>
      <c r="R164" s="107">
        <f t="shared" si="51"/>
        <v>39.204000000000001</v>
      </c>
      <c r="S164" s="107">
        <f t="shared" si="52"/>
        <v>30.547000000000004</v>
      </c>
      <c r="T164" s="107">
        <f t="shared" si="53"/>
        <v>45.672000000000004</v>
      </c>
      <c r="V164" s="107">
        <f t="shared" si="54"/>
        <v>36.278000000000006</v>
      </c>
      <c r="W164" s="107">
        <f t="shared" si="55"/>
        <v>29.843</v>
      </c>
      <c r="X164" s="107">
        <f t="shared" si="56"/>
        <v>48.752000000000002</v>
      </c>
      <c r="Z164" s="107">
        <f t="shared" si="57"/>
        <v>34.254000000000005</v>
      </c>
      <c r="AA164" s="107">
        <f t="shared" si="58"/>
        <v>38.533000000000001</v>
      </c>
      <c r="AB164" s="107">
        <f t="shared" si="59"/>
        <v>63.657000000000004</v>
      </c>
      <c r="AD164" s="107">
        <f t="shared" si="60"/>
        <v>26.455000000000002</v>
      </c>
      <c r="AE164" s="107">
        <f t="shared" si="61"/>
        <v>45.188000000000002</v>
      </c>
      <c r="AF164" s="107">
        <f t="shared" si="62"/>
        <v>62.579000000000008</v>
      </c>
      <c r="AH164" s="107">
        <v>42.94</v>
      </c>
      <c r="AI164" s="107">
        <v>60.54</v>
      </c>
      <c r="AJ164" s="107">
        <v>100.86</v>
      </c>
      <c r="AK164" s="107">
        <v>35.64</v>
      </c>
      <c r="AL164" s="107">
        <v>27.770000000000003</v>
      </c>
      <c r="AM164" s="107">
        <v>41.52</v>
      </c>
      <c r="AN164" s="107">
        <v>32.980000000000004</v>
      </c>
      <c r="AO164" s="107">
        <v>27.13</v>
      </c>
      <c r="AP164" s="107">
        <v>44.32</v>
      </c>
      <c r="AQ164" s="107">
        <v>31.14</v>
      </c>
      <c r="AR164" s="107">
        <v>35.03</v>
      </c>
      <c r="AS164" s="107">
        <v>57.87</v>
      </c>
      <c r="AT164" s="107">
        <v>24.05</v>
      </c>
      <c r="AU164" s="107">
        <v>41.08</v>
      </c>
      <c r="AV164" s="107">
        <v>56.89</v>
      </c>
    </row>
    <row r="165" spans="1:48" ht="30" customHeight="1" outlineLevel="1">
      <c r="A165" s="109" t="s">
        <v>560</v>
      </c>
      <c r="B165" s="135" t="s">
        <v>561</v>
      </c>
      <c r="C165" s="111"/>
      <c r="N165" s="11" t="str">
        <f t="shared" si="48"/>
        <v/>
      </c>
      <c r="O165" s="11" t="str">
        <f t="shared" si="49"/>
        <v/>
      </c>
      <c r="P165" s="11" t="str">
        <f t="shared" si="50"/>
        <v/>
      </c>
      <c r="R165" s="11" t="str">
        <f t="shared" si="51"/>
        <v/>
      </c>
      <c r="S165" s="11" t="str">
        <f t="shared" si="52"/>
        <v/>
      </c>
      <c r="T165" s="11" t="str">
        <f t="shared" si="53"/>
        <v/>
      </c>
      <c r="V165" s="11" t="str">
        <f t="shared" si="54"/>
        <v/>
      </c>
      <c r="W165" s="11" t="str">
        <f t="shared" si="55"/>
        <v/>
      </c>
      <c r="X165" s="11" t="str">
        <f t="shared" si="56"/>
        <v/>
      </c>
      <c r="Z165" s="11" t="str">
        <f t="shared" si="57"/>
        <v/>
      </c>
      <c r="AA165" s="11" t="str">
        <f t="shared" si="58"/>
        <v/>
      </c>
      <c r="AB165" s="11" t="str">
        <f t="shared" si="59"/>
        <v/>
      </c>
      <c r="AD165" s="11" t="str">
        <f t="shared" si="60"/>
        <v/>
      </c>
      <c r="AE165" s="11" t="str">
        <f t="shared" si="61"/>
        <v/>
      </c>
      <c r="AF165" s="11" t="str">
        <f t="shared" si="62"/>
        <v/>
      </c>
    </row>
    <row r="166" spans="1:48" s="124" customFormat="1" ht="30" customHeight="1" outlineLevel="2" thickBot="1">
      <c r="A166" s="102" t="s">
        <v>562</v>
      </c>
      <c r="B166" s="137" t="s">
        <v>563</v>
      </c>
      <c r="C166" s="136" t="s">
        <v>242</v>
      </c>
      <c r="E166" s="105">
        <f>MIN(N166,R166,V166,Z166,AD166)</f>
        <v>15.400000000000002</v>
      </c>
      <c r="F166" s="105">
        <f>AVERAGE(N166,R166,V166,Z166,AD166)</f>
        <v>25.058</v>
      </c>
      <c r="G166" s="105">
        <f>MAX(N166,R166,V166,Z166,AD166)</f>
        <v>33.275000000000006</v>
      </c>
      <c r="H166" s="106"/>
      <c r="I166" s="105">
        <f>MIN(T166,X166,AB166,AF166,P166)</f>
        <v>30.668000000000003</v>
      </c>
      <c r="J166" s="105">
        <f>AVERAGE(P166,T166,X166,AB166,AF166)</f>
        <v>42.433599999999998</v>
      </c>
      <c r="K166" s="105">
        <f>MAX(P166,T166,X166,AB166,AF166)</f>
        <v>56.177000000000007</v>
      </c>
      <c r="N166" s="107">
        <f t="shared" si="48"/>
        <v>19.568999999999999</v>
      </c>
      <c r="O166" s="107">
        <f t="shared" si="49"/>
        <v>26.147000000000002</v>
      </c>
      <c r="P166" s="107">
        <f t="shared" si="50"/>
        <v>40.446999999999996</v>
      </c>
      <c r="R166" s="107">
        <f t="shared" si="51"/>
        <v>29.436000000000003</v>
      </c>
      <c r="S166" s="107">
        <f t="shared" si="52"/>
        <v>17.633000000000003</v>
      </c>
      <c r="T166" s="107">
        <f t="shared" si="53"/>
        <v>30.668000000000003</v>
      </c>
      <c r="V166" s="107">
        <f t="shared" si="54"/>
        <v>33.275000000000006</v>
      </c>
      <c r="W166" s="107">
        <f t="shared" si="55"/>
        <v>24.981000000000002</v>
      </c>
      <c r="X166" s="107">
        <f t="shared" si="56"/>
        <v>42.196000000000005</v>
      </c>
      <c r="Z166" s="107">
        <f t="shared" si="57"/>
        <v>27.610000000000003</v>
      </c>
      <c r="AA166" s="107">
        <f t="shared" si="58"/>
        <v>31.878000000000004</v>
      </c>
      <c r="AB166" s="107">
        <f t="shared" si="59"/>
        <v>56.177000000000007</v>
      </c>
      <c r="AD166" s="107">
        <f t="shared" si="60"/>
        <v>15.400000000000002</v>
      </c>
      <c r="AE166" s="107">
        <f t="shared" si="61"/>
        <v>28.6</v>
      </c>
      <c r="AF166" s="107">
        <f t="shared" si="62"/>
        <v>42.68</v>
      </c>
      <c r="AH166" s="107">
        <v>17.79</v>
      </c>
      <c r="AI166" s="107">
        <v>23.77</v>
      </c>
      <c r="AJ166" s="107">
        <v>36.769999999999996</v>
      </c>
      <c r="AK166" s="107">
        <v>26.76</v>
      </c>
      <c r="AL166" s="107">
        <v>16.03</v>
      </c>
      <c r="AM166" s="107">
        <v>27.88</v>
      </c>
      <c r="AN166" s="107">
        <v>30.25</v>
      </c>
      <c r="AO166" s="107">
        <v>22.71</v>
      </c>
      <c r="AP166" s="107">
        <v>38.36</v>
      </c>
      <c r="AQ166" s="107">
        <v>25.1</v>
      </c>
      <c r="AR166" s="107">
        <v>28.98</v>
      </c>
      <c r="AS166" s="107">
        <v>51.07</v>
      </c>
      <c r="AT166" s="107">
        <v>14</v>
      </c>
      <c r="AU166" s="107">
        <v>26</v>
      </c>
      <c r="AV166" s="107">
        <v>38.799999999999997</v>
      </c>
    </row>
    <row r="167" spans="1:48" ht="30" customHeight="1" thickBot="1">
      <c r="A167" s="96" t="s">
        <v>564</v>
      </c>
      <c r="B167" s="115" t="s">
        <v>565</v>
      </c>
      <c r="C167" s="98"/>
      <c r="N167" s="11" t="str">
        <f t="shared" si="48"/>
        <v/>
      </c>
      <c r="O167" s="11" t="str">
        <f t="shared" si="49"/>
        <v/>
      </c>
      <c r="P167" s="11" t="str">
        <f t="shared" si="50"/>
        <v/>
      </c>
      <c r="R167" s="11" t="str">
        <f t="shared" si="51"/>
        <v/>
      </c>
      <c r="S167" s="11" t="str">
        <f t="shared" si="52"/>
        <v/>
      </c>
      <c r="T167" s="11" t="str">
        <f t="shared" si="53"/>
        <v/>
      </c>
      <c r="V167" s="11" t="str">
        <f t="shared" si="54"/>
        <v/>
      </c>
      <c r="W167" s="11" t="str">
        <f t="shared" si="55"/>
        <v/>
      </c>
      <c r="X167" s="11" t="str">
        <f t="shared" si="56"/>
        <v/>
      </c>
      <c r="Z167" s="11" t="str">
        <f t="shared" si="57"/>
        <v/>
      </c>
      <c r="AA167" s="11" t="str">
        <f t="shared" si="58"/>
        <v/>
      </c>
      <c r="AB167" s="11" t="str">
        <f t="shared" si="59"/>
        <v/>
      </c>
      <c r="AD167" s="11" t="str">
        <f t="shared" si="60"/>
        <v/>
      </c>
      <c r="AE167" s="11" t="str">
        <f t="shared" si="61"/>
        <v/>
      </c>
      <c r="AF167" s="11" t="str">
        <f t="shared" si="62"/>
        <v/>
      </c>
    </row>
    <row r="168" spans="1:48" ht="30" customHeight="1" outlineLevel="1">
      <c r="A168" s="132" t="s">
        <v>566</v>
      </c>
      <c r="B168" s="133" t="s">
        <v>567</v>
      </c>
      <c r="C168" s="101"/>
      <c r="N168" s="11" t="str">
        <f t="shared" si="48"/>
        <v/>
      </c>
      <c r="O168" s="11" t="str">
        <f t="shared" si="49"/>
        <v/>
      </c>
      <c r="P168" s="11" t="str">
        <f t="shared" si="50"/>
        <v/>
      </c>
      <c r="R168" s="11" t="str">
        <f t="shared" si="51"/>
        <v/>
      </c>
      <c r="S168" s="11" t="str">
        <f t="shared" si="52"/>
        <v/>
      </c>
      <c r="T168" s="11" t="str">
        <f t="shared" si="53"/>
        <v/>
      </c>
      <c r="V168" s="11" t="str">
        <f t="shared" si="54"/>
        <v/>
      </c>
      <c r="W168" s="11" t="str">
        <f t="shared" si="55"/>
        <v/>
      </c>
      <c r="X168" s="11" t="str">
        <f t="shared" si="56"/>
        <v/>
      </c>
      <c r="Z168" s="11" t="str">
        <f t="shared" si="57"/>
        <v/>
      </c>
      <c r="AA168" s="11" t="str">
        <f t="shared" si="58"/>
        <v/>
      </c>
      <c r="AB168" s="11" t="str">
        <f t="shared" si="59"/>
        <v/>
      </c>
      <c r="AD168" s="11" t="str">
        <f t="shared" si="60"/>
        <v/>
      </c>
      <c r="AE168" s="11" t="str">
        <f t="shared" si="61"/>
        <v/>
      </c>
      <c r="AF168" s="11" t="str">
        <f t="shared" si="62"/>
        <v/>
      </c>
    </row>
    <row r="169" spans="1:48" ht="30" customHeight="1" outlineLevel="2">
      <c r="A169" s="116" t="s">
        <v>568</v>
      </c>
      <c r="B169" s="126" t="s">
        <v>569</v>
      </c>
      <c r="C169" s="134" t="s">
        <v>242</v>
      </c>
      <c r="E169" s="105">
        <f>MIN(N169,R169,V169,Z169,AD169)</f>
        <v>226.60000000000002</v>
      </c>
      <c r="F169" s="105">
        <f>AVERAGE(N169,R169,V169,Z169,AD169)</f>
        <v>356.18439999999998</v>
      </c>
      <c r="G169" s="105">
        <f>MAX(N169,R169,V169,Z169,AD169)</f>
        <v>432.61900000000009</v>
      </c>
      <c r="H169" s="106"/>
      <c r="I169" s="105">
        <f>MIN(T169,X169,AB169,AF169,P169)</f>
        <v>420.20000000000005</v>
      </c>
      <c r="J169" s="105">
        <f>AVERAGE(P169,T169,X169,AB169,AF169)</f>
        <v>633.63520000000005</v>
      </c>
      <c r="K169" s="105">
        <f>MAX(P169,T169,X169,AB169,AF169)</f>
        <v>791.90100000000007</v>
      </c>
      <c r="N169" s="107">
        <f t="shared" si="48"/>
        <v>332.75</v>
      </c>
      <c r="O169" s="107">
        <f t="shared" si="49"/>
        <v>454.35500000000008</v>
      </c>
      <c r="P169" s="107">
        <f t="shared" si="50"/>
        <v>630.37700000000007</v>
      </c>
      <c r="R169" s="107">
        <f t="shared" si="51"/>
        <v>432.61900000000009</v>
      </c>
      <c r="S169" s="107">
        <f t="shared" si="52"/>
        <v>541.57400000000007</v>
      </c>
      <c r="T169" s="107">
        <f t="shared" si="53"/>
        <v>635.10700000000008</v>
      </c>
      <c r="V169" s="107">
        <f t="shared" si="54"/>
        <v>376.07900000000001</v>
      </c>
      <c r="W169" s="107">
        <f t="shared" si="55"/>
        <v>580.31600000000003</v>
      </c>
      <c r="X169" s="107">
        <f t="shared" si="56"/>
        <v>791.90100000000007</v>
      </c>
      <c r="Z169" s="107">
        <f t="shared" si="57"/>
        <v>412.87400000000002</v>
      </c>
      <c r="AA169" s="107">
        <f t="shared" si="58"/>
        <v>568.11700000000008</v>
      </c>
      <c r="AB169" s="107">
        <f t="shared" si="59"/>
        <v>690.59100000000001</v>
      </c>
      <c r="AD169" s="107">
        <f t="shared" si="60"/>
        <v>226.60000000000002</v>
      </c>
      <c r="AE169" s="107">
        <f t="shared" si="61"/>
        <v>344.3</v>
      </c>
      <c r="AF169" s="107">
        <f t="shared" si="62"/>
        <v>420.20000000000005</v>
      </c>
      <c r="AH169" s="107">
        <v>302.5</v>
      </c>
      <c r="AI169" s="107">
        <v>413.05</v>
      </c>
      <c r="AJ169" s="107">
        <v>573.07000000000005</v>
      </c>
      <c r="AK169" s="107">
        <v>393.29</v>
      </c>
      <c r="AL169" s="107">
        <v>492.34</v>
      </c>
      <c r="AM169" s="107">
        <v>577.37</v>
      </c>
      <c r="AN169" s="107">
        <v>341.89</v>
      </c>
      <c r="AO169" s="107">
        <v>527.55999999999995</v>
      </c>
      <c r="AP169" s="107">
        <v>719.91</v>
      </c>
      <c r="AQ169" s="107">
        <v>375.34</v>
      </c>
      <c r="AR169" s="107">
        <v>516.47</v>
      </c>
      <c r="AS169" s="107">
        <v>627.80999999999995</v>
      </c>
      <c r="AT169" s="107">
        <v>206</v>
      </c>
      <c r="AU169" s="107">
        <v>313</v>
      </c>
      <c r="AV169" s="107">
        <v>382</v>
      </c>
    </row>
    <row r="170" spans="1:48" ht="30" customHeight="1" outlineLevel="2">
      <c r="A170" s="116" t="s">
        <v>570</v>
      </c>
      <c r="B170" s="126" t="s">
        <v>571</v>
      </c>
      <c r="C170" s="134" t="s">
        <v>242</v>
      </c>
      <c r="E170" s="105">
        <f>MIN(N170,R170,V170,Z170,AD170)</f>
        <v>454.3</v>
      </c>
      <c r="F170" s="105">
        <f>AVERAGE(N170,R170,V170,Z170,AD170)</f>
        <v>567.05660000000012</v>
      </c>
      <c r="G170" s="105">
        <f>MAX(N170,R170,V170,Z170,AD170)</f>
        <v>641.70700000000011</v>
      </c>
      <c r="H170" s="106"/>
      <c r="I170" s="105">
        <f>MIN(T170,X170,AB170,AF170,P170)</f>
        <v>827.2</v>
      </c>
      <c r="J170" s="105">
        <f>AVERAGE(P170,T170,X170,AB170,AF170)</f>
        <v>1015.0469999999999</v>
      </c>
      <c r="K170" s="105">
        <f>MAX(P170,T170,X170,AB170,AF170)</f>
        <v>1185.096</v>
      </c>
      <c r="N170" s="107">
        <f t="shared" si="48"/>
        <v>588.654</v>
      </c>
      <c r="O170" s="107">
        <f t="shared" si="49"/>
        <v>808.87400000000014</v>
      </c>
      <c r="P170" s="107">
        <f t="shared" si="50"/>
        <v>1123.5070000000001</v>
      </c>
      <c r="R170" s="107">
        <f t="shared" si="51"/>
        <v>641.70700000000011</v>
      </c>
      <c r="S170" s="107">
        <f t="shared" si="52"/>
        <v>813.38400000000013</v>
      </c>
      <c r="T170" s="107">
        <f t="shared" si="53"/>
        <v>948.73900000000003</v>
      </c>
      <c r="V170" s="107">
        <f t="shared" si="54"/>
        <v>555.86300000000006</v>
      </c>
      <c r="W170" s="107">
        <f t="shared" si="55"/>
        <v>871.57400000000007</v>
      </c>
      <c r="X170" s="107">
        <f t="shared" si="56"/>
        <v>1185.096</v>
      </c>
      <c r="Z170" s="107">
        <f t="shared" si="57"/>
        <v>594.75900000000013</v>
      </c>
      <c r="AA170" s="107">
        <f t="shared" si="58"/>
        <v>822.75600000000009</v>
      </c>
      <c r="AB170" s="107">
        <f t="shared" si="59"/>
        <v>990.6930000000001</v>
      </c>
      <c r="AD170" s="107">
        <f t="shared" si="60"/>
        <v>454.3</v>
      </c>
      <c r="AE170" s="107">
        <f t="shared" si="61"/>
        <v>684.2</v>
      </c>
      <c r="AF170" s="107">
        <f t="shared" si="62"/>
        <v>827.2</v>
      </c>
      <c r="AH170" s="107">
        <v>535.14</v>
      </c>
      <c r="AI170" s="107">
        <v>735.34</v>
      </c>
      <c r="AJ170" s="107">
        <v>1021.37</v>
      </c>
      <c r="AK170" s="107">
        <v>583.37</v>
      </c>
      <c r="AL170" s="107">
        <v>739.44</v>
      </c>
      <c r="AM170" s="107">
        <v>862.49</v>
      </c>
      <c r="AN170" s="107">
        <v>505.33</v>
      </c>
      <c r="AO170" s="107">
        <v>792.34</v>
      </c>
      <c r="AP170" s="107">
        <v>1077.3599999999999</v>
      </c>
      <c r="AQ170" s="107">
        <v>540.69000000000005</v>
      </c>
      <c r="AR170" s="107">
        <v>747.96</v>
      </c>
      <c r="AS170" s="107">
        <v>900.63</v>
      </c>
      <c r="AT170" s="107">
        <v>413</v>
      </c>
      <c r="AU170" s="107">
        <v>622</v>
      </c>
      <c r="AV170" s="107">
        <v>752</v>
      </c>
    </row>
    <row r="171" spans="1:48" ht="30" customHeight="1" outlineLevel="2">
      <c r="A171" s="116" t="s">
        <v>572</v>
      </c>
      <c r="B171" s="126" t="s">
        <v>573</v>
      </c>
      <c r="C171" s="134" t="s">
        <v>242</v>
      </c>
      <c r="E171" s="105">
        <f>MIN(N171,R171,V171,Z171,AD171)</f>
        <v>787.6</v>
      </c>
      <c r="F171" s="105">
        <f>AVERAGE(N171,R171,V171,Z171,AD171)</f>
        <v>955.34340000000009</v>
      </c>
      <c r="G171" s="105">
        <f>MAX(N171,R171,V171,Z171,AD171)</f>
        <v>1268.971</v>
      </c>
      <c r="H171" s="106"/>
      <c r="I171" s="105">
        <f>MIN(T171,X171,AB171,AF171,P171)</f>
        <v>1423.4</v>
      </c>
      <c r="J171" s="105">
        <f>AVERAGE(P171,T171,X171,AB171,AF171)</f>
        <v>1700.9630000000002</v>
      </c>
      <c r="K171" s="105">
        <f>MAX(P171,T171,X171,AB171,AF171)</f>
        <v>1889.635</v>
      </c>
      <c r="N171" s="107">
        <f t="shared" si="48"/>
        <v>982.30000000000007</v>
      </c>
      <c r="O171" s="107">
        <f t="shared" si="49"/>
        <v>1355.9040000000002</v>
      </c>
      <c r="P171" s="107">
        <f t="shared" si="50"/>
        <v>1886.1590000000001</v>
      </c>
      <c r="R171" s="107">
        <f t="shared" si="51"/>
        <v>1268.971</v>
      </c>
      <c r="S171" s="107">
        <f t="shared" si="52"/>
        <v>1628.825</v>
      </c>
      <c r="T171" s="107">
        <f t="shared" si="53"/>
        <v>1889.635</v>
      </c>
      <c r="V171" s="107">
        <f t="shared" si="54"/>
        <v>855.51400000000012</v>
      </c>
      <c r="W171" s="107">
        <f t="shared" si="55"/>
        <v>1357.0040000000001</v>
      </c>
      <c r="X171" s="107">
        <f t="shared" si="56"/>
        <v>1840.421</v>
      </c>
      <c r="Z171" s="107">
        <f t="shared" si="57"/>
        <v>882.33200000000011</v>
      </c>
      <c r="AA171" s="107">
        <f t="shared" si="58"/>
        <v>1225.3670000000002</v>
      </c>
      <c r="AB171" s="107">
        <f t="shared" si="59"/>
        <v>1465.2</v>
      </c>
      <c r="AD171" s="107">
        <f t="shared" si="60"/>
        <v>787.6</v>
      </c>
      <c r="AE171" s="107">
        <f t="shared" si="61"/>
        <v>1181.4000000000001</v>
      </c>
      <c r="AF171" s="107">
        <f t="shared" si="62"/>
        <v>1423.4</v>
      </c>
      <c r="AH171" s="107">
        <v>893</v>
      </c>
      <c r="AI171" s="107">
        <v>1232.6400000000001</v>
      </c>
      <c r="AJ171" s="107">
        <v>1714.69</v>
      </c>
      <c r="AK171" s="107">
        <v>1153.6099999999999</v>
      </c>
      <c r="AL171" s="107">
        <v>1480.75</v>
      </c>
      <c r="AM171" s="107">
        <v>1717.85</v>
      </c>
      <c r="AN171" s="107">
        <v>777.74</v>
      </c>
      <c r="AO171" s="107">
        <v>1233.6400000000001</v>
      </c>
      <c r="AP171" s="107">
        <v>1673.11</v>
      </c>
      <c r="AQ171" s="107">
        <v>802.12</v>
      </c>
      <c r="AR171" s="107">
        <v>1113.97</v>
      </c>
      <c r="AS171" s="107">
        <v>1332</v>
      </c>
      <c r="AT171" s="107">
        <v>716</v>
      </c>
      <c r="AU171" s="107">
        <v>1074</v>
      </c>
      <c r="AV171" s="107">
        <v>1294</v>
      </c>
    </row>
    <row r="172" spans="1:48" ht="30" customHeight="1" outlineLevel="2">
      <c r="A172" s="116" t="s">
        <v>574</v>
      </c>
      <c r="B172" s="126" t="s">
        <v>575</v>
      </c>
      <c r="C172" s="134" t="s">
        <v>242</v>
      </c>
      <c r="E172" s="105">
        <f>MIN(N172,R172,V172,Z172,AD172)</f>
        <v>1035.298</v>
      </c>
      <c r="F172" s="105">
        <f>AVERAGE(N172,R172,V172,Z172,AD172)</f>
        <v>1262.6570000000002</v>
      </c>
      <c r="G172" s="105">
        <f>MAX(N172,R172,V172,Z172,AD172)</f>
        <v>1486.144</v>
      </c>
      <c r="H172" s="106"/>
      <c r="I172" s="105">
        <f>MIN(T172,X172,AB172,AF172,P172)</f>
        <v>1983.0470000000003</v>
      </c>
      <c r="J172" s="105">
        <f>AVERAGE(P172,T172,X172,AB172,AF172)</f>
        <v>2259.6948000000002</v>
      </c>
      <c r="K172" s="105">
        <f>MAX(P172,T172,X172,AB172,AF172)</f>
        <v>2864.4330000000004</v>
      </c>
      <c r="N172" s="107">
        <f t="shared" si="48"/>
        <v>1486.144</v>
      </c>
      <c r="O172" s="107">
        <f t="shared" si="49"/>
        <v>2056.9450000000002</v>
      </c>
      <c r="P172" s="107">
        <f t="shared" si="50"/>
        <v>2864.4330000000004</v>
      </c>
      <c r="R172" s="107">
        <f t="shared" si="51"/>
        <v>1478.0590000000002</v>
      </c>
      <c r="S172" s="107">
        <f t="shared" si="52"/>
        <v>1900.646</v>
      </c>
      <c r="T172" s="107">
        <f t="shared" si="53"/>
        <v>2203.2670000000003</v>
      </c>
      <c r="V172" s="107">
        <f t="shared" si="54"/>
        <v>1035.298</v>
      </c>
      <c r="W172" s="107">
        <f t="shared" si="55"/>
        <v>1648.2620000000002</v>
      </c>
      <c r="X172" s="107">
        <f t="shared" si="56"/>
        <v>2233.627</v>
      </c>
      <c r="Z172" s="107">
        <f t="shared" si="57"/>
        <v>1196.1840000000002</v>
      </c>
      <c r="AA172" s="107">
        <f t="shared" si="58"/>
        <v>1664.7510000000002</v>
      </c>
      <c r="AB172" s="107">
        <f t="shared" si="59"/>
        <v>1983.0470000000003</v>
      </c>
      <c r="AD172" s="107">
        <f t="shared" si="60"/>
        <v>1117.6000000000001</v>
      </c>
      <c r="AE172" s="107">
        <f t="shared" si="61"/>
        <v>1674.2</v>
      </c>
      <c r="AF172" s="107">
        <f t="shared" si="62"/>
        <v>2014.1000000000001</v>
      </c>
      <c r="AH172" s="107">
        <v>1351.04</v>
      </c>
      <c r="AI172" s="107">
        <v>1869.95</v>
      </c>
      <c r="AJ172" s="107">
        <v>2604.0300000000002</v>
      </c>
      <c r="AK172" s="107">
        <v>1343.69</v>
      </c>
      <c r="AL172" s="107">
        <v>1727.86</v>
      </c>
      <c r="AM172" s="107">
        <v>2002.97</v>
      </c>
      <c r="AN172" s="107">
        <v>941.18</v>
      </c>
      <c r="AO172" s="107">
        <v>1498.42</v>
      </c>
      <c r="AP172" s="107">
        <v>2030.57</v>
      </c>
      <c r="AQ172" s="107">
        <v>1087.44</v>
      </c>
      <c r="AR172" s="107">
        <v>1513.41</v>
      </c>
      <c r="AS172" s="107">
        <v>1802.77</v>
      </c>
      <c r="AT172" s="107">
        <v>1016</v>
      </c>
      <c r="AU172" s="107">
        <v>1522</v>
      </c>
      <c r="AV172" s="107">
        <v>1831</v>
      </c>
    </row>
    <row r="173" spans="1:48" ht="30" customHeight="1" outlineLevel="1">
      <c r="A173" s="109" t="s">
        <v>576</v>
      </c>
      <c r="B173" s="135" t="s">
        <v>577</v>
      </c>
      <c r="C173" s="111"/>
      <c r="N173" s="11" t="str">
        <f t="shared" si="48"/>
        <v/>
      </c>
      <c r="O173" s="11" t="str">
        <f t="shared" si="49"/>
        <v/>
      </c>
      <c r="P173" s="11" t="str">
        <f t="shared" si="50"/>
        <v/>
      </c>
      <c r="R173" s="11" t="str">
        <f t="shared" si="51"/>
        <v/>
      </c>
      <c r="S173" s="11" t="str">
        <f t="shared" si="52"/>
        <v/>
      </c>
      <c r="T173" s="11" t="str">
        <f t="shared" si="53"/>
        <v/>
      </c>
      <c r="V173" s="11" t="str">
        <f t="shared" si="54"/>
        <v/>
      </c>
      <c r="W173" s="11" t="str">
        <f t="shared" si="55"/>
        <v/>
      </c>
      <c r="X173" s="11" t="str">
        <f t="shared" si="56"/>
        <v/>
      </c>
      <c r="Z173" s="11" t="str">
        <f t="shared" si="57"/>
        <v/>
      </c>
      <c r="AA173" s="11" t="str">
        <f t="shared" si="58"/>
        <v/>
      </c>
      <c r="AB173" s="11" t="str">
        <f t="shared" si="59"/>
        <v/>
      </c>
      <c r="AD173" s="11" t="str">
        <f t="shared" si="60"/>
        <v/>
      </c>
      <c r="AE173" s="11" t="str">
        <f t="shared" si="61"/>
        <v/>
      </c>
      <c r="AF173" s="11" t="str">
        <f t="shared" si="62"/>
        <v/>
      </c>
    </row>
    <row r="174" spans="1:48" ht="30" customHeight="1" outlineLevel="2">
      <c r="A174" s="116" t="s">
        <v>578</v>
      </c>
      <c r="B174" s="126" t="s">
        <v>579</v>
      </c>
      <c r="C174" s="134" t="s">
        <v>242</v>
      </c>
      <c r="E174" s="105">
        <f>MIN(N174,R174,V174,Z174,AD174)</f>
        <v>151.80000000000001</v>
      </c>
      <c r="F174" s="105">
        <f>AVERAGE(N174,R174,V174,Z174,AD174)</f>
        <v>267.21200000000005</v>
      </c>
      <c r="G174" s="105">
        <f>MAX(N174,R174,V174,Z174,AD174)</f>
        <v>328.07500000000005</v>
      </c>
      <c r="H174" s="106"/>
      <c r="I174" s="105">
        <f>MIN(T174,X174,AB174,AF174,P174)</f>
        <v>287.10000000000002</v>
      </c>
      <c r="J174" s="105">
        <f>AVERAGE(P174,T174,X174,AB174,AF174)</f>
        <v>475.87099999999998</v>
      </c>
      <c r="K174" s="105">
        <f>MAX(P174,T174,X174,AB174,AF174)</f>
        <v>660.82500000000005</v>
      </c>
      <c r="N174" s="107">
        <f t="shared" si="48"/>
        <v>214.577</v>
      </c>
      <c r="O174" s="107">
        <f t="shared" si="49"/>
        <v>292.36900000000003</v>
      </c>
      <c r="P174" s="107">
        <f t="shared" si="50"/>
        <v>406.78000000000003</v>
      </c>
      <c r="R174" s="107">
        <f t="shared" si="51"/>
        <v>328.07500000000005</v>
      </c>
      <c r="S174" s="107">
        <f t="shared" si="52"/>
        <v>405.66900000000004</v>
      </c>
      <c r="T174" s="107">
        <f t="shared" si="53"/>
        <v>478.29100000000005</v>
      </c>
      <c r="V174" s="107">
        <f t="shared" si="54"/>
        <v>316.15100000000007</v>
      </c>
      <c r="W174" s="107">
        <f t="shared" si="55"/>
        <v>483.23000000000008</v>
      </c>
      <c r="X174" s="107">
        <f t="shared" si="56"/>
        <v>660.82500000000005</v>
      </c>
      <c r="Z174" s="107">
        <f t="shared" si="57"/>
        <v>325.45700000000005</v>
      </c>
      <c r="AA174" s="107">
        <f t="shared" si="58"/>
        <v>445.74200000000008</v>
      </c>
      <c r="AB174" s="107">
        <f t="shared" si="59"/>
        <v>546.35900000000004</v>
      </c>
      <c r="AD174" s="107">
        <f t="shared" si="60"/>
        <v>151.80000000000001</v>
      </c>
      <c r="AE174" s="107">
        <f t="shared" si="61"/>
        <v>232.10000000000002</v>
      </c>
      <c r="AF174" s="107">
        <f t="shared" si="62"/>
        <v>287.10000000000002</v>
      </c>
      <c r="AH174" s="107">
        <v>195.07</v>
      </c>
      <c r="AI174" s="107">
        <v>265.79000000000002</v>
      </c>
      <c r="AJ174" s="107">
        <v>369.8</v>
      </c>
      <c r="AK174" s="107">
        <v>298.25</v>
      </c>
      <c r="AL174" s="107">
        <v>368.79</v>
      </c>
      <c r="AM174" s="107">
        <v>434.81</v>
      </c>
      <c r="AN174" s="107">
        <v>287.41000000000003</v>
      </c>
      <c r="AO174" s="107">
        <v>439.3</v>
      </c>
      <c r="AP174" s="107">
        <v>600.75</v>
      </c>
      <c r="AQ174" s="107">
        <v>295.87</v>
      </c>
      <c r="AR174" s="107">
        <v>405.22</v>
      </c>
      <c r="AS174" s="107">
        <v>496.69</v>
      </c>
      <c r="AT174" s="107">
        <v>138</v>
      </c>
      <c r="AU174" s="107">
        <v>211</v>
      </c>
      <c r="AV174" s="107">
        <v>261</v>
      </c>
    </row>
    <row r="175" spans="1:48" ht="30" customHeight="1" outlineLevel="2">
      <c r="A175" s="116" t="s">
        <v>580</v>
      </c>
      <c r="B175" s="126" t="s">
        <v>581</v>
      </c>
      <c r="C175" s="134" t="s">
        <v>242</v>
      </c>
      <c r="E175" s="105">
        <f>MIN(N175,R175,V175,Z175,AD175)</f>
        <v>366.3</v>
      </c>
      <c r="F175" s="105">
        <f>AVERAGE(N175,R175,V175,Z175,AD175)</f>
        <v>421.48700000000008</v>
      </c>
      <c r="G175" s="105">
        <f>MAX(N175,R175,V175,Z175,AD175)</f>
        <v>450.91200000000003</v>
      </c>
      <c r="H175" s="106"/>
      <c r="I175" s="105">
        <f>MIN(T175,X175,AB175,AF175,P175)</f>
        <v>635.10700000000008</v>
      </c>
      <c r="J175" s="105">
        <f>AVERAGE(P175,T175,X175,AB175,AF175)</f>
        <v>757.8252</v>
      </c>
      <c r="K175" s="105">
        <f>MAX(P175,T175,X175,AB175,AF175)</f>
        <v>922.96600000000001</v>
      </c>
      <c r="N175" s="107">
        <f t="shared" si="48"/>
        <v>450.91200000000003</v>
      </c>
      <c r="O175" s="107">
        <f t="shared" si="49"/>
        <v>616.35200000000009</v>
      </c>
      <c r="P175" s="107">
        <f t="shared" si="50"/>
        <v>853.97400000000016</v>
      </c>
      <c r="R175" s="107">
        <f t="shared" si="51"/>
        <v>432.61900000000009</v>
      </c>
      <c r="S175" s="107">
        <f t="shared" si="52"/>
        <v>541.57400000000007</v>
      </c>
      <c r="T175" s="107">
        <f t="shared" si="53"/>
        <v>635.10700000000008</v>
      </c>
      <c r="V175" s="107">
        <f t="shared" si="54"/>
        <v>436.00700000000006</v>
      </c>
      <c r="W175" s="107">
        <f t="shared" si="55"/>
        <v>677.40200000000016</v>
      </c>
      <c r="X175" s="107">
        <f t="shared" si="56"/>
        <v>922.96600000000001</v>
      </c>
      <c r="Z175" s="107">
        <f t="shared" si="57"/>
        <v>421.59700000000004</v>
      </c>
      <c r="AA175" s="107">
        <f t="shared" si="58"/>
        <v>580.33800000000008</v>
      </c>
      <c r="AB175" s="107">
        <f t="shared" si="59"/>
        <v>704.97900000000004</v>
      </c>
      <c r="AD175" s="107">
        <f t="shared" si="60"/>
        <v>366.3</v>
      </c>
      <c r="AE175" s="107">
        <f t="shared" si="61"/>
        <v>553.30000000000007</v>
      </c>
      <c r="AF175" s="107">
        <f t="shared" si="62"/>
        <v>672.1</v>
      </c>
      <c r="AH175" s="107">
        <v>409.92</v>
      </c>
      <c r="AI175" s="107">
        <v>560.32000000000005</v>
      </c>
      <c r="AJ175" s="107">
        <v>776.34</v>
      </c>
      <c r="AK175" s="107">
        <v>393.29</v>
      </c>
      <c r="AL175" s="107">
        <v>492.34</v>
      </c>
      <c r="AM175" s="107">
        <v>577.37</v>
      </c>
      <c r="AN175" s="107">
        <v>396.37</v>
      </c>
      <c r="AO175" s="107">
        <v>615.82000000000005</v>
      </c>
      <c r="AP175" s="107">
        <v>839.06</v>
      </c>
      <c r="AQ175" s="107">
        <v>383.27</v>
      </c>
      <c r="AR175" s="107">
        <v>527.58000000000004</v>
      </c>
      <c r="AS175" s="107">
        <v>640.89</v>
      </c>
      <c r="AT175" s="107">
        <v>333</v>
      </c>
      <c r="AU175" s="107">
        <v>503</v>
      </c>
      <c r="AV175" s="107">
        <v>611</v>
      </c>
    </row>
    <row r="176" spans="1:48" ht="30" customHeight="1" outlineLevel="2">
      <c r="A176" s="116" t="s">
        <v>582</v>
      </c>
      <c r="B176" s="126" t="s">
        <v>583</v>
      </c>
      <c r="C176" s="134" t="s">
        <v>242</v>
      </c>
      <c r="E176" s="105">
        <f>MIN(N176,R176,V176,Z176,AD176)</f>
        <v>641.70700000000011</v>
      </c>
      <c r="F176" s="105">
        <f>AVERAGE(N176,R176,V176,Z176,AD176)</f>
        <v>712.3424</v>
      </c>
      <c r="G176" s="105">
        <f>MAX(N176,R176,V176,Z176,AD176)</f>
        <v>789.47000000000014</v>
      </c>
      <c r="H176" s="106"/>
      <c r="I176" s="105">
        <f>MIN(T176,X176,AB176,AF176,P176)</f>
        <v>948.73900000000003</v>
      </c>
      <c r="J176" s="105">
        <f>AVERAGE(P176,T176,X176,AB176,AF176)</f>
        <v>1292.7772</v>
      </c>
      <c r="K176" s="105">
        <f>MAX(P176,T176,X176,AB176,AF176)</f>
        <v>1578.2910000000002</v>
      </c>
      <c r="N176" s="107">
        <f t="shared" si="48"/>
        <v>789.47000000000014</v>
      </c>
      <c r="O176" s="107">
        <f t="shared" si="49"/>
        <v>1086.3710000000001</v>
      </c>
      <c r="P176" s="107">
        <f t="shared" si="50"/>
        <v>1508.8150000000003</v>
      </c>
      <c r="R176" s="107">
        <f t="shared" si="51"/>
        <v>641.70700000000011</v>
      </c>
      <c r="S176" s="107">
        <f t="shared" si="52"/>
        <v>813.38400000000013</v>
      </c>
      <c r="T176" s="107">
        <f t="shared" si="53"/>
        <v>948.73900000000003</v>
      </c>
      <c r="V176" s="107">
        <f t="shared" si="54"/>
        <v>735.65800000000002</v>
      </c>
      <c r="W176" s="107">
        <f t="shared" si="55"/>
        <v>1162.8319999999999</v>
      </c>
      <c r="X176" s="107">
        <f t="shared" si="56"/>
        <v>1578.2910000000002</v>
      </c>
      <c r="Z176" s="107">
        <f t="shared" si="57"/>
        <v>679.87700000000007</v>
      </c>
      <c r="AA176" s="107">
        <f t="shared" si="58"/>
        <v>941.91899999999998</v>
      </c>
      <c r="AB176" s="107">
        <f t="shared" si="59"/>
        <v>1131.1410000000001</v>
      </c>
      <c r="AD176" s="107">
        <f t="shared" si="60"/>
        <v>715.00000000000011</v>
      </c>
      <c r="AE176" s="107">
        <f t="shared" si="61"/>
        <v>1074.7</v>
      </c>
      <c r="AF176" s="107">
        <f t="shared" si="62"/>
        <v>1296.9000000000001</v>
      </c>
      <c r="AH176" s="107">
        <v>717.7</v>
      </c>
      <c r="AI176" s="107">
        <v>987.61</v>
      </c>
      <c r="AJ176" s="107">
        <v>1371.65</v>
      </c>
      <c r="AK176" s="107">
        <v>583.37</v>
      </c>
      <c r="AL176" s="107">
        <v>739.44</v>
      </c>
      <c r="AM176" s="107">
        <v>862.49</v>
      </c>
      <c r="AN176" s="107">
        <v>668.78</v>
      </c>
      <c r="AO176" s="107">
        <v>1057.1199999999999</v>
      </c>
      <c r="AP176" s="107">
        <v>1434.81</v>
      </c>
      <c r="AQ176" s="107">
        <v>618.07000000000005</v>
      </c>
      <c r="AR176" s="107">
        <v>856.29</v>
      </c>
      <c r="AS176" s="107">
        <v>1028.31</v>
      </c>
      <c r="AT176" s="107">
        <v>650</v>
      </c>
      <c r="AU176" s="107">
        <v>977</v>
      </c>
      <c r="AV176" s="107">
        <v>1179</v>
      </c>
    </row>
    <row r="177" spans="1:48" ht="30" customHeight="1" outlineLevel="1">
      <c r="A177" s="109" t="s">
        <v>584</v>
      </c>
      <c r="B177" s="135" t="s">
        <v>585</v>
      </c>
      <c r="C177" s="111"/>
      <c r="N177" s="11" t="str">
        <f t="shared" si="48"/>
        <v/>
      </c>
      <c r="O177" s="11" t="str">
        <f t="shared" si="49"/>
        <v/>
      </c>
      <c r="P177" s="11" t="str">
        <f t="shared" si="50"/>
        <v/>
      </c>
      <c r="R177" s="11" t="str">
        <f t="shared" si="51"/>
        <v/>
      </c>
      <c r="S177" s="11" t="str">
        <f t="shared" si="52"/>
        <v/>
      </c>
      <c r="T177" s="11" t="str">
        <f t="shared" si="53"/>
        <v/>
      </c>
      <c r="V177" s="11" t="str">
        <f t="shared" si="54"/>
        <v/>
      </c>
      <c r="W177" s="11" t="str">
        <f t="shared" si="55"/>
        <v/>
      </c>
      <c r="X177" s="11" t="str">
        <f t="shared" si="56"/>
        <v/>
      </c>
      <c r="Z177" s="11" t="str">
        <f t="shared" si="57"/>
        <v/>
      </c>
      <c r="AA177" s="11" t="str">
        <f t="shared" si="58"/>
        <v/>
      </c>
      <c r="AB177" s="11" t="str">
        <f t="shared" si="59"/>
        <v/>
      </c>
      <c r="AD177" s="11" t="str">
        <f t="shared" si="60"/>
        <v/>
      </c>
      <c r="AE177" s="11" t="str">
        <f t="shared" si="61"/>
        <v/>
      </c>
      <c r="AF177" s="11" t="str">
        <f t="shared" si="62"/>
        <v/>
      </c>
    </row>
    <row r="178" spans="1:48" ht="30" customHeight="1" outlineLevel="2">
      <c r="A178" s="116" t="s">
        <v>586</v>
      </c>
      <c r="B178" s="126" t="s">
        <v>587</v>
      </c>
      <c r="C178" s="134" t="s">
        <v>242</v>
      </c>
      <c r="E178" s="105">
        <f>MIN(N178,R178,V178,Z178,AD178)</f>
        <v>300.3</v>
      </c>
      <c r="F178" s="105">
        <f>AVERAGE(N178,R178,V178,Z178,AD178)</f>
        <v>450.37740000000002</v>
      </c>
      <c r="G178" s="105">
        <f>MAX(N178,R178,V178,Z178,AD178)</f>
        <v>533.72</v>
      </c>
      <c r="H178" s="106"/>
      <c r="I178" s="105">
        <f>MIN(T178,X178,AB178,AF178,P178)</f>
        <v>554.40000000000009</v>
      </c>
      <c r="J178" s="105">
        <f>AVERAGE(P178,T178,X178,AB178,AF178)</f>
        <v>809.42180000000008</v>
      </c>
      <c r="K178" s="105">
        <f>MAX(P178,T178,X178,AB178,AF178)</f>
        <v>1080.2440000000001</v>
      </c>
      <c r="N178" s="107">
        <f t="shared" si="48"/>
        <v>486.44200000000006</v>
      </c>
      <c r="O178" s="107">
        <f t="shared" si="49"/>
        <v>662.82700000000011</v>
      </c>
      <c r="P178" s="107">
        <f t="shared" si="50"/>
        <v>915.86000000000013</v>
      </c>
      <c r="R178" s="107">
        <f t="shared" si="51"/>
        <v>533.72</v>
      </c>
      <c r="S178" s="107">
        <f t="shared" si="52"/>
        <v>674.03600000000006</v>
      </c>
      <c r="T178" s="107">
        <f t="shared" si="53"/>
        <v>788.48</v>
      </c>
      <c r="V178" s="107">
        <f t="shared" si="54"/>
        <v>507.92500000000007</v>
      </c>
      <c r="W178" s="107">
        <f t="shared" si="55"/>
        <v>793.90300000000013</v>
      </c>
      <c r="X178" s="107">
        <f t="shared" si="56"/>
        <v>1080.2440000000001</v>
      </c>
      <c r="Z178" s="107">
        <f t="shared" si="57"/>
        <v>423.50000000000006</v>
      </c>
      <c r="AA178" s="107">
        <f t="shared" si="58"/>
        <v>583</v>
      </c>
      <c r="AB178" s="107">
        <f t="shared" si="59"/>
        <v>708.12500000000011</v>
      </c>
      <c r="AD178" s="107">
        <f t="shared" si="60"/>
        <v>300.3</v>
      </c>
      <c r="AE178" s="107">
        <f t="shared" si="61"/>
        <v>455.40000000000003</v>
      </c>
      <c r="AF178" s="107">
        <f t="shared" si="62"/>
        <v>554.40000000000009</v>
      </c>
      <c r="AH178" s="107">
        <v>442.22</v>
      </c>
      <c r="AI178" s="107">
        <v>602.57000000000005</v>
      </c>
      <c r="AJ178" s="107">
        <v>832.6</v>
      </c>
      <c r="AK178" s="107">
        <v>485.2</v>
      </c>
      <c r="AL178" s="107">
        <v>612.76</v>
      </c>
      <c r="AM178" s="107">
        <v>716.8</v>
      </c>
      <c r="AN178" s="107">
        <v>461.75</v>
      </c>
      <c r="AO178" s="107">
        <v>721.73</v>
      </c>
      <c r="AP178" s="107">
        <v>982.04</v>
      </c>
      <c r="AQ178" s="107">
        <v>385</v>
      </c>
      <c r="AR178" s="107">
        <v>530</v>
      </c>
      <c r="AS178" s="107">
        <v>643.75</v>
      </c>
      <c r="AT178" s="107">
        <v>273</v>
      </c>
      <c r="AU178" s="107">
        <v>414</v>
      </c>
      <c r="AV178" s="107">
        <v>504</v>
      </c>
    </row>
    <row r="179" spans="1:48" ht="30" customHeight="1" outlineLevel="2">
      <c r="A179" s="116" t="s">
        <v>588</v>
      </c>
      <c r="B179" s="126" t="s">
        <v>589</v>
      </c>
      <c r="C179" s="134" t="s">
        <v>242</v>
      </c>
      <c r="E179" s="105">
        <f>MIN(N179,R179,V179,Z179,AD179)</f>
        <v>495.93500000000006</v>
      </c>
      <c r="F179" s="105">
        <f>AVERAGE(N179,R179,V179,Z179,AD179)</f>
        <v>693.25520000000006</v>
      </c>
      <c r="G179" s="105">
        <f>MAX(N179,R179,V179,Z179,AD179)</f>
        <v>951.89600000000007</v>
      </c>
      <c r="H179" s="106"/>
      <c r="I179" s="105">
        <f>MIN(T179,X179,AB179,AF179,P179)</f>
        <v>913.00000000000011</v>
      </c>
      <c r="J179" s="105">
        <f>AVERAGE(P179,T179,X179,AB179,AF179)</f>
        <v>1214.4792000000002</v>
      </c>
      <c r="K179" s="105">
        <f>MAX(P179,T179,X179,AB179,AF179)</f>
        <v>1415.7440000000001</v>
      </c>
      <c r="N179" s="107">
        <f t="shared" si="48"/>
        <v>714.80200000000013</v>
      </c>
      <c r="O179" s="107">
        <f t="shared" si="49"/>
        <v>978.83500000000015</v>
      </c>
      <c r="P179" s="107">
        <f t="shared" si="50"/>
        <v>1355.0790000000002</v>
      </c>
      <c r="R179" s="107">
        <f t="shared" si="51"/>
        <v>951.89600000000007</v>
      </c>
      <c r="S179" s="107">
        <f t="shared" si="52"/>
        <v>1217.6670000000001</v>
      </c>
      <c r="T179" s="107">
        <f t="shared" si="53"/>
        <v>1415.7440000000001</v>
      </c>
      <c r="V179" s="107">
        <f t="shared" si="54"/>
        <v>495.93500000000006</v>
      </c>
      <c r="W179" s="107">
        <f t="shared" si="55"/>
        <v>774.48800000000006</v>
      </c>
      <c r="X179" s="107">
        <f t="shared" si="56"/>
        <v>1054.0310000000002</v>
      </c>
      <c r="Z179" s="107">
        <f t="shared" si="57"/>
        <v>803.14300000000003</v>
      </c>
      <c r="AA179" s="107">
        <f t="shared" si="58"/>
        <v>1114.498</v>
      </c>
      <c r="AB179" s="107">
        <f t="shared" si="59"/>
        <v>1334.5420000000001</v>
      </c>
      <c r="AD179" s="107">
        <f t="shared" si="60"/>
        <v>500.50000000000006</v>
      </c>
      <c r="AE179" s="107">
        <f t="shared" si="61"/>
        <v>754.6</v>
      </c>
      <c r="AF179" s="107">
        <f t="shared" si="62"/>
        <v>913.00000000000011</v>
      </c>
      <c r="AH179" s="107">
        <v>649.82000000000005</v>
      </c>
      <c r="AI179" s="107">
        <v>889.85</v>
      </c>
      <c r="AJ179" s="107">
        <v>1231.8900000000001</v>
      </c>
      <c r="AK179" s="107">
        <v>865.36</v>
      </c>
      <c r="AL179" s="107">
        <v>1106.97</v>
      </c>
      <c r="AM179" s="107">
        <v>1287.04</v>
      </c>
      <c r="AN179" s="107">
        <v>450.85</v>
      </c>
      <c r="AO179" s="107">
        <v>704.08</v>
      </c>
      <c r="AP179" s="107">
        <v>958.21</v>
      </c>
      <c r="AQ179" s="107">
        <v>730.13</v>
      </c>
      <c r="AR179" s="107">
        <v>1013.18</v>
      </c>
      <c r="AS179" s="107">
        <v>1213.22</v>
      </c>
      <c r="AT179" s="107">
        <v>455</v>
      </c>
      <c r="AU179" s="107">
        <v>686</v>
      </c>
      <c r="AV179" s="107">
        <v>830</v>
      </c>
    </row>
    <row r="180" spans="1:48" ht="30" customHeight="1" outlineLevel="2">
      <c r="A180" s="116" t="s">
        <v>590</v>
      </c>
      <c r="B180" s="126" t="s">
        <v>591</v>
      </c>
      <c r="C180" s="134" t="s">
        <v>242</v>
      </c>
      <c r="E180" s="105">
        <f>MIN(N180,R180,V180,Z180,AD180)</f>
        <v>735.65800000000002</v>
      </c>
      <c r="F180" s="105">
        <f>AVERAGE(N180,R180,V180,Z180,AD180)</f>
        <v>1156.6566</v>
      </c>
      <c r="G180" s="105">
        <f>MAX(N180,R180,V180,Z180,AD180)</f>
        <v>1788.2480000000003</v>
      </c>
      <c r="H180" s="106"/>
      <c r="I180" s="105">
        <f>MIN(T180,X180,AB180,AF180,P180)</f>
        <v>1578.2910000000002</v>
      </c>
      <c r="J180" s="105">
        <f>AVERAGE(P180,T180,X180,AB180,AF180)</f>
        <v>2009.6252000000004</v>
      </c>
      <c r="K180" s="105">
        <f>MAX(P180,T180,X180,AB180,AF180)</f>
        <v>2670.2720000000004</v>
      </c>
      <c r="N180" s="107">
        <f t="shared" si="48"/>
        <v>1061.3240000000001</v>
      </c>
      <c r="O180" s="107">
        <f t="shared" si="49"/>
        <v>1456.8290000000002</v>
      </c>
      <c r="P180" s="107">
        <f t="shared" si="50"/>
        <v>2017.8950000000002</v>
      </c>
      <c r="R180" s="107">
        <f t="shared" si="51"/>
        <v>1788.2480000000003</v>
      </c>
      <c r="S180" s="107">
        <f t="shared" si="52"/>
        <v>2304.9180000000001</v>
      </c>
      <c r="T180" s="107">
        <f t="shared" si="53"/>
        <v>2670.2720000000004</v>
      </c>
      <c r="V180" s="107">
        <f t="shared" si="54"/>
        <v>735.65800000000002</v>
      </c>
      <c r="W180" s="107">
        <f t="shared" si="55"/>
        <v>1162.8319999999999</v>
      </c>
      <c r="X180" s="107">
        <f t="shared" si="56"/>
        <v>1578.2910000000002</v>
      </c>
      <c r="Z180" s="107">
        <f t="shared" si="57"/>
        <v>1298.2530000000002</v>
      </c>
      <c r="AA180" s="107">
        <f t="shared" si="58"/>
        <v>1807.652</v>
      </c>
      <c r="AB180" s="107">
        <f t="shared" si="59"/>
        <v>2151.4680000000003</v>
      </c>
      <c r="AD180" s="107">
        <f t="shared" si="60"/>
        <v>899.80000000000007</v>
      </c>
      <c r="AE180" s="107">
        <f t="shared" si="61"/>
        <v>1351.9</v>
      </c>
      <c r="AF180" s="107">
        <f t="shared" si="62"/>
        <v>1630.2</v>
      </c>
      <c r="AH180" s="107">
        <v>964.84</v>
      </c>
      <c r="AI180" s="107">
        <v>1324.39</v>
      </c>
      <c r="AJ180" s="107">
        <v>1834.45</v>
      </c>
      <c r="AK180" s="107">
        <v>1625.68</v>
      </c>
      <c r="AL180" s="107">
        <v>2095.38</v>
      </c>
      <c r="AM180" s="107">
        <v>2427.52</v>
      </c>
      <c r="AN180" s="107">
        <v>668.78</v>
      </c>
      <c r="AO180" s="107">
        <v>1057.1199999999999</v>
      </c>
      <c r="AP180" s="107">
        <v>1434.81</v>
      </c>
      <c r="AQ180" s="107">
        <v>1180.23</v>
      </c>
      <c r="AR180" s="107">
        <v>1643.32</v>
      </c>
      <c r="AS180" s="107">
        <v>1955.88</v>
      </c>
      <c r="AT180" s="107">
        <v>818</v>
      </c>
      <c r="AU180" s="107">
        <v>1229</v>
      </c>
      <c r="AV180" s="107">
        <v>1482</v>
      </c>
    </row>
    <row r="181" spans="1:48" ht="30" customHeight="1" outlineLevel="2">
      <c r="A181" s="116" t="s">
        <v>592</v>
      </c>
      <c r="B181" s="126" t="s">
        <v>593</v>
      </c>
      <c r="C181" s="134" t="s">
        <v>242</v>
      </c>
      <c r="E181" s="105">
        <f>MIN(N181,R181,V181,Z181,AD181)</f>
        <v>975.37000000000012</v>
      </c>
      <c r="F181" s="105">
        <f>AVERAGE(N181,R181,V181,Z181,AD181)</f>
        <v>1771.4554000000003</v>
      </c>
      <c r="G181" s="105">
        <f>MAX(N181,R181,V181,Z181,AD181)</f>
        <v>2624.6000000000004</v>
      </c>
      <c r="H181" s="106"/>
      <c r="I181" s="105">
        <f>MIN(T181,X181,AB181,AF181,P181)</f>
        <v>2102.5510000000004</v>
      </c>
      <c r="J181" s="105">
        <f>AVERAGE(P181,T181,X181,AB181,AF181)</f>
        <v>3107.0644000000002</v>
      </c>
      <c r="K181" s="105">
        <f>MAX(P181,T181,X181,AB181,AF181)</f>
        <v>4190.0650000000005</v>
      </c>
      <c r="N181" s="107">
        <f t="shared" si="48"/>
        <v>2179.1990000000001</v>
      </c>
      <c r="O181" s="107">
        <f t="shared" si="49"/>
        <v>3012.9440000000004</v>
      </c>
      <c r="P181" s="107">
        <f t="shared" si="50"/>
        <v>4190.0650000000005</v>
      </c>
      <c r="R181" s="107">
        <f t="shared" si="51"/>
        <v>2624.6000000000004</v>
      </c>
      <c r="S181" s="107">
        <f t="shared" si="52"/>
        <v>3392.1800000000003</v>
      </c>
      <c r="T181" s="107">
        <f t="shared" si="53"/>
        <v>3924.8</v>
      </c>
      <c r="V181" s="107">
        <f t="shared" si="54"/>
        <v>975.37000000000012</v>
      </c>
      <c r="W181" s="107">
        <f t="shared" si="55"/>
        <v>1551.1760000000002</v>
      </c>
      <c r="X181" s="107">
        <f t="shared" si="56"/>
        <v>2102.5510000000004</v>
      </c>
      <c r="Z181" s="107">
        <f t="shared" si="57"/>
        <v>1595.308</v>
      </c>
      <c r="AA181" s="107">
        <f t="shared" si="58"/>
        <v>2223.5290000000005</v>
      </c>
      <c r="AB181" s="107">
        <f t="shared" si="59"/>
        <v>2641.6060000000002</v>
      </c>
      <c r="AD181" s="107">
        <f t="shared" si="60"/>
        <v>1482.8000000000002</v>
      </c>
      <c r="AE181" s="107">
        <f t="shared" si="61"/>
        <v>2225.3000000000002</v>
      </c>
      <c r="AF181" s="107">
        <f t="shared" si="62"/>
        <v>2676.3</v>
      </c>
      <c r="AH181" s="107">
        <v>1981.09</v>
      </c>
      <c r="AI181" s="107">
        <v>2739.04</v>
      </c>
      <c r="AJ181" s="107">
        <v>3809.15</v>
      </c>
      <c r="AK181" s="107">
        <v>2386</v>
      </c>
      <c r="AL181" s="107">
        <v>3083.8</v>
      </c>
      <c r="AM181" s="107">
        <v>3568</v>
      </c>
      <c r="AN181" s="107">
        <v>886.7</v>
      </c>
      <c r="AO181" s="107">
        <v>1410.16</v>
      </c>
      <c r="AP181" s="107">
        <v>1911.41</v>
      </c>
      <c r="AQ181" s="107">
        <v>1450.28</v>
      </c>
      <c r="AR181" s="107">
        <v>2021.39</v>
      </c>
      <c r="AS181" s="107">
        <v>2401.46</v>
      </c>
      <c r="AT181" s="107">
        <v>1348</v>
      </c>
      <c r="AU181" s="107">
        <v>2023</v>
      </c>
      <c r="AV181" s="107">
        <v>2433</v>
      </c>
    </row>
    <row r="182" spans="1:48" ht="30" customHeight="1" outlineLevel="2">
      <c r="A182" s="116" t="s">
        <v>594</v>
      </c>
      <c r="B182" s="126" t="s">
        <v>595</v>
      </c>
      <c r="C182" s="134" t="s">
        <v>242</v>
      </c>
      <c r="E182" s="105">
        <f>MIN(N182,R182,V182,Z182,AD182)</f>
        <v>300.3</v>
      </c>
      <c r="F182" s="105">
        <f>AVERAGE(N182,R182,V182,Z182,AD182)</f>
        <v>393.25000000000006</v>
      </c>
      <c r="G182" s="105">
        <f>MAX(N182,R182,V182,Z182,AD182)</f>
        <v>477.96100000000001</v>
      </c>
      <c r="H182" s="106"/>
      <c r="I182" s="105">
        <f>MIN(T182,X182,AB182,AF182,P182)</f>
        <v>554.40000000000009</v>
      </c>
      <c r="J182" s="105">
        <f>AVERAGE(P182,T182,X182,AB182,AF182)</f>
        <v>708.32080000000008</v>
      </c>
      <c r="K182" s="105">
        <f>MAX(P182,T182,X182,AB182,AF182)</f>
        <v>1014.7060000000001</v>
      </c>
      <c r="N182" s="107">
        <f t="shared" si="48"/>
        <v>376.24400000000003</v>
      </c>
      <c r="O182" s="107">
        <f t="shared" si="49"/>
        <v>508.81600000000003</v>
      </c>
      <c r="P182" s="107">
        <f t="shared" si="50"/>
        <v>700.23800000000006</v>
      </c>
      <c r="R182" s="107">
        <f t="shared" si="51"/>
        <v>429.17600000000004</v>
      </c>
      <c r="S182" s="107">
        <f t="shared" si="52"/>
        <v>538.13099999999997</v>
      </c>
      <c r="T182" s="107">
        <f t="shared" si="53"/>
        <v>631.6640000000001</v>
      </c>
      <c r="V182" s="107">
        <f t="shared" si="54"/>
        <v>477.96100000000001</v>
      </c>
      <c r="W182" s="107">
        <f t="shared" si="55"/>
        <v>745.36000000000013</v>
      </c>
      <c r="X182" s="107">
        <f t="shared" si="56"/>
        <v>1014.7060000000001</v>
      </c>
      <c r="Z182" s="107">
        <f t="shared" si="57"/>
        <v>382.56900000000007</v>
      </c>
      <c r="AA182" s="107">
        <f t="shared" si="58"/>
        <v>525.70100000000002</v>
      </c>
      <c r="AB182" s="107">
        <f t="shared" si="59"/>
        <v>640.59600000000012</v>
      </c>
      <c r="AD182" s="107">
        <f t="shared" si="60"/>
        <v>300.3</v>
      </c>
      <c r="AE182" s="107">
        <f t="shared" si="61"/>
        <v>455.40000000000003</v>
      </c>
      <c r="AF182" s="107">
        <f t="shared" si="62"/>
        <v>554.40000000000009</v>
      </c>
      <c r="AH182" s="107">
        <v>342.04</v>
      </c>
      <c r="AI182" s="107">
        <v>462.56</v>
      </c>
      <c r="AJ182" s="107">
        <v>636.58000000000004</v>
      </c>
      <c r="AK182" s="107">
        <v>390.16</v>
      </c>
      <c r="AL182" s="107">
        <v>489.21</v>
      </c>
      <c r="AM182" s="107">
        <v>574.24</v>
      </c>
      <c r="AN182" s="107">
        <v>434.51</v>
      </c>
      <c r="AO182" s="107">
        <v>677.6</v>
      </c>
      <c r="AP182" s="107">
        <v>922.46</v>
      </c>
      <c r="AQ182" s="107">
        <v>347.79</v>
      </c>
      <c r="AR182" s="107">
        <v>477.91</v>
      </c>
      <c r="AS182" s="107">
        <v>582.36</v>
      </c>
      <c r="AT182" s="107">
        <v>273</v>
      </c>
      <c r="AU182" s="107">
        <v>414</v>
      </c>
      <c r="AV182" s="107">
        <v>504</v>
      </c>
    </row>
    <row r="183" spans="1:48" ht="30" customHeight="1" outlineLevel="1">
      <c r="A183" s="109" t="s">
        <v>596</v>
      </c>
      <c r="B183" s="135" t="s">
        <v>597</v>
      </c>
      <c r="C183" s="111"/>
      <c r="N183" s="11" t="str">
        <f t="shared" si="48"/>
        <v/>
      </c>
      <c r="O183" s="11" t="str">
        <f t="shared" si="49"/>
        <v/>
      </c>
      <c r="P183" s="11" t="str">
        <f t="shared" si="50"/>
        <v/>
      </c>
      <c r="R183" s="11" t="str">
        <f t="shared" si="51"/>
        <v/>
      </c>
      <c r="S183" s="11" t="str">
        <f t="shared" si="52"/>
        <v/>
      </c>
      <c r="T183" s="11" t="str">
        <f t="shared" si="53"/>
        <v/>
      </c>
      <c r="V183" s="11" t="str">
        <f t="shared" si="54"/>
        <v/>
      </c>
      <c r="W183" s="11" t="str">
        <f t="shared" si="55"/>
        <v/>
      </c>
      <c r="X183" s="11" t="str">
        <f t="shared" si="56"/>
        <v/>
      </c>
      <c r="Z183" s="11" t="str">
        <f t="shared" si="57"/>
        <v/>
      </c>
      <c r="AA183" s="11" t="str">
        <f t="shared" si="58"/>
        <v/>
      </c>
      <c r="AB183" s="11" t="str">
        <f t="shared" si="59"/>
        <v/>
      </c>
      <c r="AD183" s="11" t="str">
        <f t="shared" si="60"/>
        <v/>
      </c>
      <c r="AE183" s="11" t="str">
        <f t="shared" si="61"/>
        <v/>
      </c>
      <c r="AF183" s="11" t="str">
        <f t="shared" si="62"/>
        <v/>
      </c>
    </row>
    <row r="184" spans="1:48" ht="30" customHeight="1" outlineLevel="2">
      <c r="A184" s="116" t="s">
        <v>598</v>
      </c>
      <c r="B184" s="118" t="s">
        <v>599</v>
      </c>
      <c r="C184" s="134" t="s">
        <v>242</v>
      </c>
      <c r="E184" s="105">
        <f>MIN(N184,R184,V184,Z184,AD184)</f>
        <v>536.44800000000009</v>
      </c>
      <c r="F184" s="105">
        <f>AVERAGE(N184,R184,V184,Z184,AD184)</f>
        <v>896.54620000000011</v>
      </c>
      <c r="G184" s="105">
        <f>MAX(N184,R184,V184,Z184,AD184)</f>
        <v>1454.816</v>
      </c>
      <c r="H184" s="106"/>
      <c r="I184" s="105">
        <f>MIN(T184,X184,AB184,AF184,P184)</f>
        <v>765.072</v>
      </c>
      <c r="J184" s="105">
        <f>AVERAGE(P184,T184,X184,AB184,AF184)</f>
        <v>1525.7154000000003</v>
      </c>
      <c r="K184" s="105">
        <f>MAX(P184,T184,X184,AB184,AF184)</f>
        <v>3151.1040000000003</v>
      </c>
      <c r="N184" s="107">
        <f t="shared" si="48"/>
        <v>622.76499999999999</v>
      </c>
      <c r="O184" s="107">
        <f t="shared" si="49"/>
        <v>777.24900000000014</v>
      </c>
      <c r="P184" s="107">
        <f t="shared" si="50"/>
        <v>999.47100000000012</v>
      </c>
      <c r="R184" s="107">
        <f t="shared" si="51"/>
        <v>536.44800000000009</v>
      </c>
      <c r="S184" s="107">
        <f t="shared" si="52"/>
        <v>661.07800000000009</v>
      </c>
      <c r="T184" s="107">
        <f t="shared" si="53"/>
        <v>765.072</v>
      </c>
      <c r="V184" s="107">
        <f t="shared" si="54"/>
        <v>1454.816</v>
      </c>
      <c r="W184" s="107">
        <f t="shared" si="55"/>
        <v>2327.875</v>
      </c>
      <c r="X184" s="107">
        <f t="shared" si="56"/>
        <v>3151.1040000000003</v>
      </c>
      <c r="Z184" s="107">
        <f t="shared" si="57"/>
        <v>565.202</v>
      </c>
      <c r="AA184" s="107">
        <f t="shared" si="58"/>
        <v>781.3850000000001</v>
      </c>
      <c r="AB184" s="107">
        <f t="shared" si="59"/>
        <v>941.93000000000006</v>
      </c>
      <c r="AD184" s="107">
        <f t="shared" si="60"/>
        <v>1303.5</v>
      </c>
      <c r="AE184" s="107">
        <f t="shared" si="61"/>
        <v>1591.7</v>
      </c>
      <c r="AF184" s="107">
        <f t="shared" si="62"/>
        <v>1771.0000000000002</v>
      </c>
      <c r="AH184" s="107">
        <v>566.15</v>
      </c>
      <c r="AI184" s="107">
        <v>706.59</v>
      </c>
      <c r="AJ184" s="107">
        <v>908.61</v>
      </c>
      <c r="AK184" s="107">
        <v>487.68</v>
      </c>
      <c r="AL184" s="107">
        <v>600.98</v>
      </c>
      <c r="AM184" s="107">
        <v>695.52</v>
      </c>
      <c r="AN184" s="107">
        <v>1322.56</v>
      </c>
      <c r="AO184" s="107">
        <v>2116.25</v>
      </c>
      <c r="AP184" s="107">
        <v>2864.64</v>
      </c>
      <c r="AQ184" s="107">
        <v>513.81999999999994</v>
      </c>
      <c r="AR184" s="107">
        <v>710.35</v>
      </c>
      <c r="AS184" s="107">
        <v>856.3</v>
      </c>
      <c r="AT184" s="107">
        <v>1185</v>
      </c>
      <c r="AU184" s="107">
        <v>1447</v>
      </c>
      <c r="AV184" s="107">
        <v>1610</v>
      </c>
    </row>
    <row r="185" spans="1:48" ht="30" customHeight="1" outlineLevel="2">
      <c r="A185" s="116" t="s">
        <v>600</v>
      </c>
      <c r="B185" s="126" t="s">
        <v>601</v>
      </c>
      <c r="C185" s="134" t="s">
        <v>242</v>
      </c>
      <c r="E185" s="105">
        <f>MIN(N185,R185,V185,Z185,AD185)</f>
        <v>483.45000000000005</v>
      </c>
      <c r="F185" s="105">
        <f>AVERAGE(N185,R185,V185,Z185,AD185)</f>
        <v>748.31240000000003</v>
      </c>
      <c r="G185" s="105">
        <f>MAX(N185,R185,V185,Z185,AD185)</f>
        <v>1230.9000000000001</v>
      </c>
      <c r="H185" s="106"/>
      <c r="I185" s="105">
        <f>MIN(T185,X185,AB185,AF185,P185)</f>
        <v>686.6640000000001</v>
      </c>
      <c r="J185" s="105">
        <f>AVERAGE(P185,T185,X185,AB185,AF185)</f>
        <v>1225.8224</v>
      </c>
      <c r="K185" s="105">
        <f>MAX(P185,T185,X185,AB185,AF185)</f>
        <v>2102.5510000000004</v>
      </c>
      <c r="N185" s="107">
        <f t="shared" si="48"/>
        <v>567.66599999999994</v>
      </c>
      <c r="O185" s="107">
        <f t="shared" si="49"/>
        <v>700.23800000000006</v>
      </c>
      <c r="P185" s="107">
        <f t="shared" si="50"/>
        <v>891.66000000000008</v>
      </c>
      <c r="R185" s="107">
        <f t="shared" si="51"/>
        <v>484.17600000000004</v>
      </c>
      <c r="S185" s="107">
        <f t="shared" si="52"/>
        <v>593.13100000000009</v>
      </c>
      <c r="T185" s="107">
        <f t="shared" si="53"/>
        <v>686.6640000000001</v>
      </c>
      <c r="V185" s="107">
        <f t="shared" si="54"/>
        <v>975.37000000000012</v>
      </c>
      <c r="W185" s="107">
        <f t="shared" si="55"/>
        <v>1551.1760000000002</v>
      </c>
      <c r="X185" s="107">
        <f t="shared" si="56"/>
        <v>2102.5510000000004</v>
      </c>
      <c r="Z185" s="107">
        <f t="shared" si="57"/>
        <v>483.45000000000005</v>
      </c>
      <c r="AA185" s="107">
        <f t="shared" si="58"/>
        <v>666.93</v>
      </c>
      <c r="AB185" s="107">
        <f t="shared" si="59"/>
        <v>807.03700000000003</v>
      </c>
      <c r="AD185" s="107">
        <f t="shared" si="60"/>
        <v>1230.9000000000001</v>
      </c>
      <c r="AE185" s="107">
        <f t="shared" si="61"/>
        <v>1483.9</v>
      </c>
      <c r="AF185" s="107">
        <f t="shared" si="62"/>
        <v>1641.2</v>
      </c>
      <c r="AH185" s="107">
        <v>516.05999999999995</v>
      </c>
      <c r="AI185" s="107">
        <v>636.58000000000004</v>
      </c>
      <c r="AJ185" s="107">
        <v>810.6</v>
      </c>
      <c r="AK185" s="107">
        <v>440.16</v>
      </c>
      <c r="AL185" s="107">
        <v>539.21</v>
      </c>
      <c r="AM185" s="107">
        <v>624.24</v>
      </c>
      <c r="AN185" s="107">
        <v>886.7</v>
      </c>
      <c r="AO185" s="107">
        <v>1410.16</v>
      </c>
      <c r="AP185" s="107">
        <v>1911.41</v>
      </c>
      <c r="AQ185" s="107">
        <v>439.5</v>
      </c>
      <c r="AR185" s="107">
        <v>606.29999999999995</v>
      </c>
      <c r="AS185" s="107">
        <v>733.67</v>
      </c>
      <c r="AT185" s="107">
        <v>1119</v>
      </c>
      <c r="AU185" s="107">
        <v>1349</v>
      </c>
      <c r="AV185" s="107">
        <v>1492</v>
      </c>
    </row>
    <row r="186" spans="1:48" ht="30" customHeight="1" outlineLevel="1">
      <c r="A186" s="109" t="s">
        <v>602</v>
      </c>
      <c r="B186" s="135" t="s">
        <v>603</v>
      </c>
      <c r="C186" s="111"/>
      <c r="N186" s="11" t="str">
        <f t="shared" si="48"/>
        <v/>
      </c>
      <c r="O186" s="11" t="str">
        <f t="shared" si="49"/>
        <v/>
      </c>
      <c r="P186" s="11" t="str">
        <f t="shared" si="50"/>
        <v/>
      </c>
      <c r="R186" s="11" t="str">
        <f t="shared" si="51"/>
        <v/>
      </c>
      <c r="S186" s="11" t="str">
        <f t="shared" si="52"/>
        <v/>
      </c>
      <c r="T186" s="11" t="str">
        <f t="shared" si="53"/>
        <v/>
      </c>
      <c r="V186" s="11" t="str">
        <f t="shared" si="54"/>
        <v/>
      </c>
      <c r="W186" s="11" t="str">
        <f t="shared" si="55"/>
        <v/>
      </c>
      <c r="X186" s="11" t="str">
        <f t="shared" si="56"/>
        <v/>
      </c>
      <c r="Z186" s="11" t="str">
        <f t="shared" si="57"/>
        <v/>
      </c>
      <c r="AA186" s="11" t="str">
        <f t="shared" si="58"/>
        <v/>
      </c>
      <c r="AB186" s="11" t="str">
        <f t="shared" si="59"/>
        <v/>
      </c>
      <c r="AD186" s="11" t="str">
        <f t="shared" si="60"/>
        <v/>
      </c>
      <c r="AE186" s="11" t="str">
        <f t="shared" si="61"/>
        <v/>
      </c>
      <c r="AF186" s="11" t="str">
        <f t="shared" si="62"/>
        <v/>
      </c>
    </row>
    <row r="187" spans="1:48" ht="30" customHeight="1" outlineLevel="2" thickBot="1">
      <c r="A187" s="116" t="s">
        <v>604</v>
      </c>
      <c r="B187" s="126" t="s">
        <v>605</v>
      </c>
      <c r="C187" s="134" t="s">
        <v>242</v>
      </c>
      <c r="E187" s="105">
        <f>MIN(N187,R187,V187,Z187,AD187)</f>
        <v>115.50000000000001</v>
      </c>
      <c r="F187" s="105">
        <f>AVERAGE(N187,R187,V187,Z187,AD187)</f>
        <v>437.41280000000006</v>
      </c>
      <c r="G187" s="105">
        <f>MAX(N187,R187,V187,Z187,AD187)</f>
        <v>638.26400000000001</v>
      </c>
      <c r="H187" s="106"/>
      <c r="I187" s="105">
        <f>MIN(T187,X187,AB187,AF187,P187)</f>
        <v>221.10000000000002</v>
      </c>
      <c r="J187" s="105">
        <f>AVERAGE(P187,T187,X187,AB187,AF187)</f>
        <v>777.93320000000006</v>
      </c>
      <c r="K187" s="105">
        <f>MAX(P187,T187,X187,AB187,AF187)</f>
        <v>1054.0530000000001</v>
      </c>
      <c r="N187" s="107">
        <f t="shared" si="48"/>
        <v>486.44200000000006</v>
      </c>
      <c r="O187" s="107">
        <f t="shared" si="49"/>
        <v>662.82700000000011</v>
      </c>
      <c r="P187" s="107">
        <f t="shared" si="50"/>
        <v>915.86000000000013</v>
      </c>
      <c r="R187" s="107">
        <f t="shared" si="51"/>
        <v>638.26400000000001</v>
      </c>
      <c r="S187" s="107">
        <f t="shared" si="52"/>
        <v>809.94100000000003</v>
      </c>
      <c r="T187" s="107">
        <f t="shared" si="53"/>
        <v>945.29600000000005</v>
      </c>
      <c r="V187" s="107">
        <f t="shared" si="54"/>
        <v>495.94600000000008</v>
      </c>
      <c r="W187" s="107">
        <f t="shared" si="55"/>
        <v>774.5100000000001</v>
      </c>
      <c r="X187" s="107">
        <f t="shared" si="56"/>
        <v>1054.0530000000001</v>
      </c>
      <c r="Z187" s="107">
        <f t="shared" si="57"/>
        <v>450.91200000000003</v>
      </c>
      <c r="AA187" s="107">
        <f t="shared" si="58"/>
        <v>621.37900000000002</v>
      </c>
      <c r="AB187" s="107">
        <f t="shared" si="59"/>
        <v>753.35700000000008</v>
      </c>
      <c r="AD187" s="107">
        <f t="shared" si="60"/>
        <v>115.50000000000001</v>
      </c>
      <c r="AE187" s="107">
        <f t="shared" si="61"/>
        <v>178.20000000000002</v>
      </c>
      <c r="AF187" s="107">
        <f t="shared" si="62"/>
        <v>221.10000000000002</v>
      </c>
      <c r="AH187" s="107">
        <v>442.22</v>
      </c>
      <c r="AI187" s="107">
        <v>602.57000000000005</v>
      </c>
      <c r="AJ187" s="107">
        <v>832.6</v>
      </c>
      <c r="AK187" s="107">
        <v>580.24</v>
      </c>
      <c r="AL187" s="107">
        <v>736.31</v>
      </c>
      <c r="AM187" s="107">
        <v>859.36</v>
      </c>
      <c r="AN187" s="107">
        <v>450.86</v>
      </c>
      <c r="AO187" s="107">
        <v>704.1</v>
      </c>
      <c r="AP187" s="107">
        <v>958.23</v>
      </c>
      <c r="AQ187" s="107">
        <v>409.92</v>
      </c>
      <c r="AR187" s="107">
        <v>564.89</v>
      </c>
      <c r="AS187" s="107">
        <v>684.87</v>
      </c>
      <c r="AT187" s="107">
        <v>105</v>
      </c>
      <c r="AU187" s="107">
        <v>162</v>
      </c>
      <c r="AV187" s="107">
        <v>201</v>
      </c>
    </row>
    <row r="188" spans="1:48" ht="30" customHeight="1" thickBot="1">
      <c r="A188" s="96" t="s">
        <v>606</v>
      </c>
      <c r="B188" s="115" t="s">
        <v>607</v>
      </c>
      <c r="C188" s="98"/>
      <c r="N188" s="11" t="str">
        <f t="shared" si="48"/>
        <v/>
      </c>
      <c r="O188" s="11" t="str">
        <f t="shared" si="49"/>
        <v/>
      </c>
      <c r="P188" s="11" t="str">
        <f t="shared" si="50"/>
        <v/>
      </c>
      <c r="R188" s="11" t="str">
        <f t="shared" si="51"/>
        <v/>
      </c>
      <c r="S188" s="11" t="str">
        <f t="shared" si="52"/>
        <v/>
      </c>
      <c r="T188" s="11" t="str">
        <f t="shared" si="53"/>
        <v/>
      </c>
      <c r="V188" s="11" t="str">
        <f t="shared" si="54"/>
        <v/>
      </c>
      <c r="W188" s="11" t="str">
        <f t="shared" si="55"/>
        <v/>
      </c>
      <c r="X188" s="11" t="str">
        <f t="shared" si="56"/>
        <v/>
      </c>
      <c r="Z188" s="11" t="str">
        <f t="shared" si="57"/>
        <v/>
      </c>
      <c r="AA188" s="11" t="str">
        <f t="shared" si="58"/>
        <v/>
      </c>
      <c r="AB188" s="11" t="str">
        <f t="shared" si="59"/>
        <v/>
      </c>
      <c r="AD188" s="11" t="str">
        <f t="shared" si="60"/>
        <v/>
      </c>
      <c r="AE188" s="11" t="str">
        <f t="shared" si="61"/>
        <v/>
      </c>
      <c r="AF188" s="11" t="str">
        <f t="shared" si="62"/>
        <v/>
      </c>
    </row>
    <row r="189" spans="1:48" ht="30" customHeight="1" outlineLevel="1">
      <c r="A189" s="127" t="s">
        <v>608</v>
      </c>
      <c r="B189" s="133" t="s">
        <v>609</v>
      </c>
      <c r="C189" s="101"/>
      <c r="N189" s="11" t="str">
        <f t="shared" si="48"/>
        <v/>
      </c>
      <c r="O189" s="11" t="str">
        <f t="shared" si="49"/>
        <v/>
      </c>
      <c r="P189" s="11" t="str">
        <f t="shared" si="50"/>
        <v/>
      </c>
      <c r="R189" s="11" t="str">
        <f t="shared" si="51"/>
        <v/>
      </c>
      <c r="S189" s="11" t="str">
        <f t="shared" si="52"/>
        <v/>
      </c>
      <c r="T189" s="11" t="str">
        <f t="shared" si="53"/>
        <v/>
      </c>
      <c r="V189" s="11" t="str">
        <f t="shared" si="54"/>
        <v/>
      </c>
      <c r="W189" s="11" t="str">
        <f t="shared" si="55"/>
        <v/>
      </c>
      <c r="X189" s="11" t="str">
        <f t="shared" si="56"/>
        <v/>
      </c>
      <c r="Z189" s="11" t="str">
        <f t="shared" si="57"/>
        <v/>
      </c>
      <c r="AA189" s="11" t="str">
        <f t="shared" si="58"/>
        <v/>
      </c>
      <c r="AB189" s="11" t="str">
        <f t="shared" si="59"/>
        <v/>
      </c>
      <c r="AD189" s="11" t="str">
        <f t="shared" si="60"/>
        <v/>
      </c>
      <c r="AE189" s="11" t="str">
        <f t="shared" si="61"/>
        <v/>
      </c>
      <c r="AF189" s="11" t="str">
        <f t="shared" si="62"/>
        <v/>
      </c>
    </row>
    <row r="190" spans="1:48" ht="30" customHeight="1" outlineLevel="2">
      <c r="A190" s="125" t="s">
        <v>610</v>
      </c>
      <c r="B190" s="126" t="s">
        <v>611</v>
      </c>
      <c r="C190" s="134" t="s">
        <v>242</v>
      </c>
      <c r="E190" s="105">
        <f>MIN(N190,R190,V190,Z190,AD190)</f>
        <v>179.05800000000002</v>
      </c>
      <c r="F190" s="105">
        <f>AVERAGE(N190,R190,V190,Z190,AD190)</f>
        <v>229.99240000000003</v>
      </c>
      <c r="G190" s="105">
        <f>MAX(N190,R190,V190,Z190,AD190)</f>
        <v>266.05700000000002</v>
      </c>
      <c r="H190" s="106"/>
      <c r="I190" s="105">
        <f>MIN(T190,X190,AB190,AF190,P190)</f>
        <v>344.90500000000003</v>
      </c>
      <c r="J190" s="105">
        <f>AVERAGE(P190,T190,X190,AB190,AF190)</f>
        <v>411.9500000000001</v>
      </c>
      <c r="K190" s="105">
        <f>MAX(P190,T190,X190,AB190,AF190)</f>
        <v>529.7600000000001</v>
      </c>
      <c r="N190" s="107">
        <f t="shared" si="48"/>
        <v>179.05800000000002</v>
      </c>
      <c r="O190" s="107">
        <f t="shared" si="49"/>
        <v>245.89400000000001</v>
      </c>
      <c r="P190" s="107">
        <f t="shared" si="50"/>
        <v>344.90500000000003</v>
      </c>
      <c r="R190" s="107">
        <f t="shared" si="51"/>
        <v>246.22400000000002</v>
      </c>
      <c r="S190" s="107">
        <f t="shared" si="52"/>
        <v>233.01300000000003</v>
      </c>
      <c r="T190" s="107">
        <f t="shared" si="53"/>
        <v>357.23600000000005</v>
      </c>
      <c r="V190" s="107">
        <f t="shared" si="54"/>
        <v>256.22300000000001</v>
      </c>
      <c r="W190" s="107">
        <f t="shared" si="55"/>
        <v>386.14400000000006</v>
      </c>
      <c r="X190" s="107">
        <f t="shared" si="56"/>
        <v>529.7600000000001</v>
      </c>
      <c r="Z190" s="107">
        <f t="shared" si="57"/>
        <v>266.05700000000002</v>
      </c>
      <c r="AA190" s="107">
        <f t="shared" si="58"/>
        <v>362.58200000000005</v>
      </c>
      <c r="AB190" s="107">
        <f t="shared" si="59"/>
        <v>448.34899999999999</v>
      </c>
      <c r="AD190" s="107">
        <f t="shared" si="60"/>
        <v>202.4</v>
      </c>
      <c r="AE190" s="107">
        <f t="shared" si="61"/>
        <v>309.10000000000002</v>
      </c>
      <c r="AF190" s="107">
        <f t="shared" si="62"/>
        <v>379.50000000000006</v>
      </c>
      <c r="AH190" s="107">
        <v>162.78</v>
      </c>
      <c r="AI190" s="107">
        <v>223.54</v>
      </c>
      <c r="AJ190" s="107">
        <v>313.55</v>
      </c>
      <c r="AK190" s="107">
        <v>223.84</v>
      </c>
      <c r="AL190" s="107">
        <v>211.83</v>
      </c>
      <c r="AM190" s="107">
        <v>324.76</v>
      </c>
      <c r="AN190" s="107">
        <v>232.93</v>
      </c>
      <c r="AO190" s="107">
        <v>351.04</v>
      </c>
      <c r="AP190" s="107">
        <v>481.6</v>
      </c>
      <c r="AQ190" s="107">
        <v>241.87</v>
      </c>
      <c r="AR190" s="107">
        <v>329.62</v>
      </c>
      <c r="AS190" s="107">
        <v>407.59</v>
      </c>
      <c r="AT190" s="107">
        <v>184</v>
      </c>
      <c r="AU190" s="107">
        <v>281</v>
      </c>
      <c r="AV190" s="107">
        <v>345</v>
      </c>
    </row>
    <row r="191" spans="1:48" ht="30" customHeight="1" outlineLevel="2">
      <c r="A191" s="125" t="s">
        <v>612</v>
      </c>
      <c r="B191" s="126" t="s">
        <v>613</v>
      </c>
      <c r="C191" s="134" t="s">
        <v>242</v>
      </c>
      <c r="E191" s="105">
        <f>MIN(N191,R191,V191,Z191,AD191)</f>
        <v>431.20000000000005</v>
      </c>
      <c r="F191" s="105">
        <f>AVERAGE(N191,R191,V191,Z191,AD191)</f>
        <v>503.72300000000013</v>
      </c>
      <c r="G191" s="105">
        <f>MAX(N191,R191,V191,Z191,AD191)</f>
        <v>690.53600000000006</v>
      </c>
      <c r="H191" s="106"/>
      <c r="I191" s="105">
        <f>MIN(T191,X191,AB191,AF191,P191)</f>
        <v>719.90600000000006</v>
      </c>
      <c r="J191" s="105">
        <f>AVERAGE(P191,T191,X191,AB191,AF191)</f>
        <v>879.31799999999998</v>
      </c>
      <c r="K191" s="105">
        <f>MAX(P191,T191,X191,AB191,AF191)</f>
        <v>1054.0310000000002</v>
      </c>
      <c r="N191" s="107">
        <f t="shared" si="48"/>
        <v>431.34300000000002</v>
      </c>
      <c r="O191" s="107">
        <f t="shared" si="49"/>
        <v>585.82700000000011</v>
      </c>
      <c r="P191" s="107">
        <f t="shared" si="50"/>
        <v>808.04900000000009</v>
      </c>
      <c r="R191" s="107">
        <f t="shared" si="51"/>
        <v>690.53600000000006</v>
      </c>
      <c r="S191" s="107">
        <f t="shared" si="52"/>
        <v>683.55100000000004</v>
      </c>
      <c r="T191" s="107">
        <f t="shared" si="53"/>
        <v>1023.7040000000001</v>
      </c>
      <c r="V191" s="107">
        <f t="shared" si="54"/>
        <v>495.93500000000006</v>
      </c>
      <c r="W191" s="107">
        <f t="shared" si="55"/>
        <v>774.48800000000006</v>
      </c>
      <c r="X191" s="107">
        <f t="shared" si="56"/>
        <v>1054.0310000000002</v>
      </c>
      <c r="Z191" s="107">
        <f t="shared" si="57"/>
        <v>469.60100000000006</v>
      </c>
      <c r="AA191" s="107">
        <f t="shared" si="58"/>
        <v>625.38300000000004</v>
      </c>
      <c r="AB191" s="107">
        <f t="shared" si="59"/>
        <v>719.90600000000006</v>
      </c>
      <c r="AD191" s="107">
        <f t="shared" si="60"/>
        <v>431.20000000000005</v>
      </c>
      <c r="AE191" s="107">
        <f t="shared" si="61"/>
        <v>652.30000000000007</v>
      </c>
      <c r="AF191" s="107">
        <f t="shared" si="62"/>
        <v>790.90000000000009</v>
      </c>
      <c r="AH191" s="107">
        <v>392.13</v>
      </c>
      <c r="AI191" s="107">
        <v>532.57000000000005</v>
      </c>
      <c r="AJ191" s="107">
        <v>734.59</v>
      </c>
      <c r="AK191" s="107">
        <v>627.76</v>
      </c>
      <c r="AL191" s="107">
        <v>621.41</v>
      </c>
      <c r="AM191" s="107">
        <v>930.64</v>
      </c>
      <c r="AN191" s="107">
        <v>450.85</v>
      </c>
      <c r="AO191" s="107">
        <v>704.08</v>
      </c>
      <c r="AP191" s="107">
        <v>958.21</v>
      </c>
      <c r="AQ191" s="107">
        <v>426.91</v>
      </c>
      <c r="AR191" s="107">
        <v>568.53</v>
      </c>
      <c r="AS191" s="107">
        <v>654.46</v>
      </c>
      <c r="AT191" s="107">
        <v>392</v>
      </c>
      <c r="AU191" s="107">
        <v>593</v>
      </c>
      <c r="AV191" s="107">
        <v>719</v>
      </c>
    </row>
    <row r="192" spans="1:48" ht="30" customHeight="1" outlineLevel="2">
      <c r="A192" s="125" t="s">
        <v>614</v>
      </c>
      <c r="B192" s="126" t="s">
        <v>615</v>
      </c>
      <c r="C192" s="134" t="s">
        <v>242</v>
      </c>
      <c r="E192" s="105">
        <f>MIN(N192,R192,V192,Z192,AD192)</f>
        <v>609.35600000000011</v>
      </c>
      <c r="F192" s="105">
        <f>AVERAGE(N192,R192,V192,Z192,AD192)</f>
        <v>771.19460000000015</v>
      </c>
      <c r="G192" s="105">
        <f>MAX(N192,R192,V192,Z192,AD192)</f>
        <v>1108.712</v>
      </c>
      <c r="H192" s="106"/>
      <c r="I192" s="105">
        <f>MIN(T192,X192,AB192,AF192,P192)</f>
        <v>1004.19</v>
      </c>
      <c r="J192" s="105">
        <f>AVERAGE(P192,T192,X192,AB192,AF192)</f>
        <v>1358.4890000000003</v>
      </c>
      <c r="K192" s="105">
        <f>MAX(P192,T192,X192,AB192,AF192)</f>
        <v>1650.9680000000003</v>
      </c>
      <c r="N192" s="107">
        <f t="shared" si="48"/>
        <v>848.9140000000001</v>
      </c>
      <c r="O192" s="107">
        <f t="shared" si="49"/>
        <v>1156.7819999999999</v>
      </c>
      <c r="P192" s="107">
        <f t="shared" si="50"/>
        <v>1594.6260000000002</v>
      </c>
      <c r="R192" s="107">
        <f t="shared" si="51"/>
        <v>1108.712</v>
      </c>
      <c r="S192" s="107">
        <f t="shared" si="52"/>
        <v>1107.5790000000002</v>
      </c>
      <c r="T192" s="107">
        <f t="shared" si="53"/>
        <v>1650.9680000000003</v>
      </c>
      <c r="V192" s="107">
        <f t="shared" si="54"/>
        <v>615.79099999999994</v>
      </c>
      <c r="W192" s="107">
        <f t="shared" si="55"/>
        <v>968.66000000000008</v>
      </c>
      <c r="X192" s="107">
        <f t="shared" si="56"/>
        <v>1316.1610000000001</v>
      </c>
      <c r="Z192" s="107">
        <f t="shared" si="57"/>
        <v>609.35600000000011</v>
      </c>
      <c r="AA192" s="107">
        <f t="shared" si="58"/>
        <v>819.13700000000006</v>
      </c>
      <c r="AB192" s="107">
        <f t="shared" si="59"/>
        <v>1004.19</v>
      </c>
      <c r="AD192" s="107">
        <f t="shared" si="60"/>
        <v>673.2</v>
      </c>
      <c r="AE192" s="107">
        <f t="shared" si="61"/>
        <v>1015.3000000000001</v>
      </c>
      <c r="AF192" s="107">
        <f t="shared" si="62"/>
        <v>1226.5</v>
      </c>
      <c r="AH192" s="107">
        <v>771.74</v>
      </c>
      <c r="AI192" s="107">
        <v>1051.6199999999999</v>
      </c>
      <c r="AJ192" s="107">
        <v>1449.66</v>
      </c>
      <c r="AK192" s="107">
        <v>1007.92</v>
      </c>
      <c r="AL192" s="107">
        <v>1006.89</v>
      </c>
      <c r="AM192" s="107">
        <v>1500.88</v>
      </c>
      <c r="AN192" s="107">
        <v>559.80999999999995</v>
      </c>
      <c r="AO192" s="107">
        <v>880.6</v>
      </c>
      <c r="AP192" s="107">
        <v>1196.51</v>
      </c>
      <c r="AQ192" s="107">
        <v>553.96</v>
      </c>
      <c r="AR192" s="107">
        <v>744.67</v>
      </c>
      <c r="AS192" s="107">
        <v>912.9</v>
      </c>
      <c r="AT192" s="107">
        <v>612</v>
      </c>
      <c r="AU192" s="107">
        <v>923</v>
      </c>
      <c r="AV192" s="107">
        <v>1115</v>
      </c>
    </row>
    <row r="193" spans="1:48" ht="30" customHeight="1" outlineLevel="2">
      <c r="A193" s="125" t="s">
        <v>616</v>
      </c>
      <c r="B193" s="126" t="s">
        <v>617</v>
      </c>
      <c r="C193" s="134" t="s">
        <v>242</v>
      </c>
      <c r="E193" s="105">
        <f>MIN(N193,R193,V193,Z193,AD193)</f>
        <v>256.22300000000001</v>
      </c>
      <c r="F193" s="105">
        <f>AVERAGE(N193,R193,V193,Z193,AD193)</f>
        <v>431.26599999999996</v>
      </c>
      <c r="G193" s="105">
        <f>MAX(N193,R193,V193,Z193,AD193)</f>
        <v>690.53600000000006</v>
      </c>
      <c r="H193" s="106"/>
      <c r="I193" s="105">
        <f>MIN(T193,X193,AB193,AF193,P193)</f>
        <v>529.7600000000001</v>
      </c>
      <c r="J193" s="105">
        <f>AVERAGE(P193,T193,X193,AB193,AF193)</f>
        <v>745.1708000000001</v>
      </c>
      <c r="K193" s="105">
        <f>MAX(P193,T193,X193,AB193,AF193)</f>
        <v>1023.7040000000001</v>
      </c>
      <c r="N193" s="107">
        <f t="shared" si="48"/>
        <v>403.78800000000001</v>
      </c>
      <c r="O193" s="107">
        <f t="shared" si="49"/>
        <v>547.31600000000003</v>
      </c>
      <c r="P193" s="107">
        <f t="shared" si="50"/>
        <v>754.13800000000015</v>
      </c>
      <c r="R193" s="107">
        <f t="shared" si="51"/>
        <v>690.53600000000006</v>
      </c>
      <c r="S193" s="107">
        <f t="shared" si="52"/>
        <v>683.55100000000004</v>
      </c>
      <c r="T193" s="107">
        <f t="shared" si="53"/>
        <v>1023.7040000000001</v>
      </c>
      <c r="V193" s="107">
        <f t="shared" si="54"/>
        <v>256.22300000000001</v>
      </c>
      <c r="W193" s="107">
        <f t="shared" si="55"/>
        <v>386.14400000000006</v>
      </c>
      <c r="X193" s="107">
        <f t="shared" si="56"/>
        <v>529.7600000000001</v>
      </c>
      <c r="Z193" s="107">
        <f t="shared" si="57"/>
        <v>377.88299999999998</v>
      </c>
      <c r="AA193" s="107">
        <f t="shared" si="58"/>
        <v>519.13400000000001</v>
      </c>
      <c r="AB193" s="107">
        <f t="shared" si="59"/>
        <v>632.85200000000009</v>
      </c>
      <c r="AD193" s="107">
        <f t="shared" si="60"/>
        <v>427.90000000000003</v>
      </c>
      <c r="AE193" s="107">
        <f t="shared" si="61"/>
        <v>647.90000000000009</v>
      </c>
      <c r="AF193" s="107">
        <f t="shared" si="62"/>
        <v>785.40000000000009</v>
      </c>
      <c r="AH193" s="107">
        <v>367.08</v>
      </c>
      <c r="AI193" s="107">
        <v>497.56</v>
      </c>
      <c r="AJ193" s="107">
        <v>685.58</v>
      </c>
      <c r="AK193" s="107">
        <v>627.76</v>
      </c>
      <c r="AL193" s="107">
        <v>621.41</v>
      </c>
      <c r="AM193" s="107">
        <v>930.64</v>
      </c>
      <c r="AN193" s="107">
        <v>232.93</v>
      </c>
      <c r="AO193" s="107">
        <v>351.04</v>
      </c>
      <c r="AP193" s="107">
        <v>481.6</v>
      </c>
      <c r="AQ193" s="107">
        <v>343.53</v>
      </c>
      <c r="AR193" s="107">
        <v>471.94</v>
      </c>
      <c r="AS193" s="107">
        <v>575.32000000000005</v>
      </c>
      <c r="AT193" s="107">
        <v>389</v>
      </c>
      <c r="AU193" s="107">
        <v>589</v>
      </c>
      <c r="AV193" s="107">
        <v>714</v>
      </c>
    </row>
    <row r="194" spans="1:48" ht="30" customHeight="1" outlineLevel="2">
      <c r="A194" s="125" t="s">
        <v>618</v>
      </c>
      <c r="B194" s="126" t="s">
        <v>619</v>
      </c>
      <c r="C194" s="134" t="s">
        <v>242</v>
      </c>
      <c r="E194" s="105">
        <f>MIN(N194,R194,V194,Z194,AD194)</f>
        <v>585.99200000000008</v>
      </c>
      <c r="F194" s="105">
        <f>AVERAGE(N194,R194,V194,Z194,AD194)</f>
        <v>711.58780000000002</v>
      </c>
      <c r="G194" s="105">
        <f>MAX(N194,R194,V194,Z194,AD194)</f>
        <v>856.90000000000009</v>
      </c>
      <c r="H194" s="106"/>
      <c r="I194" s="105">
        <f>MIN(T194,X194,AB194,AF194,P194)</f>
        <v>866.88800000000015</v>
      </c>
      <c r="J194" s="105">
        <f>AVERAGE(P194,T194,X194,AB194,AF194)</f>
        <v>1283.5372000000002</v>
      </c>
      <c r="K194" s="105">
        <f>MAX(P194,T194,X194,AB194,AF194)</f>
        <v>1594.6260000000002</v>
      </c>
      <c r="N194" s="107">
        <f t="shared" si="48"/>
        <v>848.9140000000001</v>
      </c>
      <c r="O194" s="107">
        <f t="shared" si="49"/>
        <v>1156.7819999999999</v>
      </c>
      <c r="P194" s="107">
        <f t="shared" si="50"/>
        <v>1594.6260000000002</v>
      </c>
      <c r="R194" s="107">
        <f t="shared" si="51"/>
        <v>585.99200000000008</v>
      </c>
      <c r="S194" s="107">
        <f t="shared" si="52"/>
        <v>577.54399999999998</v>
      </c>
      <c r="T194" s="107">
        <f t="shared" si="53"/>
        <v>866.88800000000015</v>
      </c>
      <c r="V194" s="107">
        <f t="shared" si="54"/>
        <v>615.79099999999994</v>
      </c>
      <c r="W194" s="107">
        <f t="shared" si="55"/>
        <v>968.66000000000008</v>
      </c>
      <c r="X194" s="107">
        <f t="shared" si="56"/>
        <v>1316.1610000000001</v>
      </c>
      <c r="Z194" s="107">
        <f t="shared" si="57"/>
        <v>650.3420000000001</v>
      </c>
      <c r="AA194" s="107">
        <f t="shared" si="58"/>
        <v>900.58100000000013</v>
      </c>
      <c r="AB194" s="107">
        <f t="shared" si="59"/>
        <v>1082.4110000000001</v>
      </c>
      <c r="AD194" s="107">
        <f t="shared" si="60"/>
        <v>856.90000000000009</v>
      </c>
      <c r="AE194" s="107">
        <f t="shared" si="61"/>
        <v>1291.4000000000001</v>
      </c>
      <c r="AF194" s="107">
        <f t="shared" si="62"/>
        <v>1557.6000000000001</v>
      </c>
      <c r="AH194" s="107">
        <v>771.74</v>
      </c>
      <c r="AI194" s="107">
        <v>1051.6199999999999</v>
      </c>
      <c r="AJ194" s="107">
        <v>1449.66</v>
      </c>
      <c r="AK194" s="107">
        <v>532.72</v>
      </c>
      <c r="AL194" s="107">
        <v>525.04</v>
      </c>
      <c r="AM194" s="107">
        <v>788.08</v>
      </c>
      <c r="AN194" s="107">
        <v>559.80999999999995</v>
      </c>
      <c r="AO194" s="107">
        <v>880.6</v>
      </c>
      <c r="AP194" s="107">
        <v>1196.51</v>
      </c>
      <c r="AQ194" s="107">
        <v>591.22</v>
      </c>
      <c r="AR194" s="107">
        <v>818.71</v>
      </c>
      <c r="AS194" s="107">
        <v>984.01</v>
      </c>
      <c r="AT194" s="107">
        <v>779</v>
      </c>
      <c r="AU194" s="107">
        <v>1174</v>
      </c>
      <c r="AV194" s="107">
        <v>1416</v>
      </c>
    </row>
    <row r="195" spans="1:48" ht="30" customHeight="1" outlineLevel="1">
      <c r="A195" s="121" t="s">
        <v>620</v>
      </c>
      <c r="B195" s="135" t="s">
        <v>621</v>
      </c>
      <c r="C195" s="111"/>
      <c r="N195" s="11" t="str">
        <f t="shared" si="48"/>
        <v/>
      </c>
      <c r="O195" s="11" t="str">
        <f t="shared" si="49"/>
        <v/>
      </c>
      <c r="P195" s="11" t="str">
        <f t="shared" si="50"/>
        <v/>
      </c>
      <c r="R195" s="11" t="str">
        <f t="shared" si="51"/>
        <v/>
      </c>
      <c r="S195" s="11" t="str">
        <f t="shared" si="52"/>
        <v/>
      </c>
      <c r="T195" s="11" t="str">
        <f t="shared" si="53"/>
        <v/>
      </c>
      <c r="V195" s="11" t="str">
        <f t="shared" si="54"/>
        <v/>
      </c>
      <c r="W195" s="11" t="str">
        <f t="shared" si="55"/>
        <v/>
      </c>
      <c r="X195" s="11" t="str">
        <f t="shared" si="56"/>
        <v/>
      </c>
      <c r="Z195" s="11" t="str">
        <f t="shared" si="57"/>
        <v/>
      </c>
      <c r="AA195" s="11" t="str">
        <f t="shared" si="58"/>
        <v/>
      </c>
      <c r="AB195" s="11" t="str">
        <f t="shared" si="59"/>
        <v/>
      </c>
      <c r="AD195" s="11" t="str">
        <f t="shared" si="60"/>
        <v/>
      </c>
      <c r="AE195" s="11" t="str">
        <f t="shared" si="61"/>
        <v/>
      </c>
      <c r="AF195" s="11" t="str">
        <f t="shared" si="62"/>
        <v/>
      </c>
    </row>
    <row r="196" spans="1:48" ht="30" customHeight="1" outlineLevel="2">
      <c r="A196" s="125" t="s">
        <v>622</v>
      </c>
      <c r="B196" s="126" t="s">
        <v>623</v>
      </c>
      <c r="C196" s="134" t="s">
        <v>242</v>
      </c>
      <c r="E196" s="105">
        <f t="shared" ref="E196:E201" si="63">MIN(N196,R196,V196,Z196,AD196)</f>
        <v>235.4</v>
      </c>
      <c r="F196" s="105">
        <f t="shared" ref="F196:F201" si="64">AVERAGE(N196,R196,V196,Z196,AD196)</f>
        <v>357.21179999999998</v>
      </c>
      <c r="G196" s="105">
        <f t="shared" ref="G196:G201" si="65">MAX(N196,R196,V196,Z196,AD196)</f>
        <v>615.79099999999994</v>
      </c>
      <c r="H196" s="106"/>
      <c r="I196" s="105">
        <f t="shared" ref="I196:I201" si="66">MIN(T196,X196,AB196,AF196,P196)</f>
        <v>396.44</v>
      </c>
      <c r="J196" s="105">
        <f t="shared" ref="J196:J201" si="67">AVERAGE(P196,T196,X196,AB196,AF196)</f>
        <v>665.76179999999999</v>
      </c>
      <c r="K196" s="105">
        <f t="shared" ref="K196:K201" si="68">MAX(P196,T196,X196,AB196,AF196)</f>
        <v>1316.1610000000001</v>
      </c>
      <c r="N196" s="107">
        <f t="shared" ref="N196:N259" si="69" xml:space="preserve"> IF(ISBLANK(AH196),"",_k_EIFFAGE * AH196)</f>
        <v>261.70100000000002</v>
      </c>
      <c r="O196" s="107">
        <f t="shared" ref="O196:O259" si="70" xml:space="preserve"> IF(ISBLANK(AI196),"",_k_EIFFAGE * AI196)</f>
        <v>361.40500000000003</v>
      </c>
      <c r="P196" s="107">
        <f t="shared" ref="P196:P259" si="71" xml:space="preserve"> IF(ISBLANK(AJ196),"",_k_EIFFAGE * AJ196)</f>
        <v>506.61600000000004</v>
      </c>
      <c r="R196" s="107">
        <f t="shared" ref="R196:R259" si="72" xml:space="preserve"> IF(ISBLANK(AK196),"",_k_ERI * AK196)</f>
        <v>272.36</v>
      </c>
      <c r="S196" s="107">
        <f t="shared" ref="S196:S259" si="73" xml:space="preserve"> IF(ISBLANK(AL196),"",_k_ERI * AL196)</f>
        <v>259.52300000000002</v>
      </c>
      <c r="T196" s="107">
        <f t="shared" ref="T196:T259" si="74" xml:space="preserve"> IF(ISBLANK(AM196),"",_k_ERI * AM196)</f>
        <v>396.44</v>
      </c>
      <c r="V196" s="107">
        <f t="shared" ref="V196:V259" si="75" xml:space="preserve"> IF(ISBLANK(AN196),"",_k_INEO * AN196)</f>
        <v>615.79099999999994</v>
      </c>
      <c r="W196" s="107">
        <f t="shared" ref="W196:W259" si="76" xml:space="preserve"> IF(ISBLANK(AO196),"",_k_INEO * AO196)</f>
        <v>968.66000000000008</v>
      </c>
      <c r="X196" s="107">
        <f t="shared" ref="X196:X259" si="77" xml:space="preserve"> IF(ISBLANK(AP196),"",_k_INEO * AP196)</f>
        <v>1316.1610000000001</v>
      </c>
      <c r="Z196" s="107">
        <f t="shared" ref="Z196:Z259" si="78" xml:space="preserve"> IF(ISBLANK(AQ196),"",_k_SDEL * AQ196)</f>
        <v>400.80700000000002</v>
      </c>
      <c r="AA196" s="107">
        <f t="shared" ref="AA196:AA259" si="79" xml:space="preserve"> IF(ISBLANK(AR196),"",_k_SDEL * AR196)</f>
        <v>551.23200000000008</v>
      </c>
      <c r="AB196" s="107">
        <f t="shared" ref="AB196:AB259" si="80" xml:space="preserve"> IF(ISBLANK(AS196),"",_k_SDEL * AS196)</f>
        <v>670.69200000000012</v>
      </c>
      <c r="AD196" s="107">
        <f t="shared" ref="AD196:AD259" si="81" xml:space="preserve"> IF(ISBLANK(AT196),"",_k_SOGETREL * AT196)</f>
        <v>235.4</v>
      </c>
      <c r="AE196" s="107">
        <f t="shared" ref="AE196:AE259" si="82" xml:space="preserve"> IF(ISBLANK(AU196),"",_k_SOGETREL * AU196)</f>
        <v>358.6</v>
      </c>
      <c r="AF196" s="107">
        <f t="shared" ref="AF196:AF259" si="83" xml:space="preserve"> IF(ISBLANK(AV196),"",_k_SOGETREL * AV196)</f>
        <v>438.90000000000003</v>
      </c>
      <c r="AH196" s="107">
        <v>237.91</v>
      </c>
      <c r="AI196" s="107">
        <v>328.55</v>
      </c>
      <c r="AJ196" s="107">
        <v>460.56</v>
      </c>
      <c r="AK196" s="107">
        <v>247.6</v>
      </c>
      <c r="AL196" s="107">
        <v>235.93</v>
      </c>
      <c r="AM196" s="107">
        <v>360.4</v>
      </c>
      <c r="AN196" s="107">
        <v>559.80999999999995</v>
      </c>
      <c r="AO196" s="107">
        <v>880.6</v>
      </c>
      <c r="AP196" s="107">
        <v>1196.51</v>
      </c>
      <c r="AQ196" s="107">
        <v>364.37</v>
      </c>
      <c r="AR196" s="107">
        <v>501.12</v>
      </c>
      <c r="AS196" s="107">
        <v>609.72</v>
      </c>
      <c r="AT196" s="107">
        <v>214</v>
      </c>
      <c r="AU196" s="107">
        <v>326</v>
      </c>
      <c r="AV196" s="107">
        <v>399</v>
      </c>
    </row>
    <row r="197" spans="1:48" ht="30" customHeight="1" outlineLevel="2">
      <c r="A197" s="125" t="s">
        <v>624</v>
      </c>
      <c r="B197" s="126" t="s">
        <v>625</v>
      </c>
      <c r="C197" s="134" t="s">
        <v>242</v>
      </c>
      <c r="E197" s="105">
        <f t="shared" si="63"/>
        <v>544.5</v>
      </c>
      <c r="F197" s="105">
        <f t="shared" si="64"/>
        <v>645.62300000000005</v>
      </c>
      <c r="G197" s="105">
        <f t="shared" si="65"/>
        <v>742.80799999999999</v>
      </c>
      <c r="H197" s="106"/>
      <c r="I197" s="105">
        <f t="shared" si="66"/>
        <v>967.95600000000013</v>
      </c>
      <c r="J197" s="105">
        <f t="shared" si="67"/>
        <v>1165.8481999999999</v>
      </c>
      <c r="K197" s="105">
        <f t="shared" si="68"/>
        <v>1578.2910000000002</v>
      </c>
      <c r="N197" s="107">
        <f t="shared" si="69"/>
        <v>624.173</v>
      </c>
      <c r="O197" s="107">
        <f t="shared" si="70"/>
        <v>855.34900000000016</v>
      </c>
      <c r="P197" s="107">
        <f t="shared" si="71"/>
        <v>1185.3820000000001</v>
      </c>
      <c r="R197" s="107">
        <f t="shared" si="72"/>
        <v>742.80799999999999</v>
      </c>
      <c r="S197" s="107">
        <f t="shared" si="73"/>
        <v>736.54900000000009</v>
      </c>
      <c r="T197" s="107">
        <f t="shared" si="74"/>
        <v>1102.1120000000001</v>
      </c>
      <c r="V197" s="107">
        <f t="shared" si="75"/>
        <v>735.65800000000002</v>
      </c>
      <c r="W197" s="107">
        <f t="shared" si="76"/>
        <v>1162.8319999999999</v>
      </c>
      <c r="X197" s="107">
        <f t="shared" si="77"/>
        <v>1578.2910000000002</v>
      </c>
      <c r="Z197" s="107">
        <f t="shared" si="78"/>
        <v>580.976</v>
      </c>
      <c r="AA197" s="107">
        <f t="shared" si="79"/>
        <v>803.46199999999999</v>
      </c>
      <c r="AB197" s="107">
        <f t="shared" si="80"/>
        <v>967.95600000000013</v>
      </c>
      <c r="AD197" s="107">
        <f t="shared" si="81"/>
        <v>544.5</v>
      </c>
      <c r="AE197" s="107">
        <f t="shared" si="82"/>
        <v>822.80000000000007</v>
      </c>
      <c r="AF197" s="107">
        <f t="shared" si="83"/>
        <v>995.50000000000011</v>
      </c>
      <c r="AH197" s="107">
        <v>567.42999999999995</v>
      </c>
      <c r="AI197" s="107">
        <v>777.59</v>
      </c>
      <c r="AJ197" s="107">
        <v>1077.6199999999999</v>
      </c>
      <c r="AK197" s="107">
        <v>675.28</v>
      </c>
      <c r="AL197" s="107">
        <v>669.59</v>
      </c>
      <c r="AM197" s="107">
        <v>1001.92</v>
      </c>
      <c r="AN197" s="107">
        <v>668.78</v>
      </c>
      <c r="AO197" s="107">
        <v>1057.1199999999999</v>
      </c>
      <c r="AP197" s="107">
        <v>1434.81</v>
      </c>
      <c r="AQ197" s="107">
        <v>528.16</v>
      </c>
      <c r="AR197" s="107">
        <v>730.42</v>
      </c>
      <c r="AS197" s="107">
        <v>879.96</v>
      </c>
      <c r="AT197" s="107">
        <v>495</v>
      </c>
      <c r="AU197" s="107">
        <v>748</v>
      </c>
      <c r="AV197" s="107">
        <v>905</v>
      </c>
    </row>
    <row r="198" spans="1:48" ht="30" customHeight="1" outlineLevel="2">
      <c r="A198" s="125" t="s">
        <v>626</v>
      </c>
      <c r="B198" s="126" t="s">
        <v>627</v>
      </c>
      <c r="C198" s="134" t="s">
        <v>242</v>
      </c>
      <c r="E198" s="105">
        <f t="shared" si="63"/>
        <v>853.94100000000003</v>
      </c>
      <c r="F198" s="105">
        <f t="shared" si="64"/>
        <v>971.2758</v>
      </c>
      <c r="G198" s="105">
        <f t="shared" si="65"/>
        <v>1213.2560000000001</v>
      </c>
      <c r="H198" s="106"/>
      <c r="I198" s="105">
        <f t="shared" si="66"/>
        <v>1401.114</v>
      </c>
      <c r="J198" s="105">
        <f t="shared" si="67"/>
        <v>1734.9794000000002</v>
      </c>
      <c r="K198" s="105">
        <f t="shared" si="68"/>
        <v>2102.5510000000004</v>
      </c>
      <c r="N198" s="107">
        <f t="shared" si="69"/>
        <v>959.11200000000008</v>
      </c>
      <c r="O198" s="107">
        <f t="shared" si="70"/>
        <v>1310.7930000000001</v>
      </c>
      <c r="P198" s="107">
        <f t="shared" si="71"/>
        <v>1810.2480000000003</v>
      </c>
      <c r="R198" s="107">
        <f t="shared" si="72"/>
        <v>1213.2560000000001</v>
      </c>
      <c r="S198" s="107">
        <f t="shared" si="73"/>
        <v>1213.586</v>
      </c>
      <c r="T198" s="107">
        <f t="shared" si="74"/>
        <v>1807.7840000000001</v>
      </c>
      <c r="V198" s="107">
        <f t="shared" si="75"/>
        <v>975.37000000000012</v>
      </c>
      <c r="W198" s="107">
        <f t="shared" si="76"/>
        <v>1551.1760000000002</v>
      </c>
      <c r="X198" s="107">
        <f t="shared" si="77"/>
        <v>2102.5510000000004</v>
      </c>
      <c r="Z198" s="107">
        <f t="shared" si="78"/>
        <v>853.94100000000003</v>
      </c>
      <c r="AA198" s="107">
        <f t="shared" si="79"/>
        <v>1158.2340000000002</v>
      </c>
      <c r="AB198" s="107">
        <f t="shared" si="80"/>
        <v>1401.114</v>
      </c>
      <c r="AD198" s="107">
        <f t="shared" si="81"/>
        <v>854.7</v>
      </c>
      <c r="AE198" s="107">
        <f t="shared" si="82"/>
        <v>1288.1000000000001</v>
      </c>
      <c r="AF198" s="107">
        <f t="shared" si="83"/>
        <v>1553.2</v>
      </c>
      <c r="AH198" s="107">
        <v>871.92</v>
      </c>
      <c r="AI198" s="107">
        <v>1191.6300000000001</v>
      </c>
      <c r="AJ198" s="107">
        <v>1645.68</v>
      </c>
      <c r="AK198" s="107">
        <v>1102.96</v>
      </c>
      <c r="AL198" s="107">
        <v>1103.26</v>
      </c>
      <c r="AM198" s="107">
        <v>1643.44</v>
      </c>
      <c r="AN198" s="107">
        <v>886.7</v>
      </c>
      <c r="AO198" s="107">
        <v>1410.16</v>
      </c>
      <c r="AP198" s="107">
        <v>1911.41</v>
      </c>
      <c r="AQ198" s="107">
        <v>776.31</v>
      </c>
      <c r="AR198" s="107">
        <v>1052.94</v>
      </c>
      <c r="AS198" s="107">
        <v>1273.74</v>
      </c>
      <c r="AT198" s="107">
        <v>777</v>
      </c>
      <c r="AU198" s="107">
        <v>1171</v>
      </c>
      <c r="AV198" s="107">
        <v>1412</v>
      </c>
    </row>
    <row r="199" spans="1:48" ht="30" customHeight="1" outlineLevel="2">
      <c r="A199" s="125" t="s">
        <v>628</v>
      </c>
      <c r="B199" s="126" t="s">
        <v>629</v>
      </c>
      <c r="C199" s="134" t="s">
        <v>242</v>
      </c>
      <c r="E199" s="105">
        <f t="shared" si="63"/>
        <v>495.93500000000006</v>
      </c>
      <c r="F199" s="105">
        <f t="shared" si="64"/>
        <v>557.02240000000006</v>
      </c>
      <c r="G199" s="105">
        <f t="shared" si="65"/>
        <v>690.53600000000006</v>
      </c>
      <c r="H199" s="106"/>
      <c r="I199" s="105">
        <f t="shared" si="66"/>
        <v>862.41100000000006</v>
      </c>
      <c r="J199" s="105">
        <f t="shared" si="67"/>
        <v>990.10339999999997</v>
      </c>
      <c r="K199" s="105">
        <f t="shared" si="68"/>
        <v>1054.0310000000002</v>
      </c>
      <c r="N199" s="107">
        <f t="shared" si="69"/>
        <v>541.53000000000009</v>
      </c>
      <c r="O199" s="107">
        <f t="shared" si="70"/>
        <v>739.83800000000008</v>
      </c>
      <c r="P199" s="107">
        <f t="shared" si="71"/>
        <v>1023.671</v>
      </c>
      <c r="R199" s="107">
        <f t="shared" si="72"/>
        <v>690.53600000000006</v>
      </c>
      <c r="S199" s="107">
        <f t="shared" si="73"/>
        <v>683.55100000000004</v>
      </c>
      <c r="T199" s="107">
        <f t="shared" si="74"/>
        <v>1023.7040000000001</v>
      </c>
      <c r="V199" s="107">
        <f t="shared" si="75"/>
        <v>495.93500000000006</v>
      </c>
      <c r="W199" s="107">
        <f t="shared" si="76"/>
        <v>774.48800000000006</v>
      </c>
      <c r="X199" s="107">
        <f t="shared" si="77"/>
        <v>1054.0310000000002</v>
      </c>
      <c r="Z199" s="107">
        <f t="shared" si="78"/>
        <v>517.01100000000008</v>
      </c>
      <c r="AA199" s="107">
        <f t="shared" si="79"/>
        <v>713.91100000000006</v>
      </c>
      <c r="AB199" s="107">
        <f t="shared" si="80"/>
        <v>862.41100000000006</v>
      </c>
      <c r="AD199" s="107">
        <f t="shared" si="81"/>
        <v>540.1</v>
      </c>
      <c r="AE199" s="107">
        <f t="shared" si="82"/>
        <v>816.2</v>
      </c>
      <c r="AF199" s="107">
        <f t="shared" si="83"/>
        <v>986.7</v>
      </c>
      <c r="AH199" s="107">
        <v>492.3</v>
      </c>
      <c r="AI199" s="107">
        <v>672.58</v>
      </c>
      <c r="AJ199" s="107">
        <v>930.61</v>
      </c>
      <c r="AK199" s="107">
        <v>627.76</v>
      </c>
      <c r="AL199" s="107">
        <v>621.41</v>
      </c>
      <c r="AM199" s="107">
        <v>930.64</v>
      </c>
      <c r="AN199" s="107">
        <v>450.85</v>
      </c>
      <c r="AO199" s="107">
        <v>704.08</v>
      </c>
      <c r="AP199" s="107">
        <v>958.21</v>
      </c>
      <c r="AQ199" s="107">
        <v>470.01</v>
      </c>
      <c r="AR199" s="107">
        <v>649.01</v>
      </c>
      <c r="AS199" s="107">
        <v>784.01</v>
      </c>
      <c r="AT199" s="107">
        <v>491</v>
      </c>
      <c r="AU199" s="107">
        <v>742</v>
      </c>
      <c r="AV199" s="107">
        <v>897</v>
      </c>
    </row>
    <row r="200" spans="1:48" ht="30" customHeight="1" outlineLevel="2">
      <c r="A200" s="125" t="s">
        <v>630</v>
      </c>
      <c r="B200" s="126" t="s">
        <v>631</v>
      </c>
      <c r="C200" s="134" t="s">
        <v>242</v>
      </c>
      <c r="E200" s="105">
        <f t="shared" si="63"/>
        <v>585.99200000000008</v>
      </c>
      <c r="F200" s="105">
        <f t="shared" si="64"/>
        <v>735.5612000000001</v>
      </c>
      <c r="G200" s="105">
        <f t="shared" si="65"/>
        <v>856.90000000000009</v>
      </c>
      <c r="H200" s="106"/>
      <c r="I200" s="105">
        <f t="shared" si="66"/>
        <v>866.88800000000015</v>
      </c>
      <c r="J200" s="105">
        <f t="shared" si="67"/>
        <v>1335.9632000000001</v>
      </c>
      <c r="K200" s="105">
        <f t="shared" si="68"/>
        <v>1594.6260000000002</v>
      </c>
      <c r="N200" s="107">
        <f t="shared" si="69"/>
        <v>848.9140000000001</v>
      </c>
      <c r="O200" s="107">
        <f t="shared" si="70"/>
        <v>1156.7819999999999</v>
      </c>
      <c r="P200" s="107">
        <f t="shared" si="71"/>
        <v>1594.6260000000002</v>
      </c>
      <c r="R200" s="107">
        <f t="shared" si="72"/>
        <v>585.99200000000008</v>
      </c>
      <c r="S200" s="107">
        <f t="shared" si="73"/>
        <v>577.54399999999998</v>
      </c>
      <c r="T200" s="107">
        <f t="shared" si="74"/>
        <v>866.88800000000015</v>
      </c>
      <c r="V200" s="107">
        <f t="shared" si="75"/>
        <v>735.65800000000002</v>
      </c>
      <c r="W200" s="107">
        <f t="shared" si="76"/>
        <v>1162.8319999999999</v>
      </c>
      <c r="X200" s="107">
        <f t="shared" si="77"/>
        <v>1578.2910000000002</v>
      </c>
      <c r="Z200" s="107">
        <f t="shared" si="78"/>
        <v>650.3420000000001</v>
      </c>
      <c r="AA200" s="107">
        <f t="shared" si="79"/>
        <v>900.58100000000013</v>
      </c>
      <c r="AB200" s="107">
        <f t="shared" si="80"/>
        <v>1082.4110000000001</v>
      </c>
      <c r="AD200" s="107">
        <f t="shared" si="81"/>
        <v>856.90000000000009</v>
      </c>
      <c r="AE200" s="107">
        <f t="shared" si="82"/>
        <v>1291.4000000000001</v>
      </c>
      <c r="AF200" s="107">
        <f t="shared" si="83"/>
        <v>1557.6000000000001</v>
      </c>
      <c r="AH200" s="107">
        <v>771.74</v>
      </c>
      <c r="AI200" s="107">
        <v>1051.6199999999999</v>
      </c>
      <c r="AJ200" s="107">
        <v>1449.66</v>
      </c>
      <c r="AK200" s="107">
        <v>532.72</v>
      </c>
      <c r="AL200" s="107">
        <v>525.04</v>
      </c>
      <c r="AM200" s="107">
        <v>788.08</v>
      </c>
      <c r="AN200" s="107">
        <v>668.78</v>
      </c>
      <c r="AO200" s="107">
        <v>1057.1199999999999</v>
      </c>
      <c r="AP200" s="107">
        <v>1434.81</v>
      </c>
      <c r="AQ200" s="107">
        <v>591.22</v>
      </c>
      <c r="AR200" s="107">
        <v>818.71</v>
      </c>
      <c r="AS200" s="107">
        <v>984.01</v>
      </c>
      <c r="AT200" s="107">
        <v>779</v>
      </c>
      <c r="AU200" s="107">
        <v>1174</v>
      </c>
      <c r="AV200" s="107">
        <v>1416</v>
      </c>
    </row>
    <row r="201" spans="1:48" ht="30" customHeight="1" outlineLevel="2">
      <c r="A201" s="125" t="s">
        <v>632</v>
      </c>
      <c r="B201" s="126" t="s">
        <v>633</v>
      </c>
      <c r="C201" s="134" t="s">
        <v>242</v>
      </c>
      <c r="E201" s="105">
        <f t="shared" si="63"/>
        <v>45.947000000000003</v>
      </c>
      <c r="F201" s="105">
        <f t="shared" si="64"/>
        <v>152.72840000000002</v>
      </c>
      <c r="G201" s="105">
        <f t="shared" si="65"/>
        <v>256.22300000000001</v>
      </c>
      <c r="H201" s="106"/>
      <c r="I201" s="105">
        <f t="shared" si="66"/>
        <v>83.577999999999989</v>
      </c>
      <c r="J201" s="105">
        <f t="shared" si="67"/>
        <v>287.41460000000001</v>
      </c>
      <c r="K201" s="105">
        <f t="shared" si="68"/>
        <v>529.7600000000001</v>
      </c>
      <c r="N201" s="107">
        <f t="shared" si="69"/>
        <v>143.52799999999999</v>
      </c>
      <c r="O201" s="107">
        <f t="shared" si="70"/>
        <v>199.40800000000002</v>
      </c>
      <c r="P201" s="107">
        <f t="shared" si="71"/>
        <v>283.01900000000001</v>
      </c>
      <c r="R201" s="107">
        <f t="shared" si="72"/>
        <v>115.54400000000001</v>
      </c>
      <c r="S201" s="107">
        <f t="shared" si="73"/>
        <v>100.50700000000002</v>
      </c>
      <c r="T201" s="107">
        <f t="shared" si="74"/>
        <v>161.21600000000001</v>
      </c>
      <c r="V201" s="107">
        <f t="shared" si="75"/>
        <v>256.22300000000001</v>
      </c>
      <c r="W201" s="107">
        <f t="shared" si="76"/>
        <v>386.14400000000006</v>
      </c>
      <c r="X201" s="107">
        <f t="shared" si="77"/>
        <v>529.7600000000001</v>
      </c>
      <c r="Z201" s="107">
        <f t="shared" si="78"/>
        <v>45.947000000000003</v>
      </c>
      <c r="AA201" s="107">
        <f t="shared" si="79"/>
        <v>53.944000000000003</v>
      </c>
      <c r="AB201" s="107">
        <f t="shared" si="80"/>
        <v>83.577999999999989</v>
      </c>
      <c r="AD201" s="107">
        <f t="shared" si="81"/>
        <v>202.4</v>
      </c>
      <c r="AE201" s="107">
        <f t="shared" si="82"/>
        <v>309.10000000000002</v>
      </c>
      <c r="AF201" s="107">
        <f t="shared" si="83"/>
        <v>379.50000000000006</v>
      </c>
      <c r="AH201" s="107">
        <v>130.47999999999999</v>
      </c>
      <c r="AI201" s="107">
        <v>181.28</v>
      </c>
      <c r="AJ201" s="107">
        <v>257.28999999999996</v>
      </c>
      <c r="AK201" s="107">
        <v>105.04</v>
      </c>
      <c r="AL201" s="107">
        <v>91.37</v>
      </c>
      <c r="AM201" s="107">
        <v>146.56</v>
      </c>
      <c r="AN201" s="107">
        <v>232.93</v>
      </c>
      <c r="AO201" s="107">
        <v>351.04</v>
      </c>
      <c r="AP201" s="107">
        <v>481.6</v>
      </c>
      <c r="AQ201" s="107">
        <v>41.769999999999996</v>
      </c>
      <c r="AR201" s="107">
        <v>49.04</v>
      </c>
      <c r="AS201" s="107">
        <v>75.97999999999999</v>
      </c>
      <c r="AT201" s="107">
        <v>184</v>
      </c>
      <c r="AU201" s="107">
        <v>281</v>
      </c>
      <c r="AV201" s="107">
        <v>345</v>
      </c>
    </row>
    <row r="202" spans="1:48" ht="30" customHeight="1" outlineLevel="1">
      <c r="A202" s="127" t="s">
        <v>634</v>
      </c>
      <c r="B202" s="133" t="s">
        <v>635</v>
      </c>
      <c r="C202" s="101"/>
      <c r="N202" s="11" t="str">
        <f t="shared" si="69"/>
        <v/>
      </c>
      <c r="O202" s="11" t="str">
        <f t="shared" si="70"/>
        <v/>
      </c>
      <c r="P202" s="11" t="str">
        <f t="shared" si="71"/>
        <v/>
      </c>
      <c r="R202" s="11" t="str">
        <f t="shared" si="72"/>
        <v/>
      </c>
      <c r="S202" s="11" t="str">
        <f t="shared" si="73"/>
        <v/>
      </c>
      <c r="T202" s="11" t="str">
        <f t="shared" si="74"/>
        <v/>
      </c>
      <c r="V202" s="11" t="str">
        <f t="shared" si="75"/>
        <v/>
      </c>
      <c r="W202" s="11" t="str">
        <f t="shared" si="76"/>
        <v/>
      </c>
      <c r="X202" s="11" t="str">
        <f t="shared" si="77"/>
        <v/>
      </c>
      <c r="Z202" s="11" t="str">
        <f t="shared" si="78"/>
        <v/>
      </c>
      <c r="AA202" s="11" t="str">
        <f t="shared" si="79"/>
        <v/>
      </c>
      <c r="AB202" s="11" t="str">
        <f t="shared" si="80"/>
        <v/>
      </c>
      <c r="AD202" s="11" t="str">
        <f t="shared" si="81"/>
        <v/>
      </c>
      <c r="AE202" s="11" t="str">
        <f t="shared" si="82"/>
        <v/>
      </c>
      <c r="AF202" s="11" t="str">
        <f t="shared" si="83"/>
        <v/>
      </c>
    </row>
    <row r="203" spans="1:48" ht="30" customHeight="1" outlineLevel="2">
      <c r="A203" s="125" t="s">
        <v>636</v>
      </c>
      <c r="B203" s="126" t="s">
        <v>637</v>
      </c>
      <c r="C203" s="134" t="s">
        <v>242</v>
      </c>
      <c r="E203" s="105">
        <f>MIN(N203,R203,V203,Z203,AD203)</f>
        <v>136.35599999999999</v>
      </c>
      <c r="F203" s="105">
        <f>AVERAGE(N203,R203,V203,Z203,AD203)</f>
        <v>165.29259999999999</v>
      </c>
      <c r="G203" s="105">
        <f>MAX(N203,R203,V203,Z203,AD203)</f>
        <v>220.08800000000002</v>
      </c>
      <c r="H203" s="106"/>
      <c r="I203" s="105">
        <f>MIN(T203,X203,AB203,AF203,P203)</f>
        <v>221.386</v>
      </c>
      <c r="J203" s="105">
        <f>AVERAGE(P203,T203,X203,AB203,AF203)</f>
        <v>284.83840000000004</v>
      </c>
      <c r="K203" s="105">
        <f>MAX(P203,T203,X203,AB203,AF203)</f>
        <v>328.94400000000007</v>
      </c>
      <c r="N203" s="107">
        <f t="shared" si="69"/>
        <v>163.09700000000004</v>
      </c>
      <c r="O203" s="107">
        <f t="shared" si="70"/>
        <v>229.93300000000002</v>
      </c>
      <c r="P203" s="107">
        <f t="shared" si="71"/>
        <v>328.94400000000007</v>
      </c>
      <c r="R203" s="107">
        <f t="shared" si="72"/>
        <v>220.08800000000002</v>
      </c>
      <c r="S203" s="107">
        <f t="shared" si="73"/>
        <v>206.51400000000004</v>
      </c>
      <c r="T203" s="107">
        <f t="shared" si="74"/>
        <v>318.03200000000004</v>
      </c>
      <c r="V203" s="107">
        <f t="shared" si="75"/>
        <v>136.35599999999999</v>
      </c>
      <c r="W203" s="107">
        <f t="shared" si="76"/>
        <v>191.97200000000004</v>
      </c>
      <c r="X203" s="107">
        <f t="shared" si="77"/>
        <v>267.63000000000005</v>
      </c>
      <c r="Z203" s="107">
        <f t="shared" si="78"/>
        <v>155.12200000000001</v>
      </c>
      <c r="AA203" s="107">
        <f t="shared" si="79"/>
        <v>189.40900000000002</v>
      </c>
      <c r="AB203" s="107">
        <f t="shared" si="80"/>
        <v>221.386</v>
      </c>
      <c r="AD203" s="107">
        <f t="shared" si="81"/>
        <v>151.80000000000001</v>
      </c>
      <c r="AE203" s="107">
        <f t="shared" si="82"/>
        <v>233.20000000000002</v>
      </c>
      <c r="AF203" s="107">
        <f t="shared" si="83"/>
        <v>288.20000000000005</v>
      </c>
      <c r="AH203" s="107">
        <v>148.27000000000001</v>
      </c>
      <c r="AI203" s="107">
        <v>209.03</v>
      </c>
      <c r="AJ203" s="107">
        <v>299.04000000000002</v>
      </c>
      <c r="AK203" s="107">
        <v>200.08</v>
      </c>
      <c r="AL203" s="107">
        <v>187.74</v>
      </c>
      <c r="AM203" s="107">
        <v>289.12</v>
      </c>
      <c r="AN203" s="107">
        <v>123.96</v>
      </c>
      <c r="AO203" s="107">
        <v>174.52</v>
      </c>
      <c r="AP203" s="107">
        <v>243.3</v>
      </c>
      <c r="AQ203" s="107">
        <v>141.02000000000001</v>
      </c>
      <c r="AR203" s="107">
        <v>172.19</v>
      </c>
      <c r="AS203" s="107">
        <v>201.26</v>
      </c>
      <c r="AT203" s="107">
        <v>138</v>
      </c>
      <c r="AU203" s="107">
        <v>212</v>
      </c>
      <c r="AV203" s="107">
        <v>262</v>
      </c>
    </row>
    <row r="204" spans="1:48" ht="30" customHeight="1" outlineLevel="2">
      <c r="A204" s="125" t="s">
        <v>638</v>
      </c>
      <c r="B204" s="126" t="s">
        <v>639</v>
      </c>
      <c r="C204" s="134" t="s">
        <v>242</v>
      </c>
      <c r="E204" s="105">
        <f>MIN(N204,R204,V204,Z204,AD204)</f>
        <v>196.28400000000002</v>
      </c>
      <c r="F204" s="105">
        <f>AVERAGE(N204,R204,V204,Z204,AD204)</f>
        <v>325.1160000000001</v>
      </c>
      <c r="G204" s="105">
        <f>MAX(N204,R204,V204,Z204,AD204)</f>
        <v>585.99200000000008</v>
      </c>
      <c r="H204" s="106"/>
      <c r="I204" s="105">
        <f>MIN(T204,X204,AB204,AF204,P204)</f>
        <v>398.69499999999999</v>
      </c>
      <c r="J204" s="105">
        <f>AVERAGE(P204,T204,X204,AB204,AF204)</f>
        <v>563.25940000000014</v>
      </c>
      <c r="K204" s="105">
        <f>MAX(P204,T204,X204,AB204,AF204)</f>
        <v>866.88800000000015</v>
      </c>
      <c r="N204" s="107">
        <f t="shared" si="69"/>
        <v>273.28399999999999</v>
      </c>
      <c r="O204" s="107">
        <f t="shared" si="70"/>
        <v>383.94400000000007</v>
      </c>
      <c r="P204" s="107">
        <f t="shared" si="71"/>
        <v>544.56600000000003</v>
      </c>
      <c r="R204" s="107">
        <f t="shared" si="72"/>
        <v>585.99200000000008</v>
      </c>
      <c r="S204" s="107">
        <f t="shared" si="73"/>
        <v>577.54399999999998</v>
      </c>
      <c r="T204" s="107">
        <f t="shared" si="74"/>
        <v>866.88800000000015</v>
      </c>
      <c r="V204" s="107">
        <f t="shared" si="75"/>
        <v>196.28400000000002</v>
      </c>
      <c r="W204" s="107">
        <f t="shared" si="76"/>
        <v>289.05799999999999</v>
      </c>
      <c r="X204" s="107">
        <f t="shared" si="77"/>
        <v>398.69499999999999</v>
      </c>
      <c r="Z204" s="107">
        <f t="shared" si="78"/>
        <v>296.12</v>
      </c>
      <c r="AA204" s="107">
        <f t="shared" si="79"/>
        <v>404.66800000000001</v>
      </c>
      <c r="AB204" s="107">
        <f t="shared" si="80"/>
        <v>497.94800000000004</v>
      </c>
      <c r="AD204" s="107">
        <f t="shared" si="81"/>
        <v>273.90000000000003</v>
      </c>
      <c r="AE204" s="107">
        <f t="shared" si="82"/>
        <v>416.90000000000003</v>
      </c>
      <c r="AF204" s="107">
        <f t="shared" si="83"/>
        <v>508.20000000000005</v>
      </c>
      <c r="AH204" s="107">
        <v>248.44</v>
      </c>
      <c r="AI204" s="107">
        <v>349.04</v>
      </c>
      <c r="AJ204" s="107">
        <v>495.06</v>
      </c>
      <c r="AK204" s="107">
        <v>532.72</v>
      </c>
      <c r="AL204" s="107">
        <v>525.04</v>
      </c>
      <c r="AM204" s="107">
        <v>788.08</v>
      </c>
      <c r="AN204" s="107">
        <v>178.44</v>
      </c>
      <c r="AO204" s="107">
        <v>262.77999999999997</v>
      </c>
      <c r="AP204" s="107">
        <v>362.45</v>
      </c>
      <c r="AQ204" s="107">
        <v>269.2</v>
      </c>
      <c r="AR204" s="107">
        <v>367.88</v>
      </c>
      <c r="AS204" s="107">
        <v>452.68</v>
      </c>
      <c r="AT204" s="107">
        <v>249</v>
      </c>
      <c r="AU204" s="107">
        <v>379</v>
      </c>
      <c r="AV204" s="107">
        <v>462</v>
      </c>
    </row>
    <row r="205" spans="1:48" ht="30" customHeight="1" outlineLevel="2">
      <c r="A205" s="125" t="s">
        <v>640</v>
      </c>
      <c r="B205" s="126" t="s">
        <v>641</v>
      </c>
      <c r="C205" s="134" t="s">
        <v>242</v>
      </c>
      <c r="E205" s="105">
        <f>MIN(N205,R205,V205,Z205,AD205)</f>
        <v>256.22300000000001</v>
      </c>
      <c r="F205" s="105">
        <f>AVERAGE(N205,R205,V205,Z205,AD205)</f>
        <v>475.97220000000004</v>
      </c>
      <c r="G205" s="105">
        <f>MAX(N205,R205,V205,Z205,AD205)</f>
        <v>951.89600000000007</v>
      </c>
      <c r="H205" s="106"/>
      <c r="I205" s="105">
        <f>MIN(T205,X205,AB205,AF205,P205)</f>
        <v>529.7600000000001</v>
      </c>
      <c r="J205" s="105">
        <f>AVERAGE(P205,T205,X205,AB205,AF205)</f>
        <v>817.9512000000002</v>
      </c>
      <c r="K205" s="105">
        <f>MAX(P205,T205,X205,AB205,AF205)</f>
        <v>1415.7440000000001</v>
      </c>
      <c r="N205" s="107">
        <f t="shared" si="69"/>
        <v>383.48200000000003</v>
      </c>
      <c r="O205" s="107">
        <f t="shared" si="70"/>
        <v>537.96600000000001</v>
      </c>
      <c r="P205" s="107">
        <f t="shared" si="71"/>
        <v>760.1880000000001</v>
      </c>
      <c r="R205" s="107">
        <f t="shared" si="72"/>
        <v>951.89600000000007</v>
      </c>
      <c r="S205" s="107">
        <f t="shared" si="73"/>
        <v>948.57400000000007</v>
      </c>
      <c r="T205" s="107">
        <f t="shared" si="74"/>
        <v>1415.7440000000001</v>
      </c>
      <c r="V205" s="107">
        <f t="shared" si="75"/>
        <v>256.22300000000001</v>
      </c>
      <c r="W205" s="107">
        <f t="shared" si="76"/>
        <v>386.14400000000006</v>
      </c>
      <c r="X205" s="107">
        <f t="shared" si="77"/>
        <v>529.7600000000001</v>
      </c>
      <c r="Z205" s="107">
        <f t="shared" si="78"/>
        <v>391.16000000000008</v>
      </c>
      <c r="AA205" s="107">
        <f t="shared" si="79"/>
        <v>537.72400000000005</v>
      </c>
      <c r="AB205" s="107">
        <f t="shared" si="80"/>
        <v>654.76400000000001</v>
      </c>
      <c r="AD205" s="107">
        <f t="shared" si="81"/>
        <v>397.1</v>
      </c>
      <c r="AE205" s="107">
        <f t="shared" si="82"/>
        <v>601.70000000000005</v>
      </c>
      <c r="AF205" s="107">
        <f t="shared" si="83"/>
        <v>729.30000000000007</v>
      </c>
      <c r="AH205" s="107">
        <v>348.62</v>
      </c>
      <c r="AI205" s="107">
        <v>489.06</v>
      </c>
      <c r="AJ205" s="107">
        <v>691.08</v>
      </c>
      <c r="AK205" s="107">
        <v>865.36</v>
      </c>
      <c r="AL205" s="107">
        <v>862.34</v>
      </c>
      <c r="AM205" s="107">
        <v>1287.04</v>
      </c>
      <c r="AN205" s="107">
        <v>232.93</v>
      </c>
      <c r="AO205" s="107">
        <v>351.04</v>
      </c>
      <c r="AP205" s="107">
        <v>481.6</v>
      </c>
      <c r="AQ205" s="107">
        <v>355.6</v>
      </c>
      <c r="AR205" s="107">
        <v>488.84</v>
      </c>
      <c r="AS205" s="107">
        <v>595.24</v>
      </c>
      <c r="AT205" s="107">
        <v>361</v>
      </c>
      <c r="AU205" s="107">
        <v>547</v>
      </c>
      <c r="AV205" s="107">
        <v>663</v>
      </c>
    </row>
    <row r="206" spans="1:48" ht="30" customHeight="1" outlineLevel="2">
      <c r="A206" s="125" t="s">
        <v>642</v>
      </c>
      <c r="B206" s="126" t="s">
        <v>643</v>
      </c>
      <c r="C206" s="134" t="s">
        <v>242</v>
      </c>
      <c r="E206" s="105">
        <f>MIN(N206,R206,V206,Z206,AD206)</f>
        <v>244.22200000000004</v>
      </c>
      <c r="F206" s="105">
        <f>AVERAGE(N206,R206,V206,Z206,AD206)</f>
        <v>328.25540000000007</v>
      </c>
      <c r="G206" s="105">
        <f>MAX(N206,R206,V206,Z206,AD206)</f>
        <v>533.72</v>
      </c>
      <c r="H206" s="106"/>
      <c r="I206" s="105">
        <f>MIN(T206,X206,AB206,AF206,P206)</f>
        <v>412.31299999999999</v>
      </c>
      <c r="J206" s="105">
        <f>AVERAGE(P206,T206,X206,AB206,AF206)</f>
        <v>582.8768</v>
      </c>
      <c r="K206" s="105">
        <f>MAX(P206,T206,X206,AB206,AF206)</f>
        <v>788.48</v>
      </c>
      <c r="N206" s="107">
        <f t="shared" si="69"/>
        <v>273.28399999999999</v>
      </c>
      <c r="O206" s="107">
        <f t="shared" si="70"/>
        <v>383.94400000000007</v>
      </c>
      <c r="P206" s="107">
        <f t="shared" si="71"/>
        <v>544.56600000000003</v>
      </c>
      <c r="R206" s="107">
        <f t="shared" si="72"/>
        <v>533.72</v>
      </c>
      <c r="S206" s="107">
        <f t="shared" si="73"/>
        <v>524.53500000000008</v>
      </c>
      <c r="T206" s="107">
        <f t="shared" si="74"/>
        <v>788.48</v>
      </c>
      <c r="V206" s="107">
        <f t="shared" si="75"/>
        <v>316.15100000000007</v>
      </c>
      <c r="W206" s="107">
        <f t="shared" si="76"/>
        <v>483.23000000000008</v>
      </c>
      <c r="X206" s="107">
        <f t="shared" si="77"/>
        <v>660.82500000000005</v>
      </c>
      <c r="Z206" s="107">
        <f t="shared" si="78"/>
        <v>244.22200000000004</v>
      </c>
      <c r="AA206" s="107">
        <f t="shared" si="79"/>
        <v>332.01300000000003</v>
      </c>
      <c r="AB206" s="107">
        <f t="shared" si="80"/>
        <v>412.31299999999999</v>
      </c>
      <c r="AD206" s="107">
        <f t="shared" si="81"/>
        <v>273.90000000000003</v>
      </c>
      <c r="AE206" s="107">
        <f t="shared" si="82"/>
        <v>416.90000000000003</v>
      </c>
      <c r="AF206" s="107">
        <f t="shared" si="83"/>
        <v>508.20000000000005</v>
      </c>
      <c r="AH206" s="107">
        <v>248.44</v>
      </c>
      <c r="AI206" s="107">
        <v>349.04</v>
      </c>
      <c r="AJ206" s="107">
        <v>495.06</v>
      </c>
      <c r="AK206" s="107">
        <v>485.2</v>
      </c>
      <c r="AL206" s="107">
        <v>476.85</v>
      </c>
      <c r="AM206" s="107">
        <v>716.8</v>
      </c>
      <c r="AN206" s="107">
        <v>287.41000000000003</v>
      </c>
      <c r="AO206" s="107">
        <v>439.3</v>
      </c>
      <c r="AP206" s="107">
        <v>600.75</v>
      </c>
      <c r="AQ206" s="107">
        <v>222.02</v>
      </c>
      <c r="AR206" s="107">
        <v>301.83</v>
      </c>
      <c r="AS206" s="107">
        <v>374.83</v>
      </c>
      <c r="AT206" s="107">
        <v>249</v>
      </c>
      <c r="AU206" s="107">
        <v>379</v>
      </c>
      <c r="AV206" s="107">
        <v>462</v>
      </c>
    </row>
    <row r="207" spans="1:48" ht="30" customHeight="1" outlineLevel="2">
      <c r="A207" s="125" t="s">
        <v>644</v>
      </c>
      <c r="B207" s="126" t="s">
        <v>645</v>
      </c>
      <c r="C207" s="134" t="s">
        <v>242</v>
      </c>
      <c r="E207" s="105">
        <f>MIN(N207,R207,V207,Z207,AD207)</f>
        <v>427.90000000000003</v>
      </c>
      <c r="F207" s="105">
        <f>AVERAGE(N207,R207,V207,Z207,AD207)</f>
        <v>686.08100000000002</v>
      </c>
      <c r="G207" s="105">
        <f>MAX(N207,R207,V207,Z207,AD207)</f>
        <v>847.35200000000009</v>
      </c>
      <c r="H207" s="106"/>
      <c r="I207" s="105">
        <f>MIN(T207,X207,AB207,AF207,P207)</f>
        <v>785.40000000000009</v>
      </c>
      <c r="J207" s="105">
        <f>AVERAGE(P207,T207,X207,AB207,AF207)</f>
        <v>1243.979</v>
      </c>
      <c r="K207" s="105">
        <f>MAX(P207,T207,X207,AB207,AF207)</f>
        <v>1578.2910000000002</v>
      </c>
      <c r="N207" s="107">
        <f t="shared" si="69"/>
        <v>769.15300000000013</v>
      </c>
      <c r="O207" s="107">
        <f t="shared" si="70"/>
        <v>1077.0210000000002</v>
      </c>
      <c r="P207" s="107">
        <f t="shared" si="71"/>
        <v>1514.8650000000002</v>
      </c>
      <c r="R207" s="107">
        <f t="shared" si="72"/>
        <v>847.35200000000009</v>
      </c>
      <c r="S207" s="107">
        <f t="shared" si="73"/>
        <v>842.55600000000015</v>
      </c>
      <c r="T207" s="107">
        <f t="shared" si="74"/>
        <v>1258.9280000000001</v>
      </c>
      <c r="V207" s="107">
        <f t="shared" si="75"/>
        <v>735.65800000000002</v>
      </c>
      <c r="W207" s="107">
        <f t="shared" si="76"/>
        <v>1162.8319999999999</v>
      </c>
      <c r="X207" s="107">
        <f t="shared" si="77"/>
        <v>1578.2910000000002</v>
      </c>
      <c r="Z207" s="107">
        <f t="shared" si="78"/>
        <v>650.3420000000001</v>
      </c>
      <c r="AA207" s="107">
        <f t="shared" si="79"/>
        <v>900.58100000000013</v>
      </c>
      <c r="AB207" s="107">
        <f t="shared" si="80"/>
        <v>1082.4110000000001</v>
      </c>
      <c r="AD207" s="107">
        <f t="shared" si="81"/>
        <v>427.90000000000003</v>
      </c>
      <c r="AE207" s="107">
        <f t="shared" si="82"/>
        <v>647.90000000000009</v>
      </c>
      <c r="AF207" s="107">
        <f t="shared" si="83"/>
        <v>785.40000000000009</v>
      </c>
      <c r="AH207" s="107">
        <v>699.23</v>
      </c>
      <c r="AI207" s="107">
        <v>979.11</v>
      </c>
      <c r="AJ207" s="107">
        <v>1377.15</v>
      </c>
      <c r="AK207" s="107">
        <v>770.32</v>
      </c>
      <c r="AL207" s="107">
        <v>765.96</v>
      </c>
      <c r="AM207" s="107">
        <v>1144.48</v>
      </c>
      <c r="AN207" s="107">
        <v>668.78</v>
      </c>
      <c r="AO207" s="107">
        <v>1057.1199999999999</v>
      </c>
      <c r="AP207" s="107">
        <v>1434.81</v>
      </c>
      <c r="AQ207" s="107">
        <v>591.22</v>
      </c>
      <c r="AR207" s="107">
        <v>818.71</v>
      </c>
      <c r="AS207" s="107">
        <v>984.01</v>
      </c>
      <c r="AT207" s="107">
        <v>389</v>
      </c>
      <c r="AU207" s="107">
        <v>589</v>
      </c>
      <c r="AV207" s="107">
        <v>714</v>
      </c>
    </row>
    <row r="208" spans="1:48" ht="30" customHeight="1" outlineLevel="1">
      <c r="A208" s="121" t="s">
        <v>646</v>
      </c>
      <c r="B208" s="135" t="s">
        <v>647</v>
      </c>
      <c r="C208" s="111"/>
      <c r="N208" s="11" t="str">
        <f t="shared" si="69"/>
        <v/>
      </c>
      <c r="O208" s="11" t="str">
        <f t="shared" si="70"/>
        <v/>
      </c>
      <c r="P208" s="11" t="str">
        <f t="shared" si="71"/>
        <v/>
      </c>
      <c r="R208" s="11" t="str">
        <f t="shared" si="72"/>
        <v/>
      </c>
      <c r="S208" s="11" t="str">
        <f t="shared" si="73"/>
        <v/>
      </c>
      <c r="T208" s="11" t="str">
        <f t="shared" si="74"/>
        <v/>
      </c>
      <c r="V208" s="11" t="str">
        <f t="shared" si="75"/>
        <v/>
      </c>
      <c r="W208" s="11" t="str">
        <f t="shared" si="76"/>
        <v/>
      </c>
      <c r="X208" s="11" t="str">
        <f t="shared" si="77"/>
        <v/>
      </c>
      <c r="Z208" s="11" t="str">
        <f t="shared" si="78"/>
        <v/>
      </c>
      <c r="AA208" s="11" t="str">
        <f t="shared" si="79"/>
        <v/>
      </c>
      <c r="AB208" s="11" t="str">
        <f t="shared" si="80"/>
        <v/>
      </c>
      <c r="AD208" s="11" t="str">
        <f t="shared" si="81"/>
        <v/>
      </c>
      <c r="AE208" s="11" t="str">
        <f t="shared" si="82"/>
        <v/>
      </c>
      <c r="AF208" s="11" t="str">
        <f t="shared" si="83"/>
        <v/>
      </c>
    </row>
    <row r="209" spans="1:48" ht="30" customHeight="1" outlineLevel="2">
      <c r="A209" s="125" t="s">
        <v>648</v>
      </c>
      <c r="B209" s="126" t="s">
        <v>649</v>
      </c>
      <c r="C209" s="134" t="s">
        <v>242</v>
      </c>
      <c r="E209" s="105">
        <f>MIN(N209,R209,V209,Z209,AD209)</f>
        <v>150.77700000000002</v>
      </c>
      <c r="F209" s="105">
        <f>AVERAGE(N209,R209,V209,Z209,AD209)</f>
        <v>199.36400000000003</v>
      </c>
      <c r="G209" s="105">
        <f>MAX(N209,R209,V209,Z209,AD209)</f>
        <v>226.25900000000001</v>
      </c>
      <c r="H209" s="106"/>
      <c r="I209" s="105">
        <f>MIN(T209,X209,AB209,AF209,P209)</f>
        <v>234.80600000000004</v>
      </c>
      <c r="J209" s="105">
        <f>AVERAGE(P209,T209,X209,AB209,AF209)</f>
        <v>359.18520000000001</v>
      </c>
      <c r="K209" s="105">
        <f>MAX(P209,T209,X209,AB209,AF209)</f>
        <v>464.233</v>
      </c>
      <c r="N209" s="107">
        <f t="shared" si="69"/>
        <v>218.19600000000003</v>
      </c>
      <c r="O209" s="107">
        <f t="shared" si="70"/>
        <v>306.93299999999999</v>
      </c>
      <c r="P209" s="107">
        <f t="shared" si="71"/>
        <v>436.75500000000005</v>
      </c>
      <c r="R209" s="107">
        <f t="shared" si="72"/>
        <v>220.08800000000002</v>
      </c>
      <c r="S209" s="107">
        <f t="shared" si="73"/>
        <v>206.51400000000004</v>
      </c>
      <c r="T209" s="107">
        <f t="shared" si="74"/>
        <v>318.03200000000004</v>
      </c>
      <c r="V209" s="107">
        <f t="shared" si="75"/>
        <v>226.25900000000001</v>
      </c>
      <c r="W209" s="107">
        <f t="shared" si="76"/>
        <v>337.60100000000006</v>
      </c>
      <c r="X209" s="107">
        <f t="shared" si="77"/>
        <v>464.233</v>
      </c>
      <c r="Z209" s="107">
        <f t="shared" si="78"/>
        <v>150.77700000000002</v>
      </c>
      <c r="AA209" s="107">
        <f t="shared" si="79"/>
        <v>199.26500000000001</v>
      </c>
      <c r="AB209" s="107">
        <f t="shared" si="80"/>
        <v>234.80600000000004</v>
      </c>
      <c r="AD209" s="107">
        <f t="shared" si="81"/>
        <v>181.50000000000003</v>
      </c>
      <c r="AE209" s="107">
        <f t="shared" si="82"/>
        <v>278.3</v>
      </c>
      <c r="AF209" s="107">
        <f t="shared" si="83"/>
        <v>342.1</v>
      </c>
      <c r="AH209" s="107">
        <v>198.36</v>
      </c>
      <c r="AI209" s="107">
        <v>279.02999999999997</v>
      </c>
      <c r="AJ209" s="107">
        <v>397.05</v>
      </c>
      <c r="AK209" s="107">
        <v>200.08</v>
      </c>
      <c r="AL209" s="107">
        <v>187.74</v>
      </c>
      <c r="AM209" s="107">
        <v>289.12</v>
      </c>
      <c r="AN209" s="107">
        <v>205.69</v>
      </c>
      <c r="AO209" s="107">
        <v>306.91000000000003</v>
      </c>
      <c r="AP209" s="107">
        <v>422.03</v>
      </c>
      <c r="AQ209" s="107">
        <v>137.07</v>
      </c>
      <c r="AR209" s="107">
        <v>181.15</v>
      </c>
      <c r="AS209" s="107">
        <v>213.46</v>
      </c>
      <c r="AT209" s="107">
        <v>165</v>
      </c>
      <c r="AU209" s="107">
        <v>253</v>
      </c>
      <c r="AV209" s="107">
        <v>311</v>
      </c>
    </row>
    <row r="210" spans="1:48" ht="30" customHeight="1" outlineLevel="2">
      <c r="A210" s="125" t="s">
        <v>650</v>
      </c>
      <c r="B210" s="126" t="s">
        <v>651</v>
      </c>
      <c r="C210" s="134" t="s">
        <v>242</v>
      </c>
      <c r="E210" s="105">
        <f>MIN(N210,R210,V210,Z210,AD210)</f>
        <v>256.22300000000001</v>
      </c>
      <c r="F210" s="105">
        <f>AVERAGE(N210,R210,V210,Z210,AD210)</f>
        <v>421.13500000000005</v>
      </c>
      <c r="G210" s="105">
        <f>MAX(N210,R210,V210,Z210,AD210)</f>
        <v>638.26400000000001</v>
      </c>
      <c r="H210" s="106"/>
      <c r="I210" s="105">
        <f>MIN(T210,X210,AB210,AF210,P210)</f>
        <v>497.94800000000004</v>
      </c>
      <c r="J210" s="105">
        <f>AVERAGE(P210,T210,X210,AB210,AF210)</f>
        <v>746.18500000000006</v>
      </c>
      <c r="K210" s="105">
        <f>MAX(P210,T210,X210,AB210,AF210)</f>
        <v>1083.6210000000001</v>
      </c>
      <c r="N210" s="107">
        <f t="shared" si="69"/>
        <v>548.76800000000003</v>
      </c>
      <c r="O210" s="107">
        <f t="shared" si="70"/>
        <v>768.98800000000006</v>
      </c>
      <c r="P210" s="107">
        <f t="shared" si="71"/>
        <v>1083.6210000000001</v>
      </c>
      <c r="R210" s="107">
        <f t="shared" si="72"/>
        <v>638.26400000000001</v>
      </c>
      <c r="S210" s="107">
        <f t="shared" si="73"/>
        <v>630.54200000000003</v>
      </c>
      <c r="T210" s="107">
        <f t="shared" si="74"/>
        <v>945.29600000000005</v>
      </c>
      <c r="V210" s="107">
        <f t="shared" si="75"/>
        <v>256.22300000000001</v>
      </c>
      <c r="W210" s="107">
        <f t="shared" si="76"/>
        <v>386.14400000000006</v>
      </c>
      <c r="X210" s="107">
        <f t="shared" si="77"/>
        <v>529.7600000000001</v>
      </c>
      <c r="Z210" s="107">
        <f t="shared" si="78"/>
        <v>296.12</v>
      </c>
      <c r="AA210" s="107">
        <f t="shared" si="79"/>
        <v>404.66800000000001</v>
      </c>
      <c r="AB210" s="107">
        <f t="shared" si="80"/>
        <v>497.94800000000004</v>
      </c>
      <c r="AD210" s="107">
        <f t="shared" si="81"/>
        <v>366.3</v>
      </c>
      <c r="AE210" s="107">
        <f t="shared" si="82"/>
        <v>555.5</v>
      </c>
      <c r="AF210" s="107">
        <f t="shared" si="83"/>
        <v>674.30000000000007</v>
      </c>
      <c r="AH210" s="107">
        <v>498.88</v>
      </c>
      <c r="AI210" s="107">
        <v>699.08</v>
      </c>
      <c r="AJ210" s="107">
        <v>985.11</v>
      </c>
      <c r="AK210" s="107">
        <v>580.24</v>
      </c>
      <c r="AL210" s="107">
        <v>573.22</v>
      </c>
      <c r="AM210" s="107">
        <v>859.36</v>
      </c>
      <c r="AN210" s="107">
        <v>232.93</v>
      </c>
      <c r="AO210" s="107">
        <v>351.04</v>
      </c>
      <c r="AP210" s="107">
        <v>481.6</v>
      </c>
      <c r="AQ210" s="107">
        <v>269.2</v>
      </c>
      <c r="AR210" s="107">
        <v>367.88</v>
      </c>
      <c r="AS210" s="107">
        <v>452.68</v>
      </c>
      <c r="AT210" s="107">
        <v>333</v>
      </c>
      <c r="AU210" s="107">
        <v>505</v>
      </c>
      <c r="AV210" s="107">
        <v>613</v>
      </c>
    </row>
    <row r="211" spans="1:48" ht="30" customHeight="1" outlineLevel="2">
      <c r="A211" s="125" t="s">
        <v>652</v>
      </c>
      <c r="B211" s="126" t="s">
        <v>653</v>
      </c>
      <c r="C211" s="134" t="s">
        <v>242</v>
      </c>
      <c r="E211" s="105">
        <f>MIN(N211,R211,V211,Z211,AD211)</f>
        <v>316.15100000000007</v>
      </c>
      <c r="F211" s="105">
        <f>AVERAGE(N211,R211,V211,Z211,AD211)</f>
        <v>650.20339999999999</v>
      </c>
      <c r="G211" s="105">
        <f>MAX(N211,R211,V211,Z211,AD211)</f>
        <v>1004.1680000000001</v>
      </c>
      <c r="H211" s="106"/>
      <c r="I211" s="105">
        <f>MIN(T211,X211,AB211,AF211,P211)</f>
        <v>654.76400000000001</v>
      </c>
      <c r="J211" s="105">
        <f>AVERAGE(P211,T211,X211,AB211,AF211)</f>
        <v>1152.25</v>
      </c>
      <c r="K211" s="105">
        <f>MAX(P211,T211,X211,AB211,AF211)</f>
        <v>1946.1090000000002</v>
      </c>
      <c r="N211" s="107">
        <f t="shared" si="69"/>
        <v>989.53800000000012</v>
      </c>
      <c r="O211" s="107">
        <f t="shared" si="70"/>
        <v>1385.0430000000001</v>
      </c>
      <c r="P211" s="107">
        <f t="shared" si="71"/>
        <v>1946.1090000000002</v>
      </c>
      <c r="R211" s="107">
        <f t="shared" si="72"/>
        <v>1004.1680000000001</v>
      </c>
      <c r="S211" s="107">
        <f t="shared" si="73"/>
        <v>1001.5720000000001</v>
      </c>
      <c r="T211" s="107">
        <f t="shared" si="74"/>
        <v>1494.152</v>
      </c>
      <c r="V211" s="107">
        <f t="shared" si="75"/>
        <v>316.15100000000007</v>
      </c>
      <c r="W211" s="107">
        <f t="shared" si="76"/>
        <v>483.23000000000008</v>
      </c>
      <c r="X211" s="107">
        <f t="shared" si="77"/>
        <v>660.82500000000005</v>
      </c>
      <c r="Z211" s="107">
        <f t="shared" si="78"/>
        <v>391.16000000000008</v>
      </c>
      <c r="AA211" s="107">
        <f t="shared" si="79"/>
        <v>537.72400000000005</v>
      </c>
      <c r="AB211" s="107">
        <f t="shared" si="80"/>
        <v>654.76400000000001</v>
      </c>
      <c r="AD211" s="107">
        <f t="shared" si="81"/>
        <v>550</v>
      </c>
      <c r="AE211" s="107">
        <f t="shared" si="82"/>
        <v>830.50000000000011</v>
      </c>
      <c r="AF211" s="107">
        <f t="shared" si="83"/>
        <v>1005.4000000000001</v>
      </c>
      <c r="AH211" s="107">
        <v>899.58</v>
      </c>
      <c r="AI211" s="107">
        <v>1259.1300000000001</v>
      </c>
      <c r="AJ211" s="107">
        <v>1769.19</v>
      </c>
      <c r="AK211" s="107">
        <v>912.88</v>
      </c>
      <c r="AL211" s="107">
        <v>910.52</v>
      </c>
      <c r="AM211" s="107">
        <v>1358.32</v>
      </c>
      <c r="AN211" s="107">
        <v>287.41000000000003</v>
      </c>
      <c r="AO211" s="107">
        <v>439.3</v>
      </c>
      <c r="AP211" s="107">
        <v>600.75</v>
      </c>
      <c r="AQ211" s="107">
        <v>355.6</v>
      </c>
      <c r="AR211" s="107">
        <v>488.84</v>
      </c>
      <c r="AS211" s="107">
        <v>595.24</v>
      </c>
      <c r="AT211" s="107">
        <v>500</v>
      </c>
      <c r="AU211" s="107">
        <v>755</v>
      </c>
      <c r="AV211" s="107">
        <v>914</v>
      </c>
    </row>
    <row r="212" spans="1:48" ht="30" customHeight="1" outlineLevel="2">
      <c r="A212" s="125" t="s">
        <v>654</v>
      </c>
      <c r="B212" s="126" t="s">
        <v>655</v>
      </c>
      <c r="C212" s="134" t="s">
        <v>242</v>
      </c>
      <c r="E212" s="105">
        <f>MIN(N212,R212,V212,Z212,AD212)</f>
        <v>339.68000000000006</v>
      </c>
      <c r="F212" s="105">
        <f>AVERAGE(N212,R212,V212,Z212,AD212)</f>
        <v>443.36380000000008</v>
      </c>
      <c r="G212" s="105">
        <f>MAX(N212,R212,V212,Z212,AD212)</f>
        <v>585.99200000000008</v>
      </c>
      <c r="H212" s="106"/>
      <c r="I212" s="105">
        <f>MIN(T212,X212,AB212,AF212,P212)</f>
        <v>569.822</v>
      </c>
      <c r="J212" s="105">
        <f>AVERAGE(P212,T212,X212,AB212,AF212)</f>
        <v>797.30640000000017</v>
      </c>
      <c r="K212" s="105">
        <f>MAX(P212,T212,X212,AB212,AF212)</f>
        <v>1083.6210000000001</v>
      </c>
      <c r="N212" s="107">
        <f t="shared" si="69"/>
        <v>548.76800000000003</v>
      </c>
      <c r="O212" s="107">
        <f t="shared" si="70"/>
        <v>768.98800000000006</v>
      </c>
      <c r="P212" s="107">
        <f t="shared" si="71"/>
        <v>1083.6210000000001</v>
      </c>
      <c r="R212" s="107">
        <f t="shared" si="72"/>
        <v>585.99200000000008</v>
      </c>
      <c r="S212" s="107">
        <f t="shared" si="73"/>
        <v>577.54399999999998</v>
      </c>
      <c r="T212" s="107">
        <f t="shared" si="74"/>
        <v>866.88800000000015</v>
      </c>
      <c r="V212" s="107">
        <f t="shared" si="75"/>
        <v>376.07900000000001</v>
      </c>
      <c r="W212" s="107">
        <f t="shared" si="76"/>
        <v>580.31600000000003</v>
      </c>
      <c r="X212" s="107">
        <f t="shared" si="77"/>
        <v>791.90100000000007</v>
      </c>
      <c r="Z212" s="107">
        <f t="shared" si="78"/>
        <v>339.68000000000006</v>
      </c>
      <c r="AA212" s="107">
        <f t="shared" si="79"/>
        <v>465.65200000000004</v>
      </c>
      <c r="AB212" s="107">
        <f t="shared" si="80"/>
        <v>569.822</v>
      </c>
      <c r="AD212" s="107">
        <f t="shared" si="81"/>
        <v>366.3</v>
      </c>
      <c r="AE212" s="107">
        <f t="shared" si="82"/>
        <v>555.5</v>
      </c>
      <c r="AF212" s="107">
        <f t="shared" si="83"/>
        <v>674.30000000000007</v>
      </c>
      <c r="AH212" s="107">
        <v>498.88</v>
      </c>
      <c r="AI212" s="107">
        <v>699.08</v>
      </c>
      <c r="AJ212" s="107">
        <v>985.11</v>
      </c>
      <c r="AK212" s="107">
        <v>532.72</v>
      </c>
      <c r="AL212" s="107">
        <v>525.04</v>
      </c>
      <c r="AM212" s="107">
        <v>788.08</v>
      </c>
      <c r="AN212" s="107">
        <v>341.89</v>
      </c>
      <c r="AO212" s="107">
        <v>527.55999999999995</v>
      </c>
      <c r="AP212" s="107">
        <v>719.91</v>
      </c>
      <c r="AQ212" s="107">
        <v>308.8</v>
      </c>
      <c r="AR212" s="107">
        <v>423.32</v>
      </c>
      <c r="AS212" s="107">
        <v>518.02</v>
      </c>
      <c r="AT212" s="107">
        <v>333</v>
      </c>
      <c r="AU212" s="107">
        <v>505</v>
      </c>
      <c r="AV212" s="107">
        <v>613</v>
      </c>
    </row>
    <row r="213" spans="1:48" ht="30" customHeight="1" outlineLevel="2">
      <c r="A213" s="125" t="s">
        <v>656</v>
      </c>
      <c r="B213" s="126" t="s">
        <v>657</v>
      </c>
      <c r="C213" s="134" t="s">
        <v>242</v>
      </c>
      <c r="E213" s="105">
        <f>MIN(N213,R213,V213,Z213,AD213)</f>
        <v>427.90000000000003</v>
      </c>
      <c r="F213" s="105">
        <f>AVERAGE(N213,R213,V213,Z213,AD213)</f>
        <v>710.05220000000008</v>
      </c>
      <c r="G213" s="105">
        <f>MAX(N213,R213,V213,Z213,AD213)</f>
        <v>855.51400000000012</v>
      </c>
      <c r="H213" s="106"/>
      <c r="I213" s="105">
        <f>MIN(T213,X213,AB213,AF213,P213)</f>
        <v>785.40000000000009</v>
      </c>
      <c r="J213" s="105">
        <f>AVERAGE(P213,T213,X213,AB213,AF213)</f>
        <v>1296.4050000000002</v>
      </c>
      <c r="K213" s="105">
        <f>MAX(P213,T213,X213,AB213,AF213)</f>
        <v>1840.421</v>
      </c>
      <c r="N213" s="107">
        <f t="shared" si="69"/>
        <v>769.15300000000013</v>
      </c>
      <c r="O213" s="107">
        <f t="shared" si="70"/>
        <v>1077.0210000000002</v>
      </c>
      <c r="P213" s="107">
        <f t="shared" si="71"/>
        <v>1514.8650000000002</v>
      </c>
      <c r="R213" s="107">
        <f t="shared" si="72"/>
        <v>847.35200000000009</v>
      </c>
      <c r="S213" s="107">
        <f t="shared" si="73"/>
        <v>842.55600000000015</v>
      </c>
      <c r="T213" s="107">
        <f t="shared" si="74"/>
        <v>1258.9280000000001</v>
      </c>
      <c r="V213" s="107">
        <f t="shared" si="75"/>
        <v>855.51400000000012</v>
      </c>
      <c r="W213" s="107">
        <f t="shared" si="76"/>
        <v>1357.0040000000001</v>
      </c>
      <c r="X213" s="107">
        <f t="shared" si="77"/>
        <v>1840.421</v>
      </c>
      <c r="Z213" s="107">
        <f t="shared" si="78"/>
        <v>650.3420000000001</v>
      </c>
      <c r="AA213" s="107">
        <f t="shared" si="79"/>
        <v>900.58100000000013</v>
      </c>
      <c r="AB213" s="107">
        <f t="shared" si="80"/>
        <v>1082.4110000000001</v>
      </c>
      <c r="AD213" s="107">
        <f t="shared" si="81"/>
        <v>427.90000000000003</v>
      </c>
      <c r="AE213" s="107">
        <f t="shared" si="82"/>
        <v>647.90000000000009</v>
      </c>
      <c r="AF213" s="107">
        <f t="shared" si="83"/>
        <v>785.40000000000009</v>
      </c>
      <c r="AH213" s="107">
        <v>699.23</v>
      </c>
      <c r="AI213" s="107">
        <v>979.11</v>
      </c>
      <c r="AJ213" s="107">
        <v>1377.15</v>
      </c>
      <c r="AK213" s="107">
        <v>770.32</v>
      </c>
      <c r="AL213" s="107">
        <v>765.96</v>
      </c>
      <c r="AM213" s="107">
        <v>1144.48</v>
      </c>
      <c r="AN213" s="107">
        <v>777.74</v>
      </c>
      <c r="AO213" s="107">
        <v>1233.6400000000001</v>
      </c>
      <c r="AP213" s="107">
        <v>1673.11</v>
      </c>
      <c r="AQ213" s="107">
        <v>591.22</v>
      </c>
      <c r="AR213" s="107">
        <v>818.71</v>
      </c>
      <c r="AS213" s="107">
        <v>984.01</v>
      </c>
      <c r="AT213" s="107">
        <v>389</v>
      </c>
      <c r="AU213" s="107">
        <v>589</v>
      </c>
      <c r="AV213" s="107">
        <v>714</v>
      </c>
    </row>
    <row r="214" spans="1:48" ht="30" customHeight="1" outlineLevel="1">
      <c r="A214" s="127" t="s">
        <v>658</v>
      </c>
      <c r="B214" s="133" t="s">
        <v>659</v>
      </c>
      <c r="C214" s="101"/>
      <c r="N214" s="11" t="str">
        <f t="shared" si="69"/>
        <v/>
      </c>
      <c r="O214" s="11" t="str">
        <f t="shared" si="70"/>
        <v/>
      </c>
      <c r="P214" s="11" t="str">
        <f t="shared" si="71"/>
        <v/>
      </c>
      <c r="R214" s="11" t="str">
        <f t="shared" si="72"/>
        <v/>
      </c>
      <c r="S214" s="11" t="str">
        <f t="shared" si="73"/>
        <v/>
      </c>
      <c r="T214" s="11" t="str">
        <f t="shared" si="74"/>
        <v/>
      </c>
      <c r="V214" s="11" t="str">
        <f t="shared" si="75"/>
        <v/>
      </c>
      <c r="W214" s="11" t="str">
        <f t="shared" si="76"/>
        <v/>
      </c>
      <c r="X214" s="11" t="str">
        <f t="shared" si="77"/>
        <v/>
      </c>
      <c r="Z214" s="11" t="str">
        <f t="shared" si="78"/>
        <v/>
      </c>
      <c r="AA214" s="11" t="str">
        <f t="shared" si="79"/>
        <v/>
      </c>
      <c r="AB214" s="11" t="str">
        <f t="shared" si="80"/>
        <v/>
      </c>
      <c r="AD214" s="11" t="str">
        <f t="shared" si="81"/>
        <v/>
      </c>
      <c r="AE214" s="11" t="str">
        <f t="shared" si="82"/>
        <v/>
      </c>
      <c r="AF214" s="11" t="str">
        <f t="shared" si="83"/>
        <v/>
      </c>
    </row>
    <row r="215" spans="1:48" ht="30" customHeight="1" outlineLevel="2">
      <c r="A215" s="125" t="s">
        <v>660</v>
      </c>
      <c r="B215" s="126" t="s">
        <v>661</v>
      </c>
      <c r="C215" s="134" t="s">
        <v>242</v>
      </c>
      <c r="E215" s="105">
        <f>MIN(N215,R215,V215,Z215,AD215)</f>
        <v>183.70000000000002</v>
      </c>
      <c r="F215" s="105">
        <f>AVERAGE(N215,R215,V215,Z215,AD215)</f>
        <v>264.5566</v>
      </c>
      <c r="G215" s="105">
        <f>MAX(N215,R215,V215,Z215,AD215)</f>
        <v>376.07900000000001</v>
      </c>
      <c r="H215" s="106"/>
      <c r="I215" s="105">
        <f>MIN(T215,X215,AB215,AF215,P215)</f>
        <v>345.40000000000003</v>
      </c>
      <c r="J215" s="105">
        <f>AVERAGE(P215,T215,X215,AB215,AF215)</f>
        <v>485.04720000000009</v>
      </c>
      <c r="K215" s="105">
        <f>MAX(P215,T215,X215,AB215,AF215)</f>
        <v>791.90100000000007</v>
      </c>
      <c r="N215" s="107">
        <f t="shared" si="69"/>
        <v>224.58700000000002</v>
      </c>
      <c r="O215" s="107">
        <f t="shared" si="70"/>
        <v>313.32400000000001</v>
      </c>
      <c r="P215" s="107">
        <f t="shared" si="71"/>
        <v>443.14600000000007</v>
      </c>
      <c r="R215" s="107">
        <f t="shared" si="72"/>
        <v>272.36</v>
      </c>
      <c r="S215" s="107">
        <f t="shared" si="73"/>
        <v>259.52300000000002</v>
      </c>
      <c r="T215" s="107">
        <f t="shared" si="74"/>
        <v>396.44</v>
      </c>
      <c r="V215" s="107">
        <f t="shared" si="75"/>
        <v>376.07900000000001</v>
      </c>
      <c r="W215" s="107">
        <f t="shared" si="76"/>
        <v>580.31600000000003</v>
      </c>
      <c r="X215" s="107">
        <f t="shared" si="77"/>
        <v>791.90100000000007</v>
      </c>
      <c r="Z215" s="107">
        <f t="shared" si="78"/>
        <v>266.05700000000002</v>
      </c>
      <c r="AA215" s="107">
        <f t="shared" si="79"/>
        <v>362.58200000000005</v>
      </c>
      <c r="AB215" s="107">
        <f t="shared" si="80"/>
        <v>448.34899999999999</v>
      </c>
      <c r="AD215" s="107">
        <f t="shared" si="81"/>
        <v>183.70000000000002</v>
      </c>
      <c r="AE215" s="107">
        <f t="shared" si="82"/>
        <v>281.60000000000002</v>
      </c>
      <c r="AF215" s="107">
        <f t="shared" si="83"/>
        <v>345.40000000000003</v>
      </c>
      <c r="AH215" s="107">
        <v>204.17</v>
      </c>
      <c r="AI215" s="107">
        <v>284.83999999999997</v>
      </c>
      <c r="AJ215" s="107">
        <v>402.86</v>
      </c>
      <c r="AK215" s="107">
        <v>247.6</v>
      </c>
      <c r="AL215" s="107">
        <v>235.93</v>
      </c>
      <c r="AM215" s="107">
        <v>360.4</v>
      </c>
      <c r="AN215" s="107">
        <v>341.89</v>
      </c>
      <c r="AO215" s="107">
        <v>527.55999999999995</v>
      </c>
      <c r="AP215" s="107">
        <v>719.91</v>
      </c>
      <c r="AQ215" s="107">
        <v>241.87</v>
      </c>
      <c r="AR215" s="107">
        <v>329.62</v>
      </c>
      <c r="AS215" s="107">
        <v>407.59</v>
      </c>
      <c r="AT215" s="107">
        <v>167</v>
      </c>
      <c r="AU215" s="107">
        <v>256</v>
      </c>
      <c r="AV215" s="107">
        <v>314</v>
      </c>
    </row>
    <row r="216" spans="1:48" ht="30" customHeight="1" outlineLevel="2">
      <c r="A216" s="125" t="s">
        <v>662</v>
      </c>
      <c r="B216" s="126" t="s">
        <v>663</v>
      </c>
      <c r="C216" s="134" t="s">
        <v>242</v>
      </c>
      <c r="E216" s="105">
        <f>MIN(N216,R216,V216,Z216,AD216)</f>
        <v>431.20000000000005</v>
      </c>
      <c r="F216" s="105">
        <f>AVERAGE(N216,R216,V216,Z216,AD216)</f>
        <v>485.92720000000008</v>
      </c>
      <c r="G216" s="105">
        <f>MAX(N216,R216,V216,Z216,AD216)</f>
        <v>615.79099999999994</v>
      </c>
      <c r="H216" s="106"/>
      <c r="I216" s="105">
        <f>MIN(T216,X216,AB216,AF216,P216)</f>
        <v>670.86800000000005</v>
      </c>
      <c r="J216" s="105">
        <f>AVERAGE(P216,T216,X216,AB216,AF216)</f>
        <v>889.85380000000009</v>
      </c>
      <c r="K216" s="105">
        <f>MAX(P216,T216,X216,AB216,AF216)</f>
        <v>1316.1610000000001</v>
      </c>
      <c r="N216" s="107">
        <f t="shared" si="69"/>
        <v>457.73200000000003</v>
      </c>
      <c r="O216" s="107">
        <f t="shared" si="70"/>
        <v>634.11700000000008</v>
      </c>
      <c r="P216" s="107">
        <f t="shared" si="71"/>
        <v>887.15000000000009</v>
      </c>
      <c r="R216" s="107">
        <f t="shared" si="72"/>
        <v>455.31200000000007</v>
      </c>
      <c r="S216" s="107">
        <f t="shared" si="73"/>
        <v>445.02700000000004</v>
      </c>
      <c r="T216" s="107">
        <f t="shared" si="74"/>
        <v>670.86800000000005</v>
      </c>
      <c r="V216" s="107">
        <f t="shared" si="75"/>
        <v>615.79099999999994</v>
      </c>
      <c r="W216" s="107">
        <f t="shared" si="76"/>
        <v>968.66000000000008</v>
      </c>
      <c r="X216" s="107">
        <f t="shared" si="77"/>
        <v>1316.1610000000001</v>
      </c>
      <c r="Z216" s="107">
        <f t="shared" si="78"/>
        <v>469.60100000000006</v>
      </c>
      <c r="AA216" s="107">
        <f t="shared" si="79"/>
        <v>647.53700000000003</v>
      </c>
      <c r="AB216" s="107">
        <f t="shared" si="80"/>
        <v>784.19</v>
      </c>
      <c r="AD216" s="107">
        <f t="shared" si="81"/>
        <v>431.20000000000005</v>
      </c>
      <c r="AE216" s="107">
        <f t="shared" si="82"/>
        <v>652.30000000000007</v>
      </c>
      <c r="AF216" s="107">
        <f t="shared" si="83"/>
        <v>790.90000000000009</v>
      </c>
      <c r="AH216" s="107">
        <v>416.12</v>
      </c>
      <c r="AI216" s="107">
        <v>576.47</v>
      </c>
      <c r="AJ216" s="107">
        <v>806.5</v>
      </c>
      <c r="AK216" s="107">
        <v>413.92</v>
      </c>
      <c r="AL216" s="107">
        <v>404.57</v>
      </c>
      <c r="AM216" s="107">
        <v>609.88</v>
      </c>
      <c r="AN216" s="107">
        <v>559.80999999999995</v>
      </c>
      <c r="AO216" s="107">
        <v>880.6</v>
      </c>
      <c r="AP216" s="107">
        <v>1196.51</v>
      </c>
      <c r="AQ216" s="107">
        <v>426.91</v>
      </c>
      <c r="AR216" s="107">
        <v>588.66999999999996</v>
      </c>
      <c r="AS216" s="107">
        <v>712.9</v>
      </c>
      <c r="AT216" s="107">
        <v>392</v>
      </c>
      <c r="AU216" s="107">
        <v>593</v>
      </c>
      <c r="AV216" s="107">
        <v>719</v>
      </c>
    </row>
    <row r="217" spans="1:48" ht="30" customHeight="1" outlineLevel="2">
      <c r="A217" s="125" t="s">
        <v>664</v>
      </c>
      <c r="B217" s="126" t="s">
        <v>665</v>
      </c>
      <c r="C217" s="134" t="s">
        <v>242</v>
      </c>
      <c r="E217" s="105">
        <f>MIN(N217,R217,V217,Z217,AD217)</f>
        <v>585.99200000000008</v>
      </c>
      <c r="F217" s="105">
        <f>AVERAGE(N217,R217,V217,Z217,AD217)</f>
        <v>644.71660000000008</v>
      </c>
      <c r="G217" s="105">
        <f>MAX(N217,R217,V217,Z217,AD217)</f>
        <v>735.65800000000002</v>
      </c>
      <c r="H217" s="106"/>
      <c r="I217" s="105">
        <f>MIN(T217,X217,AB217,AF217,P217)</f>
        <v>866.88800000000015</v>
      </c>
      <c r="J217" s="105">
        <f>AVERAGE(P217,T217,X217,AB217,AF217)</f>
        <v>1177.7832000000003</v>
      </c>
      <c r="K217" s="105">
        <f>MAX(P217,T217,X217,AB217,AF217)</f>
        <v>1578.2910000000002</v>
      </c>
      <c r="N217" s="107">
        <f t="shared" si="69"/>
        <v>690.87700000000007</v>
      </c>
      <c r="O217" s="107">
        <f t="shared" si="70"/>
        <v>954.91000000000008</v>
      </c>
      <c r="P217" s="107">
        <f t="shared" si="71"/>
        <v>1331.1540000000002</v>
      </c>
      <c r="R217" s="107">
        <f t="shared" si="72"/>
        <v>585.99200000000008</v>
      </c>
      <c r="S217" s="107">
        <f t="shared" si="73"/>
        <v>577.54399999999998</v>
      </c>
      <c r="T217" s="107">
        <f t="shared" si="74"/>
        <v>866.88800000000015</v>
      </c>
      <c r="V217" s="107">
        <f t="shared" si="75"/>
        <v>735.65800000000002</v>
      </c>
      <c r="W217" s="107">
        <f t="shared" si="76"/>
        <v>1162.8319999999999</v>
      </c>
      <c r="X217" s="107">
        <f t="shared" si="77"/>
        <v>1578.2910000000002</v>
      </c>
      <c r="Z217" s="107">
        <f t="shared" si="78"/>
        <v>609.35600000000011</v>
      </c>
      <c r="AA217" s="107">
        <f t="shared" si="79"/>
        <v>843.19400000000007</v>
      </c>
      <c r="AB217" s="107">
        <f t="shared" si="80"/>
        <v>1014.783</v>
      </c>
      <c r="AD217" s="107">
        <f t="shared" si="81"/>
        <v>601.70000000000005</v>
      </c>
      <c r="AE217" s="107">
        <f t="shared" si="82"/>
        <v>908.6</v>
      </c>
      <c r="AF217" s="107">
        <f t="shared" si="83"/>
        <v>1097.8000000000002</v>
      </c>
      <c r="AH217" s="107">
        <v>628.07000000000005</v>
      </c>
      <c r="AI217" s="107">
        <v>868.1</v>
      </c>
      <c r="AJ217" s="107">
        <v>1210.1400000000001</v>
      </c>
      <c r="AK217" s="107">
        <v>532.72</v>
      </c>
      <c r="AL217" s="107">
        <v>525.04</v>
      </c>
      <c r="AM217" s="107">
        <v>788.08</v>
      </c>
      <c r="AN217" s="107">
        <v>668.78</v>
      </c>
      <c r="AO217" s="107">
        <v>1057.1199999999999</v>
      </c>
      <c r="AP217" s="107">
        <v>1434.81</v>
      </c>
      <c r="AQ217" s="107">
        <v>553.96</v>
      </c>
      <c r="AR217" s="107">
        <v>766.54</v>
      </c>
      <c r="AS217" s="107">
        <v>922.53</v>
      </c>
      <c r="AT217" s="107">
        <v>547</v>
      </c>
      <c r="AU217" s="107">
        <v>826</v>
      </c>
      <c r="AV217" s="107">
        <v>998</v>
      </c>
    </row>
    <row r="218" spans="1:48" ht="30" customHeight="1" outlineLevel="2">
      <c r="A218" s="125" t="s">
        <v>666</v>
      </c>
      <c r="B218" s="126" t="s">
        <v>667</v>
      </c>
      <c r="C218" s="134" t="s">
        <v>242</v>
      </c>
      <c r="E218" s="105">
        <f>MIN(N218,R218,V218,Z218,AD218)</f>
        <v>376.07900000000001</v>
      </c>
      <c r="F218" s="105">
        <f>AVERAGE(N218,R218,V218,Z218,AD218)</f>
        <v>401.8014</v>
      </c>
      <c r="G218" s="105">
        <f>MAX(N218,R218,V218,Z218,AD218)</f>
        <v>455.31200000000007</v>
      </c>
      <c r="H218" s="106"/>
      <c r="I218" s="105">
        <f>MIN(T218,X218,AB218,AF218,P218)</f>
        <v>632.85200000000009</v>
      </c>
      <c r="J218" s="105">
        <f>AVERAGE(P218,T218,X218,AB218,AF218)</f>
        <v>720.85200000000009</v>
      </c>
      <c r="K218" s="105">
        <f>MAX(P218,T218,X218,AB218,AF218)</f>
        <v>791.90100000000007</v>
      </c>
      <c r="N218" s="107">
        <f t="shared" si="69"/>
        <v>402.63299999999998</v>
      </c>
      <c r="O218" s="107">
        <f t="shared" si="70"/>
        <v>557.11700000000008</v>
      </c>
      <c r="P218" s="107">
        <f t="shared" si="71"/>
        <v>779.33900000000006</v>
      </c>
      <c r="R218" s="107">
        <f t="shared" si="72"/>
        <v>455.31200000000007</v>
      </c>
      <c r="S218" s="107">
        <f t="shared" si="73"/>
        <v>445.02700000000004</v>
      </c>
      <c r="T218" s="107">
        <f t="shared" si="74"/>
        <v>670.86800000000005</v>
      </c>
      <c r="V218" s="107">
        <f t="shared" si="75"/>
        <v>376.07900000000001</v>
      </c>
      <c r="W218" s="107">
        <f t="shared" si="76"/>
        <v>580.31600000000003</v>
      </c>
      <c r="X218" s="107">
        <f t="shared" si="77"/>
        <v>791.90100000000007</v>
      </c>
      <c r="Z218" s="107">
        <f t="shared" si="78"/>
        <v>377.88299999999998</v>
      </c>
      <c r="AA218" s="107">
        <f t="shared" si="79"/>
        <v>519.13400000000001</v>
      </c>
      <c r="AB218" s="107">
        <f t="shared" si="80"/>
        <v>632.85200000000009</v>
      </c>
      <c r="AD218" s="107">
        <f t="shared" si="81"/>
        <v>397.1</v>
      </c>
      <c r="AE218" s="107">
        <f t="shared" si="82"/>
        <v>601.70000000000005</v>
      </c>
      <c r="AF218" s="107">
        <f t="shared" si="83"/>
        <v>729.30000000000007</v>
      </c>
      <c r="AH218" s="107">
        <v>366.03</v>
      </c>
      <c r="AI218" s="107">
        <v>506.47</v>
      </c>
      <c r="AJ218" s="107">
        <v>708.49</v>
      </c>
      <c r="AK218" s="107">
        <v>413.92</v>
      </c>
      <c r="AL218" s="107">
        <v>404.57</v>
      </c>
      <c r="AM218" s="107">
        <v>609.88</v>
      </c>
      <c r="AN218" s="107">
        <v>341.89</v>
      </c>
      <c r="AO218" s="107">
        <v>527.55999999999995</v>
      </c>
      <c r="AP218" s="107">
        <v>719.91</v>
      </c>
      <c r="AQ218" s="107">
        <v>343.53</v>
      </c>
      <c r="AR218" s="107">
        <v>471.94</v>
      </c>
      <c r="AS218" s="107">
        <v>575.32000000000005</v>
      </c>
      <c r="AT218" s="107">
        <v>361</v>
      </c>
      <c r="AU218" s="107">
        <v>547</v>
      </c>
      <c r="AV218" s="107">
        <v>663</v>
      </c>
    </row>
    <row r="219" spans="1:48" ht="30" customHeight="1" outlineLevel="2">
      <c r="A219" s="125" t="s">
        <v>668</v>
      </c>
      <c r="B219" s="126" t="s">
        <v>669</v>
      </c>
      <c r="C219" s="134" t="s">
        <v>242</v>
      </c>
      <c r="E219" s="105">
        <f>MIN(N219,R219,V219,Z219,AD219)</f>
        <v>482.90000000000003</v>
      </c>
      <c r="F219" s="105">
        <f>AVERAGE(N219,R219,V219,Z219,AD219)</f>
        <v>655.27880000000005</v>
      </c>
      <c r="G219" s="105">
        <f>MAX(N219,R219,V219,Z219,AD219)</f>
        <v>809.0390000000001</v>
      </c>
      <c r="H219" s="106"/>
      <c r="I219" s="105">
        <f>MIN(T219,X219,AB219,AF219,P219)</f>
        <v>866.88800000000015</v>
      </c>
      <c r="J219" s="105">
        <f>AVERAGE(P219,T219,X219,AB219,AF219)</f>
        <v>1197.4621999999999</v>
      </c>
      <c r="K219" s="105">
        <f>MAX(P219,T219,X219,AB219,AF219)</f>
        <v>1578.3130000000001</v>
      </c>
      <c r="N219" s="107">
        <f t="shared" si="69"/>
        <v>809.0390000000001</v>
      </c>
      <c r="O219" s="107">
        <f t="shared" si="70"/>
        <v>1116.9070000000002</v>
      </c>
      <c r="P219" s="107">
        <f t="shared" si="71"/>
        <v>1554.7510000000002</v>
      </c>
      <c r="R219" s="107">
        <f t="shared" si="72"/>
        <v>585.99200000000008</v>
      </c>
      <c r="S219" s="107">
        <f t="shared" si="73"/>
        <v>577.54399999999998</v>
      </c>
      <c r="T219" s="107">
        <f t="shared" si="74"/>
        <v>866.88800000000015</v>
      </c>
      <c r="V219" s="107">
        <f t="shared" si="75"/>
        <v>735.66899999999998</v>
      </c>
      <c r="W219" s="107">
        <f t="shared" si="76"/>
        <v>1162.8540000000003</v>
      </c>
      <c r="X219" s="107">
        <f t="shared" si="77"/>
        <v>1578.3130000000001</v>
      </c>
      <c r="Z219" s="107">
        <f t="shared" si="78"/>
        <v>662.79399999999998</v>
      </c>
      <c r="AA219" s="107">
        <f t="shared" si="79"/>
        <v>918.01599999999996</v>
      </c>
      <c r="AB219" s="107">
        <f t="shared" si="80"/>
        <v>1102.9590000000001</v>
      </c>
      <c r="AD219" s="107">
        <f t="shared" si="81"/>
        <v>482.90000000000003</v>
      </c>
      <c r="AE219" s="107">
        <f t="shared" si="82"/>
        <v>730.40000000000009</v>
      </c>
      <c r="AF219" s="107">
        <f t="shared" si="83"/>
        <v>884.40000000000009</v>
      </c>
      <c r="AH219" s="107">
        <v>735.49</v>
      </c>
      <c r="AI219" s="107">
        <v>1015.37</v>
      </c>
      <c r="AJ219" s="107">
        <v>1413.41</v>
      </c>
      <c r="AK219" s="107">
        <v>532.72</v>
      </c>
      <c r="AL219" s="107">
        <v>525.04</v>
      </c>
      <c r="AM219" s="107">
        <v>788.08</v>
      </c>
      <c r="AN219" s="107">
        <v>668.79</v>
      </c>
      <c r="AO219" s="107">
        <v>1057.1400000000001</v>
      </c>
      <c r="AP219" s="107">
        <v>1434.83</v>
      </c>
      <c r="AQ219" s="107">
        <v>602.54</v>
      </c>
      <c r="AR219" s="107">
        <v>834.56</v>
      </c>
      <c r="AS219" s="107">
        <v>1002.69</v>
      </c>
      <c r="AT219" s="107">
        <v>439</v>
      </c>
      <c r="AU219" s="107">
        <v>664</v>
      </c>
      <c r="AV219" s="107">
        <v>804</v>
      </c>
    </row>
    <row r="220" spans="1:48" ht="30" customHeight="1" outlineLevel="1">
      <c r="A220" s="121" t="s">
        <v>670</v>
      </c>
      <c r="B220" s="135" t="s">
        <v>671</v>
      </c>
      <c r="C220" s="111"/>
      <c r="N220" s="11" t="str">
        <f t="shared" si="69"/>
        <v/>
      </c>
      <c r="O220" s="11" t="str">
        <f t="shared" si="70"/>
        <v/>
      </c>
      <c r="P220" s="11" t="str">
        <f t="shared" si="71"/>
        <v/>
      </c>
      <c r="R220" s="11" t="str">
        <f t="shared" si="72"/>
        <v/>
      </c>
      <c r="S220" s="11" t="str">
        <f t="shared" si="73"/>
        <v/>
      </c>
      <c r="T220" s="11" t="str">
        <f t="shared" si="74"/>
        <v/>
      </c>
      <c r="V220" s="11" t="str">
        <f t="shared" si="75"/>
        <v/>
      </c>
      <c r="W220" s="11" t="str">
        <f t="shared" si="76"/>
        <v/>
      </c>
      <c r="X220" s="11" t="str">
        <f t="shared" si="77"/>
        <v/>
      </c>
      <c r="Z220" s="11" t="str">
        <f t="shared" si="78"/>
        <v/>
      </c>
      <c r="AA220" s="11" t="str">
        <f t="shared" si="79"/>
        <v/>
      </c>
      <c r="AB220" s="11" t="str">
        <f t="shared" si="80"/>
        <v/>
      </c>
      <c r="AD220" s="11" t="str">
        <f t="shared" si="81"/>
        <v/>
      </c>
      <c r="AE220" s="11" t="str">
        <f t="shared" si="82"/>
        <v/>
      </c>
      <c r="AF220" s="11" t="str">
        <f t="shared" si="83"/>
        <v/>
      </c>
    </row>
    <row r="221" spans="1:48" ht="30" customHeight="1" outlineLevel="2">
      <c r="A221" s="125" t="s">
        <v>672</v>
      </c>
      <c r="B221" s="126" t="s">
        <v>673</v>
      </c>
      <c r="C221" s="134" t="s">
        <v>242</v>
      </c>
      <c r="E221" s="105">
        <f>MIN(N221,R221,V221,Z221,AD221)</f>
        <v>214.50000000000003</v>
      </c>
      <c r="F221" s="105">
        <f>AVERAGE(N221,R221,V221,Z221,AD221)</f>
        <v>413.072</v>
      </c>
      <c r="G221" s="105">
        <f>MAX(N221,R221,V221,Z221,AD221)</f>
        <v>615.79099999999994</v>
      </c>
      <c r="H221" s="106"/>
      <c r="I221" s="105">
        <f>MIN(T221,X221,AB221,AF221,P221)</f>
        <v>401.50000000000006</v>
      </c>
      <c r="J221" s="105">
        <f>AVERAGE(P221,T221,X221,AB221,AF221)</f>
        <v>770.99440000000004</v>
      </c>
      <c r="K221" s="105">
        <f>MAX(P221,T221,X221,AB221,AF221)</f>
        <v>1316.1610000000001</v>
      </c>
      <c r="N221" s="107">
        <f t="shared" si="69"/>
        <v>509.63000000000005</v>
      </c>
      <c r="O221" s="107">
        <f t="shared" si="70"/>
        <v>707.9380000000001</v>
      </c>
      <c r="P221" s="107">
        <f t="shared" si="71"/>
        <v>991.77100000000007</v>
      </c>
      <c r="R221" s="107">
        <f t="shared" si="72"/>
        <v>324.63200000000001</v>
      </c>
      <c r="S221" s="107">
        <f t="shared" si="73"/>
        <v>312.52100000000002</v>
      </c>
      <c r="T221" s="107">
        <f t="shared" si="74"/>
        <v>474.84800000000007</v>
      </c>
      <c r="V221" s="107">
        <f t="shared" si="75"/>
        <v>615.79099999999994</v>
      </c>
      <c r="W221" s="107">
        <f t="shared" si="76"/>
        <v>968.66000000000008</v>
      </c>
      <c r="X221" s="107">
        <f t="shared" si="77"/>
        <v>1316.1610000000001</v>
      </c>
      <c r="Z221" s="107">
        <f t="shared" si="78"/>
        <v>400.80700000000002</v>
      </c>
      <c r="AA221" s="107">
        <f t="shared" si="79"/>
        <v>551.23200000000008</v>
      </c>
      <c r="AB221" s="107">
        <f t="shared" si="80"/>
        <v>670.69200000000012</v>
      </c>
      <c r="AD221" s="107">
        <f t="shared" si="81"/>
        <v>214.50000000000003</v>
      </c>
      <c r="AE221" s="107">
        <f t="shared" si="82"/>
        <v>327.8</v>
      </c>
      <c r="AF221" s="107">
        <f t="shared" si="83"/>
        <v>401.50000000000006</v>
      </c>
      <c r="AH221" s="107">
        <v>463.3</v>
      </c>
      <c r="AI221" s="107">
        <v>643.58000000000004</v>
      </c>
      <c r="AJ221" s="107">
        <v>901.61</v>
      </c>
      <c r="AK221" s="107">
        <v>295.12</v>
      </c>
      <c r="AL221" s="107">
        <v>284.11</v>
      </c>
      <c r="AM221" s="107">
        <v>431.68</v>
      </c>
      <c r="AN221" s="107">
        <v>559.80999999999995</v>
      </c>
      <c r="AO221" s="107">
        <v>880.6</v>
      </c>
      <c r="AP221" s="107">
        <v>1196.51</v>
      </c>
      <c r="AQ221" s="107">
        <v>364.37</v>
      </c>
      <c r="AR221" s="107">
        <v>501.12</v>
      </c>
      <c r="AS221" s="107">
        <v>609.72</v>
      </c>
      <c r="AT221" s="107">
        <v>195</v>
      </c>
      <c r="AU221" s="107">
        <v>298</v>
      </c>
      <c r="AV221" s="107">
        <v>365</v>
      </c>
    </row>
    <row r="222" spans="1:48" ht="30" customHeight="1" outlineLevel="2">
      <c r="A222" s="125" t="s">
        <v>674</v>
      </c>
      <c r="B222" s="126" t="s">
        <v>675</v>
      </c>
      <c r="C222" s="134" t="s">
        <v>242</v>
      </c>
      <c r="E222" s="105">
        <f>MIN(N222,R222,V222,Z222,AD222)</f>
        <v>458.70000000000005</v>
      </c>
      <c r="F222" s="105">
        <f>AVERAGE(N222,R222,V222,Z222,AD222)</f>
        <v>715.86460000000011</v>
      </c>
      <c r="G222" s="105">
        <f>MAX(N222,R222,V222,Z222,AD222)</f>
        <v>1202.6849999999999</v>
      </c>
      <c r="H222" s="106"/>
      <c r="I222" s="105">
        <f>MIN(T222,X222,AB222,AF222,P222)</f>
        <v>710.072</v>
      </c>
      <c r="J222" s="105">
        <f>AVERAGE(P222,T222,X222,AB222,AF222)</f>
        <v>1335.2504000000001</v>
      </c>
      <c r="K222" s="105">
        <f>MAX(P222,T222,X222,AB222,AF222)</f>
        <v>2317.4030000000002</v>
      </c>
      <c r="N222" s="107">
        <f t="shared" si="69"/>
        <v>1202.6849999999999</v>
      </c>
      <c r="O222" s="107">
        <f t="shared" si="70"/>
        <v>1663.9370000000001</v>
      </c>
      <c r="P222" s="107">
        <f t="shared" si="71"/>
        <v>2317.4030000000002</v>
      </c>
      <c r="R222" s="107">
        <f t="shared" si="72"/>
        <v>481.44800000000004</v>
      </c>
      <c r="S222" s="107">
        <f t="shared" si="73"/>
        <v>471.53700000000003</v>
      </c>
      <c r="T222" s="107">
        <f t="shared" si="74"/>
        <v>710.072</v>
      </c>
      <c r="V222" s="107">
        <f t="shared" si="75"/>
        <v>855.51400000000012</v>
      </c>
      <c r="W222" s="107">
        <f t="shared" si="76"/>
        <v>1357.0040000000001</v>
      </c>
      <c r="X222" s="107">
        <f t="shared" si="77"/>
        <v>1840.421</v>
      </c>
      <c r="Z222" s="107">
        <f t="shared" si="78"/>
        <v>580.976</v>
      </c>
      <c r="AA222" s="107">
        <f t="shared" si="79"/>
        <v>803.46199999999999</v>
      </c>
      <c r="AB222" s="107">
        <f t="shared" si="80"/>
        <v>967.95600000000013</v>
      </c>
      <c r="AD222" s="107">
        <f t="shared" si="81"/>
        <v>458.70000000000005</v>
      </c>
      <c r="AE222" s="107">
        <f t="shared" si="82"/>
        <v>694.1</v>
      </c>
      <c r="AF222" s="107">
        <f t="shared" si="83"/>
        <v>840.40000000000009</v>
      </c>
      <c r="AH222" s="107">
        <v>1093.3499999999999</v>
      </c>
      <c r="AI222" s="107">
        <v>1512.67</v>
      </c>
      <c r="AJ222" s="107">
        <v>2106.73</v>
      </c>
      <c r="AK222" s="107">
        <v>437.68</v>
      </c>
      <c r="AL222" s="107">
        <v>428.67</v>
      </c>
      <c r="AM222" s="107">
        <v>645.52</v>
      </c>
      <c r="AN222" s="107">
        <v>777.74</v>
      </c>
      <c r="AO222" s="107">
        <v>1233.6400000000001</v>
      </c>
      <c r="AP222" s="107">
        <v>1673.11</v>
      </c>
      <c r="AQ222" s="107">
        <v>528.16</v>
      </c>
      <c r="AR222" s="107">
        <v>730.42</v>
      </c>
      <c r="AS222" s="107">
        <v>879.96</v>
      </c>
      <c r="AT222" s="107">
        <v>417</v>
      </c>
      <c r="AU222" s="107">
        <v>631</v>
      </c>
      <c r="AV222" s="107">
        <v>764</v>
      </c>
    </row>
    <row r="223" spans="1:48" ht="30" customHeight="1" outlineLevel="2">
      <c r="A223" s="125" t="s">
        <v>676</v>
      </c>
      <c r="B223" s="126" t="s">
        <v>677</v>
      </c>
      <c r="C223" s="134" t="s">
        <v>242</v>
      </c>
      <c r="E223" s="105">
        <f>MIN(N223,R223,V223,Z223,AD223)</f>
        <v>638.26400000000001</v>
      </c>
      <c r="F223" s="105">
        <f>AVERAGE(N223,R223,V223,Z223,AD223)</f>
        <v>933.07939999999996</v>
      </c>
      <c r="G223" s="105">
        <f>MAX(N223,R223,V223,Z223,AD223)</f>
        <v>1620.2670000000001</v>
      </c>
      <c r="H223" s="106"/>
      <c r="I223" s="105">
        <f>MIN(T223,X223,AB223,AF223,P223)</f>
        <v>945.29600000000005</v>
      </c>
      <c r="J223" s="105">
        <f>AVERAGE(P223,T223,X223,AB223,AF223)</f>
        <v>1728.8304000000003</v>
      </c>
      <c r="K223" s="105">
        <f>MAX(P223,T223,X223,AB223,AF223)</f>
        <v>3103.9800000000005</v>
      </c>
      <c r="N223" s="107">
        <f t="shared" si="69"/>
        <v>1620.2670000000001</v>
      </c>
      <c r="O223" s="107">
        <f t="shared" si="70"/>
        <v>2234.8920000000003</v>
      </c>
      <c r="P223" s="107">
        <f t="shared" si="71"/>
        <v>3103.9800000000005</v>
      </c>
      <c r="R223" s="107">
        <f t="shared" si="72"/>
        <v>638.26400000000001</v>
      </c>
      <c r="S223" s="107">
        <f t="shared" si="73"/>
        <v>630.54200000000003</v>
      </c>
      <c r="T223" s="107">
        <f t="shared" si="74"/>
        <v>945.29600000000005</v>
      </c>
      <c r="V223" s="107">
        <f t="shared" si="75"/>
        <v>975.37000000000012</v>
      </c>
      <c r="W223" s="107">
        <f t="shared" si="76"/>
        <v>1551.1760000000002</v>
      </c>
      <c r="X223" s="107">
        <f t="shared" si="77"/>
        <v>2102.5510000000004</v>
      </c>
      <c r="Z223" s="107">
        <f t="shared" si="78"/>
        <v>727.49600000000009</v>
      </c>
      <c r="AA223" s="107">
        <f t="shared" si="79"/>
        <v>1008.601</v>
      </c>
      <c r="AB223" s="107">
        <f t="shared" si="80"/>
        <v>1209.7250000000001</v>
      </c>
      <c r="AD223" s="107">
        <f t="shared" si="81"/>
        <v>704</v>
      </c>
      <c r="AE223" s="107">
        <f t="shared" si="82"/>
        <v>1061.5</v>
      </c>
      <c r="AF223" s="107">
        <f t="shared" si="83"/>
        <v>1282.6000000000001</v>
      </c>
      <c r="AH223" s="107">
        <v>1472.97</v>
      </c>
      <c r="AI223" s="107">
        <v>2031.72</v>
      </c>
      <c r="AJ223" s="107">
        <v>2821.8</v>
      </c>
      <c r="AK223" s="107">
        <v>580.24</v>
      </c>
      <c r="AL223" s="107">
        <v>573.22</v>
      </c>
      <c r="AM223" s="107">
        <v>859.36</v>
      </c>
      <c r="AN223" s="107">
        <v>886.7</v>
      </c>
      <c r="AO223" s="107">
        <v>1410.16</v>
      </c>
      <c r="AP223" s="107">
        <v>1911.41</v>
      </c>
      <c r="AQ223" s="107">
        <v>661.36</v>
      </c>
      <c r="AR223" s="107">
        <v>916.91</v>
      </c>
      <c r="AS223" s="107">
        <v>1099.75</v>
      </c>
      <c r="AT223" s="107">
        <v>640</v>
      </c>
      <c r="AU223" s="107">
        <v>965</v>
      </c>
      <c r="AV223" s="107">
        <v>1166</v>
      </c>
    </row>
    <row r="224" spans="1:48" ht="30" customHeight="1" outlineLevel="2">
      <c r="A224" s="125" t="s">
        <v>678</v>
      </c>
      <c r="B224" s="126" t="s">
        <v>679</v>
      </c>
      <c r="C224" s="134" t="s">
        <v>242</v>
      </c>
      <c r="E224" s="105">
        <f>MIN(N224,R224,V224,Z224,AD224)</f>
        <v>458.70000000000005</v>
      </c>
      <c r="F224" s="105">
        <f>AVERAGE(N224,R224,V224,Z224,AD224)</f>
        <v>655.12700000000007</v>
      </c>
      <c r="G224" s="105">
        <f>MAX(N224,R224,V224,Z224,AD224)</f>
        <v>1202.6849999999999</v>
      </c>
      <c r="H224" s="106"/>
      <c r="I224" s="105">
        <f>MIN(T224,X224,AB224,AF224,P224)</f>
        <v>710.072</v>
      </c>
      <c r="J224" s="105">
        <f>AVERAGE(P224,T224,X224,AB224,AF224)</f>
        <v>1209.2894000000001</v>
      </c>
      <c r="K224" s="105">
        <f>MAX(P224,T224,X224,AB224,AF224)</f>
        <v>2317.4030000000002</v>
      </c>
      <c r="N224" s="107">
        <f t="shared" si="69"/>
        <v>1202.6849999999999</v>
      </c>
      <c r="O224" s="107">
        <f t="shared" si="70"/>
        <v>1663.9370000000001</v>
      </c>
      <c r="P224" s="107">
        <f t="shared" si="71"/>
        <v>2317.4030000000002</v>
      </c>
      <c r="R224" s="107">
        <f t="shared" si="72"/>
        <v>481.44800000000004</v>
      </c>
      <c r="S224" s="107">
        <f t="shared" si="73"/>
        <v>471.53700000000003</v>
      </c>
      <c r="T224" s="107">
        <f t="shared" si="74"/>
        <v>710.072</v>
      </c>
      <c r="V224" s="107">
        <f t="shared" si="75"/>
        <v>615.79099999999994</v>
      </c>
      <c r="W224" s="107">
        <f t="shared" si="76"/>
        <v>968.66000000000008</v>
      </c>
      <c r="X224" s="107">
        <f t="shared" si="77"/>
        <v>1316.1610000000001</v>
      </c>
      <c r="Z224" s="107">
        <f t="shared" si="78"/>
        <v>517.01100000000008</v>
      </c>
      <c r="AA224" s="107">
        <f t="shared" si="79"/>
        <v>713.91100000000006</v>
      </c>
      <c r="AB224" s="107">
        <f t="shared" si="80"/>
        <v>862.41100000000006</v>
      </c>
      <c r="AD224" s="107">
        <f t="shared" si="81"/>
        <v>458.70000000000005</v>
      </c>
      <c r="AE224" s="107">
        <f t="shared" si="82"/>
        <v>694.1</v>
      </c>
      <c r="AF224" s="107">
        <f t="shared" si="83"/>
        <v>840.40000000000009</v>
      </c>
      <c r="AH224" s="107">
        <v>1093.3499999999999</v>
      </c>
      <c r="AI224" s="107">
        <v>1512.67</v>
      </c>
      <c r="AJ224" s="107">
        <v>2106.73</v>
      </c>
      <c r="AK224" s="107">
        <v>437.68</v>
      </c>
      <c r="AL224" s="107">
        <v>428.67</v>
      </c>
      <c r="AM224" s="107">
        <v>645.52</v>
      </c>
      <c r="AN224" s="107">
        <v>559.80999999999995</v>
      </c>
      <c r="AO224" s="107">
        <v>880.6</v>
      </c>
      <c r="AP224" s="107">
        <v>1196.51</v>
      </c>
      <c r="AQ224" s="107">
        <v>470.01</v>
      </c>
      <c r="AR224" s="107">
        <v>649.01</v>
      </c>
      <c r="AS224" s="107">
        <v>784.01</v>
      </c>
      <c r="AT224" s="107">
        <v>417</v>
      </c>
      <c r="AU224" s="107">
        <v>631</v>
      </c>
      <c r="AV224" s="107">
        <v>764</v>
      </c>
    </row>
    <row r="225" spans="1:48" ht="30" customHeight="1" outlineLevel="2">
      <c r="A225" s="125" t="s">
        <v>680</v>
      </c>
      <c r="B225" s="126" t="s">
        <v>681</v>
      </c>
      <c r="C225" s="134" t="s">
        <v>242</v>
      </c>
      <c r="E225" s="105">
        <f>MIN(N225,R225,V225,Z225,AD225)</f>
        <v>482.90000000000003</v>
      </c>
      <c r="F225" s="105">
        <f>AVERAGE(N225,R225,V225,Z225,AD225)</f>
        <v>699.13580000000002</v>
      </c>
      <c r="G225" s="105">
        <f>MAX(N225,R225,V225,Z225,AD225)</f>
        <v>975.38100000000009</v>
      </c>
      <c r="H225" s="106"/>
      <c r="I225" s="105">
        <f>MIN(T225,X225,AB225,AF225,P225)</f>
        <v>866.88800000000015</v>
      </c>
      <c r="J225" s="105">
        <f>AVERAGE(P225,T225,X225,AB225,AF225)</f>
        <v>1296.6118000000001</v>
      </c>
      <c r="K225" s="105">
        <f>MAX(P225,T225,X225,AB225,AF225)</f>
        <v>2102.5840000000003</v>
      </c>
      <c r="N225" s="107">
        <f t="shared" si="69"/>
        <v>801.06400000000008</v>
      </c>
      <c r="O225" s="107">
        <f t="shared" si="70"/>
        <v>1108.932</v>
      </c>
      <c r="P225" s="107">
        <f t="shared" si="71"/>
        <v>1546.7760000000003</v>
      </c>
      <c r="R225" s="107">
        <f t="shared" si="72"/>
        <v>585.99200000000008</v>
      </c>
      <c r="S225" s="107">
        <f t="shared" si="73"/>
        <v>577.54399999999998</v>
      </c>
      <c r="T225" s="107">
        <f t="shared" si="74"/>
        <v>866.88800000000015</v>
      </c>
      <c r="V225" s="107">
        <f t="shared" si="75"/>
        <v>975.38100000000009</v>
      </c>
      <c r="W225" s="107">
        <f t="shared" si="76"/>
        <v>1551.1870000000001</v>
      </c>
      <c r="X225" s="107">
        <f t="shared" si="77"/>
        <v>2102.5840000000003</v>
      </c>
      <c r="Z225" s="107">
        <f t="shared" si="78"/>
        <v>650.3420000000001</v>
      </c>
      <c r="AA225" s="107">
        <f t="shared" si="79"/>
        <v>900.58100000000013</v>
      </c>
      <c r="AB225" s="107">
        <f t="shared" si="80"/>
        <v>1082.4110000000001</v>
      </c>
      <c r="AD225" s="107">
        <f t="shared" si="81"/>
        <v>482.90000000000003</v>
      </c>
      <c r="AE225" s="107">
        <f t="shared" si="82"/>
        <v>730.40000000000009</v>
      </c>
      <c r="AF225" s="107">
        <f t="shared" si="83"/>
        <v>884.40000000000009</v>
      </c>
      <c r="AH225" s="107">
        <v>728.24</v>
      </c>
      <c r="AI225" s="107">
        <v>1008.12</v>
      </c>
      <c r="AJ225" s="107">
        <v>1406.16</v>
      </c>
      <c r="AK225" s="107">
        <v>532.72</v>
      </c>
      <c r="AL225" s="107">
        <v>525.04</v>
      </c>
      <c r="AM225" s="107">
        <v>788.08</v>
      </c>
      <c r="AN225" s="107">
        <v>886.71</v>
      </c>
      <c r="AO225" s="107">
        <v>1410.17</v>
      </c>
      <c r="AP225" s="107">
        <v>1911.44</v>
      </c>
      <c r="AQ225" s="107">
        <v>591.22</v>
      </c>
      <c r="AR225" s="107">
        <v>818.71</v>
      </c>
      <c r="AS225" s="107">
        <v>984.01</v>
      </c>
      <c r="AT225" s="107">
        <v>439</v>
      </c>
      <c r="AU225" s="107">
        <v>664</v>
      </c>
      <c r="AV225" s="107">
        <v>804</v>
      </c>
    </row>
    <row r="226" spans="1:48" ht="30" customHeight="1" outlineLevel="1">
      <c r="A226" s="121" t="s">
        <v>682</v>
      </c>
      <c r="B226" s="135" t="s">
        <v>683</v>
      </c>
      <c r="C226" s="111"/>
      <c r="N226" s="11" t="str">
        <f t="shared" si="69"/>
        <v/>
      </c>
      <c r="O226" s="11" t="str">
        <f t="shared" si="70"/>
        <v/>
      </c>
      <c r="P226" s="11" t="str">
        <f t="shared" si="71"/>
        <v/>
      </c>
      <c r="R226" s="11" t="str">
        <f t="shared" si="72"/>
        <v/>
      </c>
      <c r="S226" s="11" t="str">
        <f t="shared" si="73"/>
        <v/>
      </c>
      <c r="T226" s="11" t="str">
        <f t="shared" si="74"/>
        <v/>
      </c>
      <c r="V226" s="11" t="str">
        <f t="shared" si="75"/>
        <v/>
      </c>
      <c r="W226" s="11" t="str">
        <f t="shared" si="76"/>
        <v/>
      </c>
      <c r="X226" s="11" t="str">
        <f t="shared" si="77"/>
        <v/>
      </c>
      <c r="Z226" s="11" t="str">
        <f t="shared" si="78"/>
        <v/>
      </c>
      <c r="AA226" s="11" t="str">
        <f t="shared" si="79"/>
        <v/>
      </c>
      <c r="AB226" s="11" t="str">
        <f t="shared" si="80"/>
        <v/>
      </c>
      <c r="AD226" s="11" t="str">
        <f t="shared" si="81"/>
        <v/>
      </c>
      <c r="AE226" s="11" t="str">
        <f t="shared" si="82"/>
        <v/>
      </c>
      <c r="AF226" s="11" t="str">
        <f t="shared" si="83"/>
        <v/>
      </c>
    </row>
    <row r="227" spans="1:48" ht="30" customHeight="1" outlineLevel="2">
      <c r="A227" s="125" t="s">
        <v>684</v>
      </c>
      <c r="B227" s="126" t="s">
        <v>685</v>
      </c>
      <c r="C227" s="134" t="s">
        <v>242</v>
      </c>
      <c r="E227" s="105">
        <f>MIN(N227,R227,V227,Z227,AD227)</f>
        <v>323.334</v>
      </c>
      <c r="F227" s="105">
        <f>AVERAGE(N227,R227,V227,Z227,AD227)</f>
        <v>442.18680000000006</v>
      </c>
      <c r="G227" s="105">
        <f>MAX(N227,R227,V227,Z227,AD227)</f>
        <v>855.51400000000012</v>
      </c>
      <c r="H227" s="106"/>
      <c r="I227" s="105">
        <f>MIN(T227,X227,AB227,AF227,P227)</f>
        <v>474.84800000000007</v>
      </c>
      <c r="J227" s="105">
        <f>AVERAGE(P227,T227,X227,AB227,AF227)</f>
        <v>839.51120000000014</v>
      </c>
      <c r="K227" s="105">
        <f>MAX(P227,T227,X227,AB227,AF227)</f>
        <v>1840.421</v>
      </c>
      <c r="N227" s="107">
        <f t="shared" si="69"/>
        <v>341.154</v>
      </c>
      <c r="O227" s="107">
        <f t="shared" si="70"/>
        <v>473.72600000000006</v>
      </c>
      <c r="P227" s="107">
        <f t="shared" si="71"/>
        <v>665.14800000000002</v>
      </c>
      <c r="R227" s="107">
        <f t="shared" si="72"/>
        <v>324.63200000000001</v>
      </c>
      <c r="S227" s="107">
        <f t="shared" si="73"/>
        <v>312.52100000000002</v>
      </c>
      <c r="T227" s="107">
        <f t="shared" si="74"/>
        <v>474.84800000000007</v>
      </c>
      <c r="V227" s="107">
        <f t="shared" si="75"/>
        <v>855.51400000000012</v>
      </c>
      <c r="W227" s="107">
        <f t="shared" si="76"/>
        <v>1357.0040000000001</v>
      </c>
      <c r="X227" s="107">
        <f t="shared" si="77"/>
        <v>1840.421</v>
      </c>
      <c r="Z227" s="107">
        <f t="shared" si="78"/>
        <v>323.334</v>
      </c>
      <c r="AA227" s="107">
        <f t="shared" si="79"/>
        <v>442.76100000000002</v>
      </c>
      <c r="AB227" s="107">
        <f t="shared" si="80"/>
        <v>542.83900000000006</v>
      </c>
      <c r="AD227" s="107">
        <f t="shared" si="81"/>
        <v>366.3</v>
      </c>
      <c r="AE227" s="107">
        <f t="shared" si="82"/>
        <v>555.5</v>
      </c>
      <c r="AF227" s="107">
        <f t="shared" si="83"/>
        <v>674.30000000000007</v>
      </c>
      <c r="AH227" s="107">
        <v>310.14</v>
      </c>
      <c r="AI227" s="107">
        <v>430.66</v>
      </c>
      <c r="AJ227" s="107">
        <v>604.67999999999995</v>
      </c>
      <c r="AK227" s="107">
        <v>295.12</v>
      </c>
      <c r="AL227" s="107">
        <v>284.11</v>
      </c>
      <c r="AM227" s="107">
        <v>431.68</v>
      </c>
      <c r="AN227" s="107">
        <v>777.74</v>
      </c>
      <c r="AO227" s="107">
        <v>1233.6400000000001</v>
      </c>
      <c r="AP227" s="107">
        <v>1673.11</v>
      </c>
      <c r="AQ227" s="107">
        <v>293.94</v>
      </c>
      <c r="AR227" s="107">
        <v>402.51</v>
      </c>
      <c r="AS227" s="107">
        <v>493.49</v>
      </c>
      <c r="AT227" s="107">
        <v>333</v>
      </c>
      <c r="AU227" s="107">
        <v>505</v>
      </c>
      <c r="AV227" s="107">
        <v>613</v>
      </c>
    </row>
    <row r="228" spans="1:48" ht="30" customHeight="1" outlineLevel="2">
      <c r="A228" s="125" t="s">
        <v>686</v>
      </c>
      <c r="B228" s="126" t="s">
        <v>687</v>
      </c>
      <c r="C228" s="134" t="s">
        <v>242</v>
      </c>
      <c r="E228" s="105">
        <f>MIN(N228,R228,V228,Z228,AD228)</f>
        <v>114.38900000000001</v>
      </c>
      <c r="F228" s="105">
        <f>AVERAGE(N228,R228,V228,Z228,AD228)</f>
        <v>150.26439999999999</v>
      </c>
      <c r="G228" s="105">
        <f>MAX(N228,R228,V228,Z228,AD228)</f>
        <v>248.61100000000002</v>
      </c>
      <c r="H228" s="106"/>
      <c r="I228" s="105">
        <f>MIN(T228,X228,AB228,AF228,P228)</f>
        <v>161.21600000000001</v>
      </c>
      <c r="J228" s="105">
        <f>AVERAGE(P228,T228,X228,AB228,AF228)</f>
        <v>267.33300000000003</v>
      </c>
      <c r="K228" s="105">
        <f>MAX(P228,T228,X228,AB228,AF228)</f>
        <v>419.56200000000007</v>
      </c>
      <c r="N228" s="107">
        <f t="shared" si="69"/>
        <v>114.38900000000001</v>
      </c>
      <c r="O228" s="107">
        <f t="shared" si="70"/>
        <v>159.31300000000002</v>
      </c>
      <c r="P228" s="107">
        <f t="shared" si="71"/>
        <v>227.52400000000003</v>
      </c>
      <c r="R228" s="107">
        <f t="shared" si="72"/>
        <v>115.54400000000001</v>
      </c>
      <c r="S228" s="107">
        <f t="shared" si="73"/>
        <v>100.50700000000002</v>
      </c>
      <c r="T228" s="107">
        <f t="shared" si="74"/>
        <v>161.21600000000001</v>
      </c>
      <c r="V228" s="107">
        <f t="shared" si="75"/>
        <v>136.37800000000001</v>
      </c>
      <c r="W228" s="107">
        <f t="shared" si="76"/>
        <v>191.994</v>
      </c>
      <c r="X228" s="107">
        <f t="shared" si="77"/>
        <v>267.66300000000001</v>
      </c>
      <c r="Z228" s="107">
        <f t="shared" si="78"/>
        <v>248.61100000000002</v>
      </c>
      <c r="AA228" s="107">
        <f t="shared" si="79"/>
        <v>338.15100000000007</v>
      </c>
      <c r="AB228" s="107">
        <f t="shared" si="80"/>
        <v>419.56200000000007</v>
      </c>
      <c r="AD228" s="107">
        <f t="shared" si="81"/>
        <v>136.4</v>
      </c>
      <c r="AE228" s="107">
        <f t="shared" si="82"/>
        <v>210.10000000000002</v>
      </c>
      <c r="AF228" s="107">
        <f t="shared" si="83"/>
        <v>260.70000000000005</v>
      </c>
      <c r="AH228" s="107">
        <v>103.99</v>
      </c>
      <c r="AI228" s="107">
        <v>144.83000000000001</v>
      </c>
      <c r="AJ228" s="107">
        <v>206.84</v>
      </c>
      <c r="AK228" s="107">
        <v>105.04</v>
      </c>
      <c r="AL228" s="107">
        <v>91.37</v>
      </c>
      <c r="AM228" s="107">
        <v>146.56</v>
      </c>
      <c r="AN228" s="107">
        <v>123.98</v>
      </c>
      <c r="AO228" s="107">
        <v>174.54</v>
      </c>
      <c r="AP228" s="107">
        <v>243.33</v>
      </c>
      <c r="AQ228" s="107">
        <v>226.01</v>
      </c>
      <c r="AR228" s="107">
        <v>307.41000000000003</v>
      </c>
      <c r="AS228" s="107">
        <v>381.42</v>
      </c>
      <c r="AT228" s="107">
        <v>124</v>
      </c>
      <c r="AU228" s="107">
        <v>191</v>
      </c>
      <c r="AV228" s="107">
        <v>237</v>
      </c>
    </row>
    <row r="229" spans="1:48" ht="30" customHeight="1" outlineLevel="1">
      <c r="A229" s="121" t="s">
        <v>688</v>
      </c>
      <c r="B229" s="135" t="s">
        <v>689</v>
      </c>
      <c r="C229" s="111"/>
      <c r="N229" s="11" t="str">
        <f t="shared" si="69"/>
        <v/>
      </c>
      <c r="O229" s="11" t="str">
        <f t="shared" si="70"/>
        <v/>
      </c>
      <c r="P229" s="11" t="str">
        <f t="shared" si="71"/>
        <v/>
      </c>
      <c r="R229" s="11" t="str">
        <f t="shared" si="72"/>
        <v/>
      </c>
      <c r="S229" s="11" t="str">
        <f t="shared" si="73"/>
        <v/>
      </c>
      <c r="T229" s="11" t="str">
        <f t="shared" si="74"/>
        <v/>
      </c>
      <c r="V229" s="11" t="str">
        <f t="shared" si="75"/>
        <v/>
      </c>
      <c r="W229" s="11" t="str">
        <f t="shared" si="76"/>
        <v/>
      </c>
      <c r="X229" s="11" t="str">
        <f t="shared" si="77"/>
        <v/>
      </c>
      <c r="Z229" s="11" t="str">
        <f t="shared" si="78"/>
        <v/>
      </c>
      <c r="AA229" s="11" t="str">
        <f t="shared" si="79"/>
        <v/>
      </c>
      <c r="AB229" s="11" t="str">
        <f t="shared" si="80"/>
        <v/>
      </c>
      <c r="AD229" s="11" t="str">
        <f t="shared" si="81"/>
        <v/>
      </c>
      <c r="AE229" s="11" t="str">
        <f t="shared" si="82"/>
        <v/>
      </c>
      <c r="AF229" s="11" t="str">
        <f t="shared" si="83"/>
        <v/>
      </c>
    </row>
    <row r="230" spans="1:48" ht="30" customHeight="1" outlineLevel="2">
      <c r="A230" s="125" t="s">
        <v>690</v>
      </c>
      <c r="B230" s="126" t="s">
        <v>691</v>
      </c>
      <c r="C230" s="134" t="s">
        <v>242</v>
      </c>
      <c r="E230" s="105">
        <f>MIN(N230,R230,V230,Z230,AD230)</f>
        <v>324.63200000000001</v>
      </c>
      <c r="F230" s="105">
        <f>AVERAGE(N230,R230,V230,Z230,AD230)</f>
        <v>460.39180000000005</v>
      </c>
      <c r="G230" s="105">
        <f>MAX(N230,R230,V230,Z230,AD230)</f>
        <v>735.65800000000002</v>
      </c>
      <c r="H230" s="106"/>
      <c r="I230" s="105">
        <f>MIN(T230,X230,AB230,AF230,P230)</f>
        <v>474.84800000000007</v>
      </c>
      <c r="J230" s="105">
        <f>AVERAGE(P230,T230,X230,AB230,AF230)</f>
        <v>856.08160000000021</v>
      </c>
      <c r="K230" s="105">
        <f>MAX(P230,T230,X230,AB230,AF230)</f>
        <v>1578.2910000000002</v>
      </c>
      <c r="N230" s="107">
        <f t="shared" si="69"/>
        <v>360.29400000000004</v>
      </c>
      <c r="O230" s="107">
        <f t="shared" si="70"/>
        <v>492.86600000000004</v>
      </c>
      <c r="P230" s="107">
        <f t="shared" si="71"/>
        <v>684.28800000000012</v>
      </c>
      <c r="R230" s="107">
        <f t="shared" si="72"/>
        <v>324.63200000000001</v>
      </c>
      <c r="S230" s="107">
        <f t="shared" si="73"/>
        <v>312.52100000000002</v>
      </c>
      <c r="T230" s="107">
        <f t="shared" si="74"/>
        <v>474.84800000000007</v>
      </c>
      <c r="V230" s="107">
        <f t="shared" si="75"/>
        <v>735.65800000000002</v>
      </c>
      <c r="W230" s="107">
        <f t="shared" si="76"/>
        <v>1162.8319999999999</v>
      </c>
      <c r="X230" s="107">
        <f t="shared" si="77"/>
        <v>1578.2910000000002</v>
      </c>
      <c r="Z230" s="107">
        <f t="shared" si="78"/>
        <v>453.47500000000002</v>
      </c>
      <c r="AA230" s="107">
        <f t="shared" si="79"/>
        <v>624.95400000000006</v>
      </c>
      <c r="AB230" s="107">
        <f t="shared" si="80"/>
        <v>757.58100000000013</v>
      </c>
      <c r="AD230" s="107">
        <f t="shared" si="81"/>
        <v>427.90000000000003</v>
      </c>
      <c r="AE230" s="107">
        <f t="shared" si="82"/>
        <v>647.90000000000009</v>
      </c>
      <c r="AF230" s="107">
        <f t="shared" si="83"/>
        <v>785.40000000000009</v>
      </c>
      <c r="AH230" s="107">
        <v>327.54000000000002</v>
      </c>
      <c r="AI230" s="107">
        <v>448.06</v>
      </c>
      <c r="AJ230" s="107">
        <v>622.08000000000004</v>
      </c>
      <c r="AK230" s="107">
        <v>295.12</v>
      </c>
      <c r="AL230" s="107">
        <v>284.11</v>
      </c>
      <c r="AM230" s="107">
        <v>431.68</v>
      </c>
      <c r="AN230" s="107">
        <v>668.78</v>
      </c>
      <c r="AO230" s="107">
        <v>1057.1199999999999</v>
      </c>
      <c r="AP230" s="107">
        <v>1434.81</v>
      </c>
      <c r="AQ230" s="107">
        <v>412.25</v>
      </c>
      <c r="AR230" s="107">
        <v>568.14</v>
      </c>
      <c r="AS230" s="107">
        <v>688.71</v>
      </c>
      <c r="AT230" s="107">
        <v>389</v>
      </c>
      <c r="AU230" s="107">
        <v>589</v>
      </c>
      <c r="AV230" s="107">
        <v>714</v>
      </c>
    </row>
    <row r="231" spans="1:48" ht="30" customHeight="1" outlineLevel="2" thickBot="1">
      <c r="A231" s="125" t="s">
        <v>692</v>
      </c>
      <c r="B231" s="126" t="s">
        <v>693</v>
      </c>
      <c r="C231" s="134" t="s">
        <v>242</v>
      </c>
      <c r="E231" s="105">
        <f>MIN(N231,R231,V231,Z231,AD231)</f>
        <v>115.54400000000001</v>
      </c>
      <c r="F231" s="105">
        <f>AVERAGE(N231,R231,V231,Z231,AD231)</f>
        <v>204.96740000000005</v>
      </c>
      <c r="G231" s="105">
        <f>MAX(N231,R231,V231,Z231,AD231)</f>
        <v>367.40000000000003</v>
      </c>
      <c r="H231" s="106"/>
      <c r="I231" s="105">
        <f>MIN(T231,X231,AB231,AF231,P231)</f>
        <v>161.21600000000001</v>
      </c>
      <c r="J231" s="105">
        <f>AVERAGE(P231,T231,X231,AB231,AF231)</f>
        <v>369.89260000000002</v>
      </c>
      <c r="K231" s="105">
        <f>MAX(P231,T231,X231,AB231,AF231)</f>
        <v>615.56000000000006</v>
      </c>
      <c r="N231" s="107">
        <f t="shared" si="69"/>
        <v>123.959</v>
      </c>
      <c r="O231" s="107">
        <f t="shared" si="70"/>
        <v>168.88300000000001</v>
      </c>
      <c r="P231" s="107">
        <f t="shared" si="71"/>
        <v>237.09400000000002</v>
      </c>
      <c r="R231" s="107">
        <f t="shared" si="72"/>
        <v>115.54400000000001</v>
      </c>
      <c r="S231" s="107">
        <f t="shared" si="73"/>
        <v>100.50700000000002</v>
      </c>
      <c r="T231" s="107">
        <f t="shared" si="74"/>
        <v>161.21600000000001</v>
      </c>
      <c r="V231" s="107">
        <f t="shared" si="75"/>
        <v>256.23400000000004</v>
      </c>
      <c r="W231" s="107">
        <f t="shared" si="76"/>
        <v>386.16600000000005</v>
      </c>
      <c r="X231" s="107">
        <f t="shared" si="77"/>
        <v>529.79300000000001</v>
      </c>
      <c r="Z231" s="107">
        <f t="shared" si="78"/>
        <v>367.40000000000003</v>
      </c>
      <c r="AA231" s="107">
        <f t="shared" si="79"/>
        <v>504.46000000000009</v>
      </c>
      <c r="AB231" s="107">
        <f t="shared" si="80"/>
        <v>615.56000000000006</v>
      </c>
      <c r="AD231" s="107">
        <f t="shared" si="81"/>
        <v>161.70000000000002</v>
      </c>
      <c r="AE231" s="107">
        <f t="shared" si="82"/>
        <v>248.60000000000002</v>
      </c>
      <c r="AF231" s="107">
        <f t="shared" si="83"/>
        <v>305.8</v>
      </c>
      <c r="AH231" s="107">
        <v>112.69</v>
      </c>
      <c r="AI231" s="107">
        <v>153.53</v>
      </c>
      <c r="AJ231" s="107">
        <v>215.54</v>
      </c>
      <c r="AK231" s="107">
        <v>105.04</v>
      </c>
      <c r="AL231" s="107">
        <v>91.37</v>
      </c>
      <c r="AM231" s="107">
        <v>146.56</v>
      </c>
      <c r="AN231" s="107">
        <v>232.94</v>
      </c>
      <c r="AO231" s="107">
        <v>351.06</v>
      </c>
      <c r="AP231" s="107">
        <v>481.63</v>
      </c>
      <c r="AQ231" s="107">
        <v>334</v>
      </c>
      <c r="AR231" s="107">
        <v>458.6</v>
      </c>
      <c r="AS231" s="107">
        <v>559.6</v>
      </c>
      <c r="AT231" s="107">
        <v>147</v>
      </c>
      <c r="AU231" s="107">
        <v>226</v>
      </c>
      <c r="AV231" s="107">
        <v>278</v>
      </c>
    </row>
    <row r="232" spans="1:48" ht="30" customHeight="1" thickBot="1">
      <c r="A232" s="96" t="s">
        <v>694</v>
      </c>
      <c r="B232" s="115" t="s">
        <v>695</v>
      </c>
      <c r="C232" s="98"/>
      <c r="N232" s="11" t="str">
        <f t="shared" si="69"/>
        <v/>
      </c>
      <c r="O232" s="11" t="str">
        <f t="shared" si="70"/>
        <v/>
      </c>
      <c r="P232" s="11" t="str">
        <f t="shared" si="71"/>
        <v/>
      </c>
      <c r="R232" s="11" t="str">
        <f t="shared" si="72"/>
        <v/>
      </c>
      <c r="S232" s="11" t="str">
        <f t="shared" si="73"/>
        <v/>
      </c>
      <c r="T232" s="11" t="str">
        <f t="shared" si="74"/>
        <v/>
      </c>
      <c r="V232" s="11" t="str">
        <f t="shared" si="75"/>
        <v/>
      </c>
      <c r="W232" s="11" t="str">
        <f t="shared" si="76"/>
        <v/>
      </c>
      <c r="X232" s="11" t="str">
        <f t="shared" si="77"/>
        <v/>
      </c>
      <c r="Z232" s="11" t="str">
        <f t="shared" si="78"/>
        <v/>
      </c>
      <c r="AA232" s="11" t="str">
        <f t="shared" si="79"/>
        <v/>
      </c>
      <c r="AB232" s="11" t="str">
        <f t="shared" si="80"/>
        <v/>
      </c>
      <c r="AD232" s="11" t="str">
        <f t="shared" si="81"/>
        <v/>
      </c>
      <c r="AE232" s="11" t="str">
        <f t="shared" si="82"/>
        <v/>
      </c>
      <c r="AF232" s="11" t="str">
        <f t="shared" si="83"/>
        <v/>
      </c>
    </row>
    <row r="233" spans="1:48" ht="30" customHeight="1" outlineLevel="1">
      <c r="A233" s="132" t="s">
        <v>696</v>
      </c>
      <c r="B233" s="133" t="s">
        <v>697</v>
      </c>
      <c r="C233" s="101"/>
      <c r="N233" s="11" t="str">
        <f t="shared" si="69"/>
        <v/>
      </c>
      <c r="O233" s="11" t="str">
        <f t="shared" si="70"/>
        <v/>
      </c>
      <c r="P233" s="11" t="str">
        <f t="shared" si="71"/>
        <v/>
      </c>
      <c r="R233" s="11" t="str">
        <f t="shared" si="72"/>
        <v/>
      </c>
      <c r="S233" s="11" t="str">
        <f t="shared" si="73"/>
        <v/>
      </c>
      <c r="T233" s="11" t="str">
        <f t="shared" si="74"/>
        <v/>
      </c>
      <c r="V233" s="11" t="str">
        <f t="shared" si="75"/>
        <v/>
      </c>
      <c r="W233" s="11" t="str">
        <f t="shared" si="76"/>
        <v/>
      </c>
      <c r="X233" s="11" t="str">
        <f t="shared" si="77"/>
        <v/>
      </c>
      <c r="Z233" s="11" t="str">
        <f t="shared" si="78"/>
        <v/>
      </c>
      <c r="AA233" s="11" t="str">
        <f t="shared" si="79"/>
        <v/>
      </c>
      <c r="AB233" s="11" t="str">
        <f t="shared" si="80"/>
        <v/>
      </c>
      <c r="AD233" s="11" t="str">
        <f t="shared" si="81"/>
        <v/>
      </c>
      <c r="AE233" s="11" t="str">
        <f t="shared" si="82"/>
        <v/>
      </c>
      <c r="AF233" s="11" t="str">
        <f t="shared" si="83"/>
        <v/>
      </c>
    </row>
    <row r="234" spans="1:48" ht="30" customHeight="1" outlineLevel="2">
      <c r="A234" s="116" t="s">
        <v>698</v>
      </c>
      <c r="B234" s="126" t="s">
        <v>699</v>
      </c>
      <c r="C234" s="134" t="s">
        <v>242</v>
      </c>
      <c r="E234" s="105">
        <f>MIN(N234,R234,V234,Z234,AD234)</f>
        <v>167.99200000000002</v>
      </c>
      <c r="F234" s="105">
        <f>AVERAGE(N234,R234,V234,Z234,AD234)</f>
        <v>219.00560000000002</v>
      </c>
      <c r="G234" s="105">
        <f>MAX(N234,R234,V234,Z234,AD234)</f>
        <v>268.40000000000003</v>
      </c>
      <c r="H234" s="106"/>
      <c r="I234" s="105">
        <f>MIN(T234,X234,AB234,AF234,P234)</f>
        <v>318.03200000000004</v>
      </c>
      <c r="J234" s="105">
        <f>AVERAGE(P234,T234,X234,AB234,AF234)</f>
        <v>377.2362</v>
      </c>
      <c r="K234" s="105">
        <f>MAX(P234,T234,X234,AB234,AF234)</f>
        <v>430.1</v>
      </c>
      <c r="N234" s="107">
        <f t="shared" si="69"/>
        <v>190.64100000000002</v>
      </c>
      <c r="O234" s="107">
        <f t="shared" si="70"/>
        <v>268.43300000000005</v>
      </c>
      <c r="P234" s="107">
        <f t="shared" si="71"/>
        <v>382.84400000000005</v>
      </c>
      <c r="R234" s="107">
        <f t="shared" si="72"/>
        <v>220.08800000000002</v>
      </c>
      <c r="S234" s="107">
        <f t="shared" si="73"/>
        <v>206.51400000000004</v>
      </c>
      <c r="T234" s="107">
        <f t="shared" si="74"/>
        <v>318.03200000000004</v>
      </c>
      <c r="V234" s="107">
        <f t="shared" si="75"/>
        <v>167.99200000000002</v>
      </c>
      <c r="W234" s="107">
        <f t="shared" si="76"/>
        <v>243.21</v>
      </c>
      <c r="X234" s="107">
        <f t="shared" si="77"/>
        <v>336.80900000000003</v>
      </c>
      <c r="Z234" s="107">
        <f t="shared" si="78"/>
        <v>247.90700000000004</v>
      </c>
      <c r="AA234" s="107">
        <f t="shared" si="79"/>
        <v>337.17200000000003</v>
      </c>
      <c r="AB234" s="107">
        <f t="shared" si="80"/>
        <v>418.39600000000007</v>
      </c>
      <c r="AD234" s="107">
        <f t="shared" si="81"/>
        <v>268.40000000000003</v>
      </c>
      <c r="AE234" s="107">
        <f t="shared" si="82"/>
        <v>365.20000000000005</v>
      </c>
      <c r="AF234" s="107">
        <f t="shared" si="83"/>
        <v>430.1</v>
      </c>
      <c r="AH234" s="107">
        <v>173.31</v>
      </c>
      <c r="AI234" s="107">
        <v>244.03</v>
      </c>
      <c r="AJ234" s="107">
        <v>348.04</v>
      </c>
      <c r="AK234" s="107">
        <v>200.08</v>
      </c>
      <c r="AL234" s="107">
        <v>187.74</v>
      </c>
      <c r="AM234" s="107">
        <v>289.12</v>
      </c>
      <c r="AN234" s="107">
        <v>152.72</v>
      </c>
      <c r="AO234" s="107">
        <v>221.1</v>
      </c>
      <c r="AP234" s="107">
        <v>306.19</v>
      </c>
      <c r="AQ234" s="107">
        <v>225.37</v>
      </c>
      <c r="AR234" s="107">
        <v>306.52</v>
      </c>
      <c r="AS234" s="107">
        <v>380.36</v>
      </c>
      <c r="AT234" s="107">
        <v>244</v>
      </c>
      <c r="AU234" s="107">
        <v>332</v>
      </c>
      <c r="AV234" s="107">
        <v>391</v>
      </c>
    </row>
    <row r="235" spans="1:48" ht="30" customHeight="1" outlineLevel="2">
      <c r="A235" s="116" t="s">
        <v>700</v>
      </c>
      <c r="B235" s="126" t="s">
        <v>701</v>
      </c>
      <c r="C235" s="134" t="s">
        <v>242</v>
      </c>
      <c r="E235" s="105">
        <f>MIN(N235,R235,V235,Z235,AD235)</f>
        <v>286.18699999999995</v>
      </c>
      <c r="F235" s="105">
        <f>AVERAGE(N235,R235,V235,Z235,AD235)</f>
        <v>320.10659999999996</v>
      </c>
      <c r="G235" s="105">
        <f>MAX(N235,R235,V235,Z235,AD235)</f>
        <v>390.50000000000006</v>
      </c>
      <c r="H235" s="106"/>
      <c r="I235" s="105">
        <f>MIN(T235,X235,AB235,AF235,P235)</f>
        <v>474.84800000000007</v>
      </c>
      <c r="J235" s="105">
        <f>AVERAGE(P235,T235,X235,AB235,AF235)</f>
        <v>564.07560000000001</v>
      </c>
      <c r="K235" s="105">
        <f>MAX(P235,T235,X235,AB235,AF235)</f>
        <v>650.1</v>
      </c>
      <c r="N235" s="107">
        <f t="shared" si="69"/>
        <v>300.83900000000006</v>
      </c>
      <c r="O235" s="107">
        <f t="shared" si="70"/>
        <v>422.44400000000007</v>
      </c>
      <c r="P235" s="107">
        <f t="shared" si="71"/>
        <v>598.46600000000001</v>
      </c>
      <c r="R235" s="107">
        <f t="shared" si="72"/>
        <v>324.63200000000001</v>
      </c>
      <c r="S235" s="107">
        <f t="shared" si="73"/>
        <v>312.52100000000002</v>
      </c>
      <c r="T235" s="107">
        <f t="shared" si="74"/>
        <v>474.84800000000007</v>
      </c>
      <c r="V235" s="107">
        <f t="shared" si="75"/>
        <v>286.18699999999995</v>
      </c>
      <c r="W235" s="107">
        <f t="shared" si="76"/>
        <v>434.68700000000007</v>
      </c>
      <c r="X235" s="107">
        <f t="shared" si="77"/>
        <v>595.298</v>
      </c>
      <c r="Z235" s="107">
        <f t="shared" si="78"/>
        <v>298.375</v>
      </c>
      <c r="AA235" s="107">
        <f t="shared" si="79"/>
        <v>407.82500000000005</v>
      </c>
      <c r="AB235" s="107">
        <f t="shared" si="80"/>
        <v>501.66600000000005</v>
      </c>
      <c r="AD235" s="107">
        <f t="shared" si="81"/>
        <v>390.50000000000006</v>
      </c>
      <c r="AE235" s="107">
        <f t="shared" si="82"/>
        <v>548.90000000000009</v>
      </c>
      <c r="AF235" s="107">
        <f t="shared" si="83"/>
        <v>650.1</v>
      </c>
      <c r="AH235" s="107">
        <v>273.49</v>
      </c>
      <c r="AI235" s="107">
        <v>384.04</v>
      </c>
      <c r="AJ235" s="107">
        <v>544.05999999999995</v>
      </c>
      <c r="AK235" s="107">
        <v>295.12</v>
      </c>
      <c r="AL235" s="107">
        <v>284.11</v>
      </c>
      <c r="AM235" s="107">
        <v>431.68</v>
      </c>
      <c r="AN235" s="107">
        <v>260.16999999999996</v>
      </c>
      <c r="AO235" s="107">
        <v>395.17</v>
      </c>
      <c r="AP235" s="107">
        <v>541.17999999999995</v>
      </c>
      <c r="AQ235" s="107">
        <v>271.25</v>
      </c>
      <c r="AR235" s="107">
        <v>370.75</v>
      </c>
      <c r="AS235" s="107">
        <v>456.06</v>
      </c>
      <c r="AT235" s="107">
        <v>355</v>
      </c>
      <c r="AU235" s="107">
        <v>499</v>
      </c>
      <c r="AV235" s="107">
        <v>591</v>
      </c>
    </row>
    <row r="236" spans="1:48" ht="30" customHeight="1" outlineLevel="2">
      <c r="A236" s="116" t="s">
        <v>702</v>
      </c>
      <c r="B236" s="126" t="s">
        <v>703</v>
      </c>
      <c r="C236" s="134" t="s">
        <v>242</v>
      </c>
      <c r="E236" s="105">
        <f>MIN(N236,R236,V236,Z236,AD236)</f>
        <v>121.77000000000001</v>
      </c>
      <c r="F236" s="105">
        <f>AVERAGE(N236,R236,V236,Z236,AD236)</f>
        <v>153.9384</v>
      </c>
      <c r="G236" s="105">
        <f>MAX(N236,R236,V236,Z236,AD236)</f>
        <v>198.96800000000002</v>
      </c>
      <c r="H236" s="106"/>
      <c r="I236" s="105">
        <f>MIN(T236,X236,AB236,AF236,P236)</f>
        <v>180.4</v>
      </c>
      <c r="J236" s="105">
        <f>AVERAGE(P236,T236,X236,AB236,AF236)</f>
        <v>261.23020000000002</v>
      </c>
      <c r="K236" s="105">
        <f>MAX(P236,T236,X236,AB236,AF236)</f>
        <v>337.64500000000004</v>
      </c>
      <c r="N236" s="107">
        <f t="shared" si="69"/>
        <v>121.77000000000001</v>
      </c>
      <c r="O236" s="107">
        <f t="shared" si="70"/>
        <v>172.17200000000003</v>
      </c>
      <c r="P236" s="107">
        <f t="shared" si="71"/>
        <v>248.08300000000003</v>
      </c>
      <c r="R236" s="107">
        <f t="shared" si="72"/>
        <v>167.816</v>
      </c>
      <c r="S236" s="107">
        <f t="shared" si="73"/>
        <v>153.51600000000002</v>
      </c>
      <c r="T236" s="107">
        <f t="shared" si="74"/>
        <v>239.62400000000002</v>
      </c>
      <c r="V236" s="107">
        <f t="shared" si="75"/>
        <v>151.33799999999999</v>
      </c>
      <c r="W236" s="107">
        <f t="shared" si="76"/>
        <v>216.23800000000003</v>
      </c>
      <c r="X236" s="107">
        <f t="shared" si="77"/>
        <v>300.399</v>
      </c>
      <c r="Z236" s="107">
        <f t="shared" si="78"/>
        <v>198.96800000000002</v>
      </c>
      <c r="AA236" s="107">
        <f t="shared" si="79"/>
        <v>268.65300000000002</v>
      </c>
      <c r="AB236" s="107">
        <f t="shared" si="80"/>
        <v>337.64500000000004</v>
      </c>
      <c r="AD236" s="107">
        <f t="shared" si="81"/>
        <v>129.80000000000001</v>
      </c>
      <c r="AE236" s="107">
        <f t="shared" si="82"/>
        <v>157.30000000000001</v>
      </c>
      <c r="AF236" s="107">
        <f t="shared" si="83"/>
        <v>180.4</v>
      </c>
      <c r="AH236" s="107">
        <v>110.7</v>
      </c>
      <c r="AI236" s="107">
        <v>156.52000000000001</v>
      </c>
      <c r="AJ236" s="107">
        <v>225.53</v>
      </c>
      <c r="AK236" s="107">
        <v>152.56</v>
      </c>
      <c r="AL236" s="107">
        <v>139.56</v>
      </c>
      <c r="AM236" s="107">
        <v>217.84</v>
      </c>
      <c r="AN236" s="107">
        <v>137.57999999999998</v>
      </c>
      <c r="AO236" s="107">
        <v>196.58</v>
      </c>
      <c r="AP236" s="107">
        <v>273.08999999999997</v>
      </c>
      <c r="AQ236" s="107">
        <v>180.88</v>
      </c>
      <c r="AR236" s="107">
        <v>244.23</v>
      </c>
      <c r="AS236" s="107">
        <v>306.95</v>
      </c>
      <c r="AT236" s="107">
        <v>118</v>
      </c>
      <c r="AU236" s="107">
        <v>143</v>
      </c>
      <c r="AV236" s="107">
        <v>164</v>
      </c>
    </row>
    <row r="237" spans="1:48" ht="30" customHeight="1" outlineLevel="2">
      <c r="A237" s="116" t="s">
        <v>704</v>
      </c>
      <c r="B237" s="126" t="s">
        <v>705</v>
      </c>
      <c r="C237" s="134" t="s">
        <v>242</v>
      </c>
      <c r="E237" s="105">
        <f>MIN(N237,R237,V237,Z237,AD237)</f>
        <v>176</v>
      </c>
      <c r="F237" s="105">
        <f>AVERAGE(N237,R237,V237,Z237,AD237)</f>
        <v>224.8312</v>
      </c>
      <c r="G237" s="105">
        <f>MAX(N237,R237,V237,Z237,AD237)</f>
        <v>286.18699999999995</v>
      </c>
      <c r="H237" s="106"/>
      <c r="I237" s="105">
        <f>MIN(T237,X237,AB237,AF237,P237)</f>
        <v>262.90000000000003</v>
      </c>
      <c r="J237" s="105">
        <f>AVERAGE(P237,T237,X237,AB237,AF237)</f>
        <v>395.02540000000005</v>
      </c>
      <c r="K237" s="105">
        <f>MAX(P237,T237,X237,AB237,AF237)</f>
        <v>595.298</v>
      </c>
      <c r="N237" s="107">
        <f t="shared" si="69"/>
        <v>190.64100000000002</v>
      </c>
      <c r="O237" s="107">
        <f t="shared" si="70"/>
        <v>268.43300000000005</v>
      </c>
      <c r="P237" s="107">
        <f t="shared" si="71"/>
        <v>382.84400000000005</v>
      </c>
      <c r="R237" s="107">
        <f t="shared" si="72"/>
        <v>272.36</v>
      </c>
      <c r="S237" s="107">
        <f t="shared" si="73"/>
        <v>259.52300000000002</v>
      </c>
      <c r="T237" s="107">
        <f t="shared" si="74"/>
        <v>396.44</v>
      </c>
      <c r="V237" s="107">
        <f t="shared" si="75"/>
        <v>286.18699999999995</v>
      </c>
      <c r="W237" s="107">
        <f t="shared" si="76"/>
        <v>434.68700000000007</v>
      </c>
      <c r="X237" s="107">
        <f t="shared" si="77"/>
        <v>595.298</v>
      </c>
      <c r="Z237" s="107">
        <f t="shared" si="78"/>
        <v>198.96800000000002</v>
      </c>
      <c r="AA237" s="107">
        <f t="shared" si="79"/>
        <v>268.65300000000002</v>
      </c>
      <c r="AB237" s="107">
        <f t="shared" si="80"/>
        <v>337.64500000000004</v>
      </c>
      <c r="AD237" s="107">
        <f t="shared" si="81"/>
        <v>176</v>
      </c>
      <c r="AE237" s="107">
        <f t="shared" si="82"/>
        <v>226.60000000000002</v>
      </c>
      <c r="AF237" s="107">
        <f t="shared" si="83"/>
        <v>262.90000000000003</v>
      </c>
      <c r="AH237" s="107">
        <v>173.31</v>
      </c>
      <c r="AI237" s="107">
        <v>244.03</v>
      </c>
      <c r="AJ237" s="107">
        <v>348.04</v>
      </c>
      <c r="AK237" s="107">
        <v>247.6</v>
      </c>
      <c r="AL237" s="107">
        <v>235.93</v>
      </c>
      <c r="AM237" s="107">
        <v>360.4</v>
      </c>
      <c r="AN237" s="107">
        <v>260.16999999999996</v>
      </c>
      <c r="AO237" s="107">
        <v>395.17</v>
      </c>
      <c r="AP237" s="107">
        <v>541.17999999999995</v>
      </c>
      <c r="AQ237" s="107">
        <v>180.88</v>
      </c>
      <c r="AR237" s="107">
        <v>244.23</v>
      </c>
      <c r="AS237" s="107">
        <v>306.95</v>
      </c>
      <c r="AT237" s="107">
        <v>160</v>
      </c>
      <c r="AU237" s="107">
        <v>206</v>
      </c>
      <c r="AV237" s="107">
        <v>239</v>
      </c>
    </row>
    <row r="238" spans="1:48" ht="30" customHeight="1" outlineLevel="1">
      <c r="A238" s="109" t="s">
        <v>706</v>
      </c>
      <c r="B238" s="135" t="s">
        <v>707</v>
      </c>
      <c r="C238" s="111"/>
      <c r="N238" s="11" t="str">
        <f t="shared" si="69"/>
        <v/>
      </c>
      <c r="O238" s="11" t="str">
        <f t="shared" si="70"/>
        <v/>
      </c>
      <c r="P238" s="11" t="str">
        <f t="shared" si="71"/>
        <v/>
      </c>
      <c r="R238" s="11" t="str">
        <f t="shared" si="72"/>
        <v/>
      </c>
      <c r="S238" s="11" t="str">
        <f t="shared" si="73"/>
        <v/>
      </c>
      <c r="T238" s="11" t="str">
        <f t="shared" si="74"/>
        <v/>
      </c>
      <c r="V238" s="11" t="str">
        <f t="shared" si="75"/>
        <v/>
      </c>
      <c r="W238" s="11" t="str">
        <f t="shared" si="76"/>
        <v/>
      </c>
      <c r="X238" s="11" t="str">
        <f t="shared" si="77"/>
        <v/>
      </c>
      <c r="Z238" s="11" t="str">
        <f t="shared" si="78"/>
        <v/>
      </c>
      <c r="AA238" s="11" t="str">
        <f t="shared" si="79"/>
        <v/>
      </c>
      <c r="AB238" s="11" t="str">
        <f t="shared" si="80"/>
        <v/>
      </c>
      <c r="AD238" s="11" t="str">
        <f t="shared" si="81"/>
        <v/>
      </c>
      <c r="AE238" s="11" t="str">
        <f t="shared" si="82"/>
        <v/>
      </c>
      <c r="AF238" s="11" t="str">
        <f t="shared" si="83"/>
        <v/>
      </c>
    </row>
    <row r="239" spans="1:48" ht="30" customHeight="1" outlineLevel="2">
      <c r="A239" s="116" t="s">
        <v>708</v>
      </c>
      <c r="B239" s="126" t="s">
        <v>709</v>
      </c>
      <c r="C239" s="134" t="s">
        <v>242</v>
      </c>
      <c r="E239" s="105">
        <f t="shared" ref="E239:E244" si="84">MIN(N239,R239,V239,Z239,AD239)</f>
        <v>322.80599999999998</v>
      </c>
      <c r="F239" s="105">
        <f t="shared" ref="F239:F244" si="85">AVERAGE(N239,R239,V239,Z239,AD239)</f>
        <v>436.67360000000008</v>
      </c>
      <c r="G239" s="105">
        <f t="shared" ref="G239:G244" si="86">MAX(N239,R239,V239,Z239,AD239)</f>
        <v>513.70000000000005</v>
      </c>
      <c r="H239" s="106"/>
      <c r="I239" s="105">
        <f t="shared" ref="I239:I244" si="87">MIN(T239,X239,AB239,AF239,P239)</f>
        <v>534.21500000000003</v>
      </c>
      <c r="J239" s="105">
        <f t="shared" ref="J239:J244" si="88">AVERAGE(P239,T239,X239,AB239,AF239)</f>
        <v>781.92840000000012</v>
      </c>
      <c r="K239" s="105">
        <f t="shared" ref="K239:K244" si="89">MAX(P239,T239,X239,AB239,AF239)</f>
        <v>975.81000000000006</v>
      </c>
      <c r="N239" s="107">
        <f t="shared" si="69"/>
        <v>493.66900000000004</v>
      </c>
      <c r="O239" s="107">
        <f t="shared" si="70"/>
        <v>691.97700000000009</v>
      </c>
      <c r="P239" s="107">
        <f t="shared" si="71"/>
        <v>975.81000000000006</v>
      </c>
      <c r="R239" s="107">
        <f t="shared" si="72"/>
        <v>429.17600000000004</v>
      </c>
      <c r="S239" s="107">
        <f t="shared" si="73"/>
        <v>418.52800000000008</v>
      </c>
      <c r="T239" s="107">
        <f t="shared" si="74"/>
        <v>631.6640000000001</v>
      </c>
      <c r="V239" s="107">
        <f t="shared" si="75"/>
        <v>424.01700000000005</v>
      </c>
      <c r="W239" s="107">
        <f t="shared" si="76"/>
        <v>657.98699999999997</v>
      </c>
      <c r="X239" s="107">
        <f t="shared" si="77"/>
        <v>896.75300000000004</v>
      </c>
      <c r="Z239" s="107">
        <f t="shared" si="78"/>
        <v>322.80599999999998</v>
      </c>
      <c r="AA239" s="107">
        <f t="shared" si="79"/>
        <v>351.40600000000001</v>
      </c>
      <c r="AB239" s="107">
        <f t="shared" si="80"/>
        <v>534.21500000000003</v>
      </c>
      <c r="AD239" s="107">
        <f t="shared" si="81"/>
        <v>513.70000000000005</v>
      </c>
      <c r="AE239" s="107">
        <f t="shared" si="82"/>
        <v>733.7</v>
      </c>
      <c r="AF239" s="107">
        <f t="shared" si="83"/>
        <v>871.2</v>
      </c>
      <c r="AH239" s="107">
        <v>448.79</v>
      </c>
      <c r="AI239" s="107">
        <v>629.07000000000005</v>
      </c>
      <c r="AJ239" s="107">
        <v>887.1</v>
      </c>
      <c r="AK239" s="107">
        <v>390.16</v>
      </c>
      <c r="AL239" s="107">
        <v>380.48</v>
      </c>
      <c r="AM239" s="107">
        <v>574.24</v>
      </c>
      <c r="AN239" s="107">
        <v>385.47</v>
      </c>
      <c r="AO239" s="107">
        <v>598.16999999999996</v>
      </c>
      <c r="AP239" s="107">
        <v>815.23</v>
      </c>
      <c r="AQ239" s="107">
        <v>293.45999999999998</v>
      </c>
      <c r="AR239" s="107">
        <v>319.45999999999998</v>
      </c>
      <c r="AS239" s="107">
        <v>485.65</v>
      </c>
      <c r="AT239" s="107">
        <v>467</v>
      </c>
      <c r="AU239" s="107">
        <v>667</v>
      </c>
      <c r="AV239" s="107">
        <v>792</v>
      </c>
    </row>
    <row r="240" spans="1:48" ht="30" customHeight="1" outlineLevel="2">
      <c r="A240" s="116" t="s">
        <v>710</v>
      </c>
      <c r="B240" s="126" t="s">
        <v>711</v>
      </c>
      <c r="C240" s="134" t="s">
        <v>242</v>
      </c>
      <c r="E240" s="105">
        <f t="shared" si="84"/>
        <v>198.08800000000002</v>
      </c>
      <c r="F240" s="105">
        <f t="shared" si="85"/>
        <v>256.61900000000003</v>
      </c>
      <c r="G240" s="105">
        <f t="shared" si="86"/>
        <v>390.50000000000006</v>
      </c>
      <c r="H240" s="106"/>
      <c r="I240" s="105">
        <f t="shared" si="87"/>
        <v>318.03200000000004</v>
      </c>
      <c r="J240" s="105">
        <f t="shared" si="88"/>
        <v>454.16800000000001</v>
      </c>
      <c r="K240" s="105">
        <f t="shared" si="89"/>
        <v>650.1</v>
      </c>
      <c r="N240" s="107">
        <f t="shared" si="69"/>
        <v>218.19600000000003</v>
      </c>
      <c r="O240" s="107">
        <f t="shared" si="70"/>
        <v>306.93299999999999</v>
      </c>
      <c r="P240" s="107">
        <f t="shared" si="71"/>
        <v>436.75500000000005</v>
      </c>
      <c r="R240" s="107">
        <f t="shared" si="72"/>
        <v>220.08800000000002</v>
      </c>
      <c r="S240" s="107">
        <f t="shared" si="73"/>
        <v>206.51400000000004</v>
      </c>
      <c r="T240" s="107">
        <f t="shared" si="74"/>
        <v>318.03200000000004</v>
      </c>
      <c r="V240" s="107">
        <f t="shared" si="75"/>
        <v>256.22300000000001</v>
      </c>
      <c r="W240" s="107">
        <f t="shared" si="76"/>
        <v>386.14400000000006</v>
      </c>
      <c r="X240" s="107">
        <f t="shared" si="77"/>
        <v>529.7600000000001</v>
      </c>
      <c r="Z240" s="107">
        <f t="shared" si="78"/>
        <v>198.08800000000002</v>
      </c>
      <c r="AA240" s="107">
        <f t="shared" si="79"/>
        <v>267.42100000000005</v>
      </c>
      <c r="AB240" s="107">
        <f t="shared" si="80"/>
        <v>336.19300000000004</v>
      </c>
      <c r="AD240" s="107">
        <f t="shared" si="81"/>
        <v>390.50000000000006</v>
      </c>
      <c r="AE240" s="107">
        <f t="shared" si="82"/>
        <v>548.90000000000009</v>
      </c>
      <c r="AF240" s="107">
        <f t="shared" si="83"/>
        <v>650.1</v>
      </c>
      <c r="AH240" s="107">
        <v>198.36</v>
      </c>
      <c r="AI240" s="107">
        <v>279.02999999999997</v>
      </c>
      <c r="AJ240" s="107">
        <v>397.05</v>
      </c>
      <c r="AK240" s="107">
        <v>200.08</v>
      </c>
      <c r="AL240" s="107">
        <v>187.74</v>
      </c>
      <c r="AM240" s="107">
        <v>289.12</v>
      </c>
      <c r="AN240" s="107">
        <v>232.93</v>
      </c>
      <c r="AO240" s="107">
        <v>351.04</v>
      </c>
      <c r="AP240" s="107">
        <v>481.6</v>
      </c>
      <c r="AQ240" s="107">
        <v>180.08</v>
      </c>
      <c r="AR240" s="107">
        <v>243.11</v>
      </c>
      <c r="AS240" s="107">
        <v>305.63</v>
      </c>
      <c r="AT240" s="107">
        <v>355</v>
      </c>
      <c r="AU240" s="107">
        <v>499</v>
      </c>
      <c r="AV240" s="107">
        <v>591</v>
      </c>
    </row>
    <row r="241" spans="1:48" ht="30" customHeight="1" outlineLevel="2">
      <c r="A241" s="116" t="s">
        <v>712</v>
      </c>
      <c r="B241" s="126" t="s">
        <v>713</v>
      </c>
      <c r="C241" s="134" t="s">
        <v>242</v>
      </c>
      <c r="E241" s="105">
        <f t="shared" si="84"/>
        <v>417.61500000000001</v>
      </c>
      <c r="F241" s="105">
        <f t="shared" si="85"/>
        <v>565.58920000000012</v>
      </c>
      <c r="G241" s="105">
        <f t="shared" si="86"/>
        <v>697.40000000000009</v>
      </c>
      <c r="H241" s="106"/>
      <c r="I241" s="105">
        <f t="shared" si="87"/>
        <v>694.21</v>
      </c>
      <c r="J241" s="105">
        <f t="shared" si="88"/>
        <v>1008.9970000000001</v>
      </c>
      <c r="K241" s="105">
        <f t="shared" si="89"/>
        <v>1202.3000000000002</v>
      </c>
      <c r="N241" s="107">
        <f t="shared" si="69"/>
        <v>548.76800000000003</v>
      </c>
      <c r="O241" s="107">
        <f t="shared" si="70"/>
        <v>768.98800000000006</v>
      </c>
      <c r="P241" s="107">
        <f t="shared" si="71"/>
        <v>1083.6210000000001</v>
      </c>
      <c r="R241" s="107">
        <f t="shared" si="72"/>
        <v>638.26400000000001</v>
      </c>
      <c r="S241" s="107">
        <f t="shared" si="73"/>
        <v>630.54200000000003</v>
      </c>
      <c r="T241" s="107">
        <f t="shared" si="74"/>
        <v>945.29600000000005</v>
      </c>
      <c r="V241" s="107">
        <f t="shared" si="75"/>
        <v>525.899</v>
      </c>
      <c r="W241" s="107">
        <f t="shared" si="76"/>
        <v>823.03100000000006</v>
      </c>
      <c r="X241" s="107">
        <f t="shared" si="77"/>
        <v>1119.558</v>
      </c>
      <c r="Z241" s="107">
        <f t="shared" si="78"/>
        <v>417.61500000000001</v>
      </c>
      <c r="AA241" s="107">
        <f t="shared" si="79"/>
        <v>437.66800000000001</v>
      </c>
      <c r="AB241" s="107">
        <f t="shared" si="80"/>
        <v>694.21</v>
      </c>
      <c r="AD241" s="107">
        <f t="shared" si="81"/>
        <v>697.40000000000009</v>
      </c>
      <c r="AE241" s="107">
        <f t="shared" si="82"/>
        <v>1008.7</v>
      </c>
      <c r="AF241" s="107">
        <f t="shared" si="83"/>
        <v>1202.3000000000002</v>
      </c>
      <c r="AH241" s="107">
        <v>498.88</v>
      </c>
      <c r="AI241" s="107">
        <v>699.08</v>
      </c>
      <c r="AJ241" s="107">
        <v>985.11</v>
      </c>
      <c r="AK241" s="107">
        <v>580.24</v>
      </c>
      <c r="AL241" s="107">
        <v>573.22</v>
      </c>
      <c r="AM241" s="107">
        <v>859.36</v>
      </c>
      <c r="AN241" s="107">
        <v>478.09</v>
      </c>
      <c r="AO241" s="107">
        <v>748.21</v>
      </c>
      <c r="AP241" s="107">
        <v>1017.78</v>
      </c>
      <c r="AQ241" s="107">
        <v>379.65</v>
      </c>
      <c r="AR241" s="107">
        <v>397.88</v>
      </c>
      <c r="AS241" s="107">
        <v>631.1</v>
      </c>
      <c r="AT241" s="107">
        <v>634</v>
      </c>
      <c r="AU241" s="107">
        <v>917</v>
      </c>
      <c r="AV241" s="107">
        <v>1093</v>
      </c>
    </row>
    <row r="242" spans="1:48" ht="30" customHeight="1" outlineLevel="2">
      <c r="A242" s="116" t="s">
        <v>714</v>
      </c>
      <c r="B242" s="126" t="s">
        <v>715</v>
      </c>
      <c r="C242" s="134" t="s">
        <v>242</v>
      </c>
      <c r="E242" s="105">
        <f t="shared" si="84"/>
        <v>227.72200000000004</v>
      </c>
      <c r="F242" s="105">
        <f t="shared" si="85"/>
        <v>317.80540000000002</v>
      </c>
      <c r="G242" s="105">
        <f t="shared" si="86"/>
        <v>511.50000000000006</v>
      </c>
      <c r="H242" s="106"/>
      <c r="I242" s="105">
        <f t="shared" si="87"/>
        <v>307.51600000000002</v>
      </c>
      <c r="J242" s="105">
        <f t="shared" si="88"/>
        <v>548.22900000000004</v>
      </c>
      <c r="K242" s="105">
        <f t="shared" si="89"/>
        <v>858.00000000000011</v>
      </c>
      <c r="N242" s="107">
        <f t="shared" si="69"/>
        <v>273.28399999999999</v>
      </c>
      <c r="O242" s="107">
        <f t="shared" si="70"/>
        <v>383.94400000000007</v>
      </c>
      <c r="P242" s="107">
        <f t="shared" si="71"/>
        <v>544.56600000000003</v>
      </c>
      <c r="R242" s="107">
        <f t="shared" si="72"/>
        <v>272.36</v>
      </c>
      <c r="S242" s="107">
        <f t="shared" si="73"/>
        <v>259.52300000000002</v>
      </c>
      <c r="T242" s="107">
        <f t="shared" si="74"/>
        <v>396.44</v>
      </c>
      <c r="V242" s="107">
        <f t="shared" si="75"/>
        <v>304.161</v>
      </c>
      <c r="W242" s="107">
        <f t="shared" si="76"/>
        <v>463.815</v>
      </c>
      <c r="X242" s="107">
        <f t="shared" si="77"/>
        <v>634.62300000000005</v>
      </c>
      <c r="Z242" s="107">
        <f t="shared" si="78"/>
        <v>227.72200000000004</v>
      </c>
      <c r="AA242" s="107">
        <f t="shared" si="79"/>
        <v>243.91400000000002</v>
      </c>
      <c r="AB242" s="107">
        <f t="shared" si="80"/>
        <v>307.51600000000002</v>
      </c>
      <c r="AD242" s="107">
        <f t="shared" si="81"/>
        <v>511.50000000000006</v>
      </c>
      <c r="AE242" s="107">
        <f t="shared" si="82"/>
        <v>724.90000000000009</v>
      </c>
      <c r="AF242" s="107">
        <f t="shared" si="83"/>
        <v>858.00000000000011</v>
      </c>
      <c r="AH242" s="107">
        <v>248.44</v>
      </c>
      <c r="AI242" s="107">
        <v>349.04</v>
      </c>
      <c r="AJ242" s="107">
        <v>495.06</v>
      </c>
      <c r="AK242" s="107">
        <v>247.6</v>
      </c>
      <c r="AL242" s="107">
        <v>235.93</v>
      </c>
      <c r="AM242" s="107">
        <v>360.4</v>
      </c>
      <c r="AN242" s="107">
        <v>276.51</v>
      </c>
      <c r="AO242" s="107">
        <v>421.65</v>
      </c>
      <c r="AP242" s="107">
        <v>576.92999999999995</v>
      </c>
      <c r="AQ242" s="107">
        <v>207.02</v>
      </c>
      <c r="AR242" s="107">
        <v>221.74</v>
      </c>
      <c r="AS242" s="107">
        <v>279.56</v>
      </c>
      <c r="AT242" s="107">
        <v>465</v>
      </c>
      <c r="AU242" s="107">
        <v>659</v>
      </c>
      <c r="AV242" s="107">
        <v>780</v>
      </c>
    </row>
    <row r="243" spans="1:48" ht="30" customHeight="1" outlineLevel="2">
      <c r="A243" s="116" t="s">
        <v>716</v>
      </c>
      <c r="B243" s="126" t="s">
        <v>717</v>
      </c>
      <c r="C243" s="134" t="s">
        <v>242</v>
      </c>
      <c r="E243" s="105">
        <f t="shared" si="84"/>
        <v>272.36</v>
      </c>
      <c r="F243" s="105">
        <f t="shared" si="85"/>
        <v>316.87260000000003</v>
      </c>
      <c r="G243" s="105">
        <f t="shared" si="86"/>
        <v>390.50000000000006</v>
      </c>
      <c r="H243" s="106"/>
      <c r="I243" s="105">
        <f t="shared" si="87"/>
        <v>396.44</v>
      </c>
      <c r="J243" s="105">
        <f t="shared" si="88"/>
        <v>563.93039999999996</v>
      </c>
      <c r="K243" s="105">
        <f t="shared" si="89"/>
        <v>652.37700000000007</v>
      </c>
      <c r="N243" s="107">
        <f t="shared" si="69"/>
        <v>328.38299999999998</v>
      </c>
      <c r="O243" s="107">
        <f t="shared" si="70"/>
        <v>460.95500000000004</v>
      </c>
      <c r="P243" s="107">
        <f t="shared" si="71"/>
        <v>652.37700000000007</v>
      </c>
      <c r="R243" s="107">
        <f t="shared" si="72"/>
        <v>272.36</v>
      </c>
      <c r="S243" s="107">
        <f t="shared" si="73"/>
        <v>259.52300000000002</v>
      </c>
      <c r="T243" s="107">
        <f t="shared" si="74"/>
        <v>396.44</v>
      </c>
      <c r="V243" s="107">
        <f t="shared" si="75"/>
        <v>304.161</v>
      </c>
      <c r="W243" s="107">
        <f t="shared" si="76"/>
        <v>463.815</v>
      </c>
      <c r="X243" s="107">
        <f t="shared" si="77"/>
        <v>634.61199999999997</v>
      </c>
      <c r="Z243" s="107">
        <f t="shared" si="78"/>
        <v>288.959</v>
      </c>
      <c r="AA243" s="107">
        <f t="shared" si="79"/>
        <v>394.63600000000002</v>
      </c>
      <c r="AB243" s="107">
        <f t="shared" si="80"/>
        <v>486.12300000000005</v>
      </c>
      <c r="AD243" s="107">
        <f t="shared" si="81"/>
        <v>390.50000000000006</v>
      </c>
      <c r="AE243" s="107">
        <f t="shared" si="82"/>
        <v>548.90000000000009</v>
      </c>
      <c r="AF243" s="107">
        <f t="shared" si="83"/>
        <v>650.1</v>
      </c>
      <c r="AH243" s="107">
        <v>298.52999999999997</v>
      </c>
      <c r="AI243" s="107">
        <v>419.05</v>
      </c>
      <c r="AJ243" s="107">
        <v>593.07000000000005</v>
      </c>
      <c r="AK243" s="107">
        <v>247.6</v>
      </c>
      <c r="AL243" s="107">
        <v>235.93</v>
      </c>
      <c r="AM243" s="107">
        <v>360.4</v>
      </c>
      <c r="AN243" s="107">
        <v>276.51</v>
      </c>
      <c r="AO243" s="107">
        <v>421.65</v>
      </c>
      <c r="AP243" s="107">
        <v>576.91999999999996</v>
      </c>
      <c r="AQ243" s="107">
        <v>262.69</v>
      </c>
      <c r="AR243" s="107">
        <v>358.76</v>
      </c>
      <c r="AS243" s="107">
        <v>441.93</v>
      </c>
      <c r="AT243" s="107">
        <v>355</v>
      </c>
      <c r="AU243" s="107">
        <v>499</v>
      </c>
      <c r="AV243" s="107">
        <v>591</v>
      </c>
    </row>
    <row r="244" spans="1:48" ht="30" customHeight="1" outlineLevel="2">
      <c r="A244" s="116" t="s">
        <v>718</v>
      </c>
      <c r="B244" s="126" t="s">
        <v>719</v>
      </c>
      <c r="C244" s="134" t="s">
        <v>242</v>
      </c>
      <c r="E244" s="105">
        <f t="shared" si="84"/>
        <v>379.33500000000004</v>
      </c>
      <c r="F244" s="105">
        <f t="shared" si="85"/>
        <v>433.51440000000002</v>
      </c>
      <c r="G244" s="105">
        <f t="shared" si="86"/>
        <v>495.93500000000006</v>
      </c>
      <c r="H244" s="106"/>
      <c r="I244" s="105">
        <f t="shared" si="87"/>
        <v>631.6640000000001</v>
      </c>
      <c r="J244" s="105">
        <f t="shared" si="88"/>
        <v>779.02440000000001</v>
      </c>
      <c r="K244" s="105">
        <f t="shared" si="89"/>
        <v>1054.0310000000002</v>
      </c>
      <c r="N244" s="107">
        <f t="shared" si="69"/>
        <v>411.02600000000007</v>
      </c>
      <c r="O244" s="107">
        <f t="shared" si="70"/>
        <v>576.46600000000001</v>
      </c>
      <c r="P244" s="107">
        <f t="shared" si="71"/>
        <v>814.08800000000008</v>
      </c>
      <c r="R244" s="107">
        <f t="shared" si="72"/>
        <v>429.17600000000004</v>
      </c>
      <c r="S244" s="107">
        <f t="shared" si="73"/>
        <v>418.52800000000008</v>
      </c>
      <c r="T244" s="107">
        <f t="shared" si="74"/>
        <v>631.6640000000001</v>
      </c>
      <c r="V244" s="107">
        <f t="shared" si="75"/>
        <v>495.93500000000006</v>
      </c>
      <c r="W244" s="107">
        <f t="shared" si="76"/>
        <v>774.48800000000006</v>
      </c>
      <c r="X244" s="107">
        <f t="shared" si="77"/>
        <v>1054.0310000000002</v>
      </c>
      <c r="Z244" s="107">
        <f t="shared" si="78"/>
        <v>379.33500000000004</v>
      </c>
      <c r="AA244" s="107">
        <f t="shared" si="79"/>
        <v>521.15800000000002</v>
      </c>
      <c r="AB244" s="107">
        <f t="shared" si="80"/>
        <v>635.23900000000003</v>
      </c>
      <c r="AD244" s="107">
        <f t="shared" si="81"/>
        <v>452.1</v>
      </c>
      <c r="AE244" s="107">
        <f t="shared" si="82"/>
        <v>641.30000000000007</v>
      </c>
      <c r="AF244" s="107">
        <f t="shared" si="83"/>
        <v>760.1</v>
      </c>
      <c r="AH244" s="107">
        <v>373.66</v>
      </c>
      <c r="AI244" s="107">
        <v>524.05999999999995</v>
      </c>
      <c r="AJ244" s="107">
        <v>740.08</v>
      </c>
      <c r="AK244" s="107">
        <v>390.16</v>
      </c>
      <c r="AL244" s="107">
        <v>380.48</v>
      </c>
      <c r="AM244" s="107">
        <v>574.24</v>
      </c>
      <c r="AN244" s="107">
        <v>450.85</v>
      </c>
      <c r="AO244" s="107">
        <v>704.08</v>
      </c>
      <c r="AP244" s="107">
        <v>958.21</v>
      </c>
      <c r="AQ244" s="107">
        <v>344.85</v>
      </c>
      <c r="AR244" s="107">
        <v>473.78</v>
      </c>
      <c r="AS244" s="107">
        <v>577.49</v>
      </c>
      <c r="AT244" s="107">
        <v>411</v>
      </c>
      <c r="AU244" s="107">
        <v>583</v>
      </c>
      <c r="AV244" s="107">
        <v>691</v>
      </c>
    </row>
    <row r="245" spans="1:48" ht="30" customHeight="1" outlineLevel="1">
      <c r="A245" s="109" t="s">
        <v>720</v>
      </c>
      <c r="B245" s="135" t="s">
        <v>721</v>
      </c>
      <c r="C245" s="111"/>
      <c r="N245" s="11" t="str">
        <f t="shared" si="69"/>
        <v/>
      </c>
      <c r="O245" s="11" t="str">
        <f t="shared" si="70"/>
        <v/>
      </c>
      <c r="P245" s="11" t="str">
        <f t="shared" si="71"/>
        <v/>
      </c>
      <c r="R245" s="11" t="str">
        <f t="shared" si="72"/>
        <v/>
      </c>
      <c r="S245" s="11" t="str">
        <f t="shared" si="73"/>
        <v/>
      </c>
      <c r="T245" s="11" t="str">
        <f t="shared" si="74"/>
        <v/>
      </c>
      <c r="V245" s="11" t="str">
        <f t="shared" si="75"/>
        <v/>
      </c>
      <c r="W245" s="11" t="str">
        <f t="shared" si="76"/>
        <v/>
      </c>
      <c r="X245" s="11" t="str">
        <f t="shared" si="77"/>
        <v/>
      </c>
      <c r="Z245" s="11" t="str">
        <f t="shared" si="78"/>
        <v/>
      </c>
      <c r="AA245" s="11" t="str">
        <f t="shared" si="79"/>
        <v/>
      </c>
      <c r="AB245" s="11" t="str">
        <f t="shared" si="80"/>
        <v/>
      </c>
      <c r="AD245" s="11" t="str">
        <f t="shared" si="81"/>
        <v/>
      </c>
      <c r="AE245" s="11" t="str">
        <f t="shared" si="82"/>
        <v/>
      </c>
      <c r="AF245" s="11" t="str">
        <f t="shared" si="83"/>
        <v/>
      </c>
    </row>
    <row r="246" spans="1:48" ht="30" customHeight="1" outlineLevel="2">
      <c r="A246" s="116" t="s">
        <v>722</v>
      </c>
      <c r="B246" s="126" t="s">
        <v>723</v>
      </c>
      <c r="C246" s="134" t="s">
        <v>242</v>
      </c>
      <c r="E246" s="105">
        <f>MIN(N246,R246,V246,Z246,AD246)</f>
        <v>76.241000000000014</v>
      </c>
      <c r="F246" s="105">
        <f>AVERAGE(N246,R246,V246,Z246,AD246)</f>
        <v>139.56139999999999</v>
      </c>
      <c r="G246" s="105">
        <f>MAX(N246,R246,V246,Z246,AD246)</f>
        <v>206.07400000000001</v>
      </c>
      <c r="H246" s="106"/>
      <c r="I246" s="105">
        <f>MIN(T246,X246,AB246,AF246,P246)</f>
        <v>122.01200000000001</v>
      </c>
      <c r="J246" s="105">
        <f>AVERAGE(P246,T246,X246,AB246,AF246)</f>
        <v>238.48220000000006</v>
      </c>
      <c r="K246" s="105">
        <f>MAX(P246,T246,X246,AB246,AF246)</f>
        <v>398.69499999999999</v>
      </c>
      <c r="N246" s="107">
        <f t="shared" si="69"/>
        <v>76.241000000000014</v>
      </c>
      <c r="O246" s="107">
        <f t="shared" si="70"/>
        <v>101.44200000000001</v>
      </c>
      <c r="P246" s="107">
        <f t="shared" si="71"/>
        <v>141.93300000000002</v>
      </c>
      <c r="R246" s="107">
        <f t="shared" si="72"/>
        <v>89.408000000000015</v>
      </c>
      <c r="S246" s="107">
        <f t="shared" si="73"/>
        <v>74.00800000000001</v>
      </c>
      <c r="T246" s="107">
        <f t="shared" si="74"/>
        <v>122.01200000000001</v>
      </c>
      <c r="V246" s="107">
        <f t="shared" si="75"/>
        <v>196.28400000000002</v>
      </c>
      <c r="W246" s="107">
        <f t="shared" si="76"/>
        <v>289.05799999999999</v>
      </c>
      <c r="X246" s="107">
        <f t="shared" si="77"/>
        <v>398.69499999999999</v>
      </c>
      <c r="Z246" s="107">
        <f t="shared" si="78"/>
        <v>206.07400000000001</v>
      </c>
      <c r="AA246" s="107">
        <f t="shared" si="79"/>
        <v>278.608</v>
      </c>
      <c r="AB246" s="107">
        <f t="shared" si="80"/>
        <v>349.37100000000004</v>
      </c>
      <c r="AD246" s="107">
        <f t="shared" si="81"/>
        <v>129.80000000000001</v>
      </c>
      <c r="AE246" s="107">
        <f t="shared" si="82"/>
        <v>157.30000000000001</v>
      </c>
      <c r="AF246" s="107">
        <f t="shared" si="83"/>
        <v>180.4</v>
      </c>
      <c r="AH246" s="107">
        <v>69.31</v>
      </c>
      <c r="AI246" s="107">
        <v>92.22</v>
      </c>
      <c r="AJ246" s="107">
        <v>129.03</v>
      </c>
      <c r="AK246" s="107">
        <v>81.28</v>
      </c>
      <c r="AL246" s="107">
        <v>67.28</v>
      </c>
      <c r="AM246" s="107">
        <v>110.92</v>
      </c>
      <c r="AN246" s="107">
        <v>178.44</v>
      </c>
      <c r="AO246" s="107">
        <v>262.77999999999997</v>
      </c>
      <c r="AP246" s="107">
        <v>362.45</v>
      </c>
      <c r="AQ246" s="107">
        <v>187.34</v>
      </c>
      <c r="AR246" s="107">
        <v>253.28</v>
      </c>
      <c r="AS246" s="107">
        <v>317.61</v>
      </c>
      <c r="AT246" s="107">
        <v>118</v>
      </c>
      <c r="AU246" s="107">
        <v>143</v>
      </c>
      <c r="AV246" s="107">
        <v>164</v>
      </c>
    </row>
    <row r="247" spans="1:48" ht="30" customHeight="1" outlineLevel="2">
      <c r="A247" s="116" t="s">
        <v>724</v>
      </c>
      <c r="B247" s="126" t="s">
        <v>725</v>
      </c>
      <c r="C247" s="134" t="s">
        <v>242</v>
      </c>
      <c r="E247" s="105">
        <f>MIN(N247,R247,V247,Z247,AD247)</f>
        <v>125.82900000000001</v>
      </c>
      <c r="F247" s="105">
        <f>AVERAGE(N247,R247,V247,Z247,AD247)</f>
        <v>217.26320000000001</v>
      </c>
      <c r="G247" s="105">
        <f>MAX(N247,R247,V247,Z247,AD247)</f>
        <v>376.07900000000001</v>
      </c>
      <c r="H247" s="106"/>
      <c r="I247" s="105">
        <f>MIN(T247,X247,AB247,AF247,P247)</f>
        <v>200.42000000000002</v>
      </c>
      <c r="J247" s="105">
        <f>AVERAGE(P247,T247,X247,AB247,AF247)</f>
        <v>388.72460000000007</v>
      </c>
      <c r="K247" s="105">
        <f>MAX(P247,T247,X247,AB247,AF247)</f>
        <v>791.90100000000007</v>
      </c>
      <c r="N247" s="107">
        <f t="shared" si="69"/>
        <v>125.82900000000001</v>
      </c>
      <c r="O247" s="107">
        <f t="shared" si="70"/>
        <v>170.75300000000001</v>
      </c>
      <c r="P247" s="107">
        <f t="shared" si="71"/>
        <v>238.953</v>
      </c>
      <c r="R247" s="107">
        <f t="shared" si="72"/>
        <v>141.68000000000004</v>
      </c>
      <c r="S247" s="107">
        <f t="shared" si="73"/>
        <v>127.006</v>
      </c>
      <c r="T247" s="107">
        <f t="shared" si="74"/>
        <v>200.42000000000002</v>
      </c>
      <c r="V247" s="107">
        <f t="shared" si="75"/>
        <v>376.07900000000001</v>
      </c>
      <c r="W247" s="107">
        <f t="shared" si="76"/>
        <v>580.31600000000003</v>
      </c>
      <c r="X247" s="107">
        <f t="shared" si="77"/>
        <v>791.90100000000007</v>
      </c>
      <c r="Z247" s="107">
        <f t="shared" si="78"/>
        <v>266.72800000000001</v>
      </c>
      <c r="AA247" s="107">
        <f t="shared" si="79"/>
        <v>363.51700000000005</v>
      </c>
      <c r="AB247" s="107">
        <f t="shared" si="80"/>
        <v>449.44900000000001</v>
      </c>
      <c r="AD247" s="107">
        <f t="shared" si="81"/>
        <v>176</v>
      </c>
      <c r="AE247" s="107">
        <f t="shared" si="82"/>
        <v>226.60000000000002</v>
      </c>
      <c r="AF247" s="107">
        <f t="shared" si="83"/>
        <v>262.90000000000003</v>
      </c>
      <c r="AH247" s="107">
        <v>114.39</v>
      </c>
      <c r="AI247" s="107">
        <v>155.22999999999999</v>
      </c>
      <c r="AJ247" s="107">
        <v>217.23</v>
      </c>
      <c r="AK247" s="107">
        <v>128.80000000000001</v>
      </c>
      <c r="AL247" s="107">
        <v>115.46</v>
      </c>
      <c r="AM247" s="107">
        <v>182.2</v>
      </c>
      <c r="AN247" s="107">
        <v>341.89</v>
      </c>
      <c r="AO247" s="107">
        <v>527.55999999999995</v>
      </c>
      <c r="AP247" s="107">
        <v>719.91</v>
      </c>
      <c r="AQ247" s="107">
        <v>242.48</v>
      </c>
      <c r="AR247" s="107">
        <v>330.47</v>
      </c>
      <c r="AS247" s="107">
        <v>408.59</v>
      </c>
      <c r="AT247" s="107">
        <v>160</v>
      </c>
      <c r="AU247" s="107">
        <v>206</v>
      </c>
      <c r="AV247" s="107">
        <v>239</v>
      </c>
    </row>
    <row r="248" spans="1:48" ht="30" customHeight="1" outlineLevel="1">
      <c r="A248" s="109" t="s">
        <v>726</v>
      </c>
      <c r="B248" s="135" t="s">
        <v>727</v>
      </c>
      <c r="C248" s="111"/>
      <c r="N248" s="11" t="str">
        <f t="shared" si="69"/>
        <v/>
      </c>
      <c r="O248" s="11" t="str">
        <f t="shared" si="70"/>
        <v/>
      </c>
      <c r="P248" s="11" t="str">
        <f t="shared" si="71"/>
        <v/>
      </c>
      <c r="R248" s="11" t="str">
        <f t="shared" si="72"/>
        <v/>
      </c>
      <c r="S248" s="11" t="str">
        <f t="shared" si="73"/>
        <v/>
      </c>
      <c r="T248" s="11" t="str">
        <f t="shared" si="74"/>
        <v/>
      </c>
      <c r="V248" s="11" t="str">
        <f t="shared" si="75"/>
        <v/>
      </c>
      <c r="W248" s="11" t="str">
        <f t="shared" si="76"/>
        <v/>
      </c>
      <c r="X248" s="11" t="str">
        <f t="shared" si="77"/>
        <v/>
      </c>
      <c r="Z248" s="11" t="str">
        <f t="shared" si="78"/>
        <v/>
      </c>
      <c r="AA248" s="11" t="str">
        <f t="shared" si="79"/>
        <v/>
      </c>
      <c r="AB248" s="11" t="str">
        <f t="shared" si="80"/>
        <v/>
      </c>
      <c r="AD248" s="11" t="str">
        <f t="shared" si="81"/>
        <v/>
      </c>
      <c r="AE248" s="11" t="str">
        <f t="shared" si="82"/>
        <v/>
      </c>
      <c r="AF248" s="11" t="str">
        <f t="shared" si="83"/>
        <v/>
      </c>
    </row>
    <row r="249" spans="1:48" s="138" customFormat="1" ht="30" customHeight="1" outlineLevel="2">
      <c r="A249" s="116" t="s">
        <v>728</v>
      </c>
      <c r="B249" s="126" t="s">
        <v>729</v>
      </c>
      <c r="C249" s="134" t="s">
        <v>242</v>
      </c>
      <c r="E249" s="105">
        <f>MIN(N249,R249,V249,Z249,AD249)</f>
        <v>115.54400000000001</v>
      </c>
      <c r="F249" s="105">
        <f>AVERAGE(N249,R249,V249,Z249,AD249)</f>
        <v>205.161</v>
      </c>
      <c r="G249" s="105">
        <f>MAX(N249,R249,V249,Z249,AD249)</f>
        <v>268.40000000000003</v>
      </c>
      <c r="H249" s="106"/>
      <c r="I249" s="105">
        <f>MIN(T249,X249,AB249,AF249,P249)</f>
        <v>161.21600000000001</v>
      </c>
      <c r="J249" s="105">
        <f>AVERAGE(P249,T249,X249,AB249,AF249)</f>
        <v>368.69360000000006</v>
      </c>
      <c r="K249" s="105">
        <f>MAX(P249,T249,X249,AB249,AF249)</f>
        <v>529.7600000000001</v>
      </c>
      <c r="N249" s="107">
        <f t="shared" si="69"/>
        <v>218.19600000000003</v>
      </c>
      <c r="O249" s="107">
        <f t="shared" si="70"/>
        <v>306.93299999999999</v>
      </c>
      <c r="P249" s="107">
        <f t="shared" si="71"/>
        <v>436.75500000000005</v>
      </c>
      <c r="R249" s="107">
        <f t="shared" si="72"/>
        <v>115.54400000000001</v>
      </c>
      <c r="S249" s="107">
        <f t="shared" si="73"/>
        <v>100.50700000000002</v>
      </c>
      <c r="T249" s="107">
        <f t="shared" si="74"/>
        <v>161.21600000000001</v>
      </c>
      <c r="V249" s="107">
        <f t="shared" si="75"/>
        <v>256.22300000000001</v>
      </c>
      <c r="W249" s="107">
        <f t="shared" si="76"/>
        <v>386.14400000000006</v>
      </c>
      <c r="X249" s="107">
        <f t="shared" si="77"/>
        <v>529.7600000000001</v>
      </c>
      <c r="Z249" s="107">
        <f t="shared" si="78"/>
        <v>167.44200000000001</v>
      </c>
      <c r="AA249" s="107">
        <f t="shared" si="79"/>
        <v>224.52100000000004</v>
      </c>
      <c r="AB249" s="107">
        <f t="shared" si="80"/>
        <v>285.637</v>
      </c>
      <c r="AD249" s="107">
        <f t="shared" si="81"/>
        <v>268.40000000000003</v>
      </c>
      <c r="AE249" s="107">
        <f t="shared" si="82"/>
        <v>365.20000000000005</v>
      </c>
      <c r="AF249" s="107">
        <f t="shared" si="83"/>
        <v>430.1</v>
      </c>
      <c r="AH249" s="107">
        <v>198.36</v>
      </c>
      <c r="AI249" s="107">
        <v>279.02999999999997</v>
      </c>
      <c r="AJ249" s="107">
        <v>397.05</v>
      </c>
      <c r="AK249" s="107">
        <v>105.04</v>
      </c>
      <c r="AL249" s="107">
        <v>91.37</v>
      </c>
      <c r="AM249" s="107">
        <v>146.56</v>
      </c>
      <c r="AN249" s="107">
        <v>232.93</v>
      </c>
      <c r="AO249" s="107">
        <v>351.04</v>
      </c>
      <c r="AP249" s="107">
        <v>481.6</v>
      </c>
      <c r="AQ249" s="107">
        <v>152.22</v>
      </c>
      <c r="AR249" s="107">
        <v>204.11</v>
      </c>
      <c r="AS249" s="107">
        <v>259.66999999999996</v>
      </c>
      <c r="AT249" s="107">
        <v>244</v>
      </c>
      <c r="AU249" s="107">
        <v>332</v>
      </c>
      <c r="AV249" s="107">
        <v>391</v>
      </c>
    </row>
    <row r="250" spans="1:48" s="138" customFormat="1" ht="30" customHeight="1" outlineLevel="2">
      <c r="A250" s="116" t="s">
        <v>730</v>
      </c>
      <c r="B250" s="126" t="s">
        <v>731</v>
      </c>
      <c r="C250" s="134" t="s">
        <v>242</v>
      </c>
      <c r="E250" s="105">
        <f>MIN(N250,R250,V250,Z250,AD250)</f>
        <v>167.816</v>
      </c>
      <c r="F250" s="105">
        <f>AVERAGE(N250,R250,V250,Z250,AD250)</f>
        <v>296.62600000000003</v>
      </c>
      <c r="G250" s="105">
        <f>MAX(N250,R250,V250,Z250,AD250)</f>
        <v>495.93500000000006</v>
      </c>
      <c r="H250" s="106"/>
      <c r="I250" s="105">
        <f>MIN(T250,X250,AB250,AF250,P250)</f>
        <v>239.62400000000002</v>
      </c>
      <c r="J250" s="105">
        <f>AVERAGE(P250,T250,X250,AB250,AF250)</f>
        <v>548.84720000000004</v>
      </c>
      <c r="K250" s="105">
        <f>MAX(P250,T250,X250,AB250,AF250)</f>
        <v>1054.0310000000002</v>
      </c>
      <c r="N250" s="107">
        <f t="shared" si="69"/>
        <v>273.28399999999999</v>
      </c>
      <c r="O250" s="107">
        <f t="shared" si="70"/>
        <v>383.94400000000007</v>
      </c>
      <c r="P250" s="107">
        <f t="shared" si="71"/>
        <v>544.56600000000003</v>
      </c>
      <c r="R250" s="107">
        <f t="shared" si="72"/>
        <v>167.816</v>
      </c>
      <c r="S250" s="107">
        <f t="shared" si="73"/>
        <v>153.51600000000002</v>
      </c>
      <c r="T250" s="107">
        <f t="shared" si="74"/>
        <v>239.62400000000002</v>
      </c>
      <c r="V250" s="107">
        <f t="shared" si="75"/>
        <v>495.93500000000006</v>
      </c>
      <c r="W250" s="107">
        <f t="shared" si="76"/>
        <v>774.48800000000006</v>
      </c>
      <c r="X250" s="107">
        <f t="shared" si="77"/>
        <v>1054.0310000000002</v>
      </c>
      <c r="Z250" s="107">
        <f t="shared" si="78"/>
        <v>216.095</v>
      </c>
      <c r="AA250" s="107">
        <f t="shared" si="79"/>
        <v>292.63299999999998</v>
      </c>
      <c r="AB250" s="107">
        <f t="shared" si="80"/>
        <v>365.91500000000002</v>
      </c>
      <c r="AD250" s="107">
        <f t="shared" si="81"/>
        <v>330</v>
      </c>
      <c r="AE250" s="107">
        <f t="shared" si="82"/>
        <v>457.6</v>
      </c>
      <c r="AF250" s="107">
        <f t="shared" si="83"/>
        <v>540.1</v>
      </c>
      <c r="AH250" s="107">
        <v>248.44</v>
      </c>
      <c r="AI250" s="107">
        <v>349.04</v>
      </c>
      <c r="AJ250" s="107">
        <v>495.06</v>
      </c>
      <c r="AK250" s="107">
        <v>152.56</v>
      </c>
      <c r="AL250" s="107">
        <v>139.56</v>
      </c>
      <c r="AM250" s="107">
        <v>217.84</v>
      </c>
      <c r="AN250" s="107">
        <v>450.85</v>
      </c>
      <c r="AO250" s="107">
        <v>704.08</v>
      </c>
      <c r="AP250" s="107">
        <v>958.21</v>
      </c>
      <c r="AQ250" s="107">
        <v>196.45</v>
      </c>
      <c r="AR250" s="107">
        <v>266.02999999999997</v>
      </c>
      <c r="AS250" s="107">
        <v>332.65</v>
      </c>
      <c r="AT250" s="107">
        <v>300</v>
      </c>
      <c r="AU250" s="107">
        <v>416</v>
      </c>
      <c r="AV250" s="107">
        <v>491</v>
      </c>
    </row>
    <row r="251" spans="1:48" ht="30" customHeight="1" outlineLevel="1">
      <c r="A251" s="109" t="s">
        <v>732</v>
      </c>
      <c r="B251" s="135" t="s">
        <v>733</v>
      </c>
      <c r="C251" s="111"/>
      <c r="N251" s="11" t="str">
        <f t="shared" si="69"/>
        <v/>
      </c>
      <c r="O251" s="11" t="str">
        <f t="shared" si="70"/>
        <v/>
      </c>
      <c r="P251" s="11" t="str">
        <f t="shared" si="71"/>
        <v/>
      </c>
      <c r="R251" s="11" t="str">
        <f t="shared" si="72"/>
        <v/>
      </c>
      <c r="S251" s="11" t="str">
        <f t="shared" si="73"/>
        <v/>
      </c>
      <c r="T251" s="11" t="str">
        <f t="shared" si="74"/>
        <v/>
      </c>
      <c r="V251" s="11" t="str">
        <f t="shared" si="75"/>
        <v/>
      </c>
      <c r="W251" s="11" t="str">
        <f t="shared" si="76"/>
        <v/>
      </c>
      <c r="X251" s="11" t="str">
        <f t="shared" si="77"/>
        <v/>
      </c>
      <c r="Z251" s="11" t="str">
        <f t="shared" si="78"/>
        <v/>
      </c>
      <c r="AA251" s="11" t="str">
        <f t="shared" si="79"/>
        <v/>
      </c>
      <c r="AB251" s="11" t="str">
        <f t="shared" si="80"/>
        <v/>
      </c>
      <c r="AD251" s="11" t="str">
        <f t="shared" si="81"/>
        <v/>
      </c>
      <c r="AE251" s="11" t="str">
        <f t="shared" si="82"/>
        <v/>
      </c>
      <c r="AF251" s="11" t="str">
        <f t="shared" si="83"/>
        <v/>
      </c>
    </row>
    <row r="252" spans="1:48" s="138" customFormat="1" ht="30" customHeight="1" outlineLevel="2">
      <c r="A252" s="116" t="s">
        <v>734</v>
      </c>
      <c r="B252" s="126" t="s">
        <v>735</v>
      </c>
      <c r="C252" s="134" t="s">
        <v>242</v>
      </c>
      <c r="E252" s="105">
        <f>MIN(N252,R252,V252,Z252,AD252)</f>
        <v>300.83900000000006</v>
      </c>
      <c r="F252" s="105">
        <f>AVERAGE(N252,R252,V252,Z252,AD252)</f>
        <v>383.79880000000009</v>
      </c>
      <c r="G252" s="105">
        <f>MAX(N252,R252,V252,Z252,AD252)</f>
        <v>495.93500000000006</v>
      </c>
      <c r="H252" s="106"/>
      <c r="I252" s="105">
        <f>MIN(T252,X252,AB252,AF252,P252)</f>
        <v>508.55200000000002</v>
      </c>
      <c r="J252" s="105">
        <f>AVERAGE(P252,T252,X252,AB252,AF252)</f>
        <v>688.56259999999997</v>
      </c>
      <c r="K252" s="105">
        <f>MAX(P252,T252,X252,AB252,AF252)</f>
        <v>1054.0310000000002</v>
      </c>
      <c r="N252" s="107">
        <f t="shared" si="69"/>
        <v>300.83900000000006</v>
      </c>
      <c r="O252" s="107">
        <f t="shared" si="70"/>
        <v>422.44400000000007</v>
      </c>
      <c r="P252" s="107">
        <f t="shared" si="71"/>
        <v>598.46600000000001</v>
      </c>
      <c r="R252" s="107">
        <f t="shared" si="72"/>
        <v>429.17600000000004</v>
      </c>
      <c r="S252" s="107">
        <f t="shared" si="73"/>
        <v>418.52800000000008</v>
      </c>
      <c r="T252" s="107">
        <f t="shared" si="74"/>
        <v>631.6640000000001</v>
      </c>
      <c r="V252" s="107">
        <f t="shared" si="75"/>
        <v>495.93500000000006</v>
      </c>
      <c r="W252" s="107">
        <f t="shared" si="76"/>
        <v>774.48800000000006</v>
      </c>
      <c r="X252" s="107">
        <f t="shared" si="77"/>
        <v>1054.0310000000002</v>
      </c>
      <c r="Z252" s="107">
        <f t="shared" si="78"/>
        <v>302.54400000000004</v>
      </c>
      <c r="AA252" s="107">
        <f t="shared" si="79"/>
        <v>413.66600000000005</v>
      </c>
      <c r="AB252" s="107">
        <f t="shared" si="80"/>
        <v>508.55200000000002</v>
      </c>
      <c r="AD252" s="107">
        <f t="shared" si="81"/>
        <v>390.50000000000006</v>
      </c>
      <c r="AE252" s="107">
        <f t="shared" si="82"/>
        <v>548.90000000000009</v>
      </c>
      <c r="AF252" s="107">
        <f t="shared" si="83"/>
        <v>650.1</v>
      </c>
      <c r="AH252" s="107">
        <v>273.49</v>
      </c>
      <c r="AI252" s="107">
        <v>384.04</v>
      </c>
      <c r="AJ252" s="107">
        <v>544.05999999999995</v>
      </c>
      <c r="AK252" s="107">
        <v>390.16</v>
      </c>
      <c r="AL252" s="107">
        <v>380.48</v>
      </c>
      <c r="AM252" s="107">
        <v>574.24</v>
      </c>
      <c r="AN252" s="107">
        <v>450.85</v>
      </c>
      <c r="AO252" s="107">
        <v>704.08</v>
      </c>
      <c r="AP252" s="107">
        <v>958.21</v>
      </c>
      <c r="AQ252" s="107">
        <v>275.04000000000002</v>
      </c>
      <c r="AR252" s="107">
        <v>376.06</v>
      </c>
      <c r="AS252" s="107">
        <v>462.32</v>
      </c>
      <c r="AT252" s="107">
        <v>355</v>
      </c>
      <c r="AU252" s="107">
        <v>499</v>
      </c>
      <c r="AV252" s="107">
        <v>591</v>
      </c>
    </row>
    <row r="253" spans="1:48" s="138" customFormat="1" ht="30" customHeight="1" outlineLevel="2">
      <c r="A253" s="116" t="s">
        <v>736</v>
      </c>
      <c r="B253" s="126" t="s">
        <v>737</v>
      </c>
      <c r="C253" s="134" t="s">
        <v>242</v>
      </c>
      <c r="E253" s="105">
        <f>MIN(N253,R253,V253,Z253,AD253)</f>
        <v>358.13800000000003</v>
      </c>
      <c r="F253" s="105">
        <f>AVERAGE(N253,R253,V253,Z253,AD253)</f>
        <v>480.96620000000001</v>
      </c>
      <c r="G253" s="105">
        <f>MAX(N253,R253,V253,Z253,AD253)</f>
        <v>615.79099999999994</v>
      </c>
      <c r="H253" s="106"/>
      <c r="I253" s="105">
        <f>MIN(T253,X253,AB253,AF253,P253)</f>
        <v>600.28100000000006</v>
      </c>
      <c r="J253" s="105">
        <f>AVERAGE(P253,T253,X253,AB253,AF253)</f>
        <v>867.26200000000006</v>
      </c>
      <c r="K253" s="105">
        <f>MAX(P253,T253,X253,AB253,AF253)</f>
        <v>1316.1610000000001</v>
      </c>
      <c r="N253" s="107">
        <f t="shared" si="69"/>
        <v>383.48200000000003</v>
      </c>
      <c r="O253" s="107">
        <f t="shared" si="70"/>
        <v>537.96600000000001</v>
      </c>
      <c r="P253" s="107">
        <f t="shared" si="71"/>
        <v>760.1880000000001</v>
      </c>
      <c r="R253" s="107">
        <f t="shared" si="72"/>
        <v>533.72</v>
      </c>
      <c r="S253" s="107">
        <f t="shared" si="73"/>
        <v>524.53500000000008</v>
      </c>
      <c r="T253" s="107">
        <f t="shared" si="74"/>
        <v>788.48</v>
      </c>
      <c r="V253" s="107">
        <f t="shared" si="75"/>
        <v>615.79099999999994</v>
      </c>
      <c r="W253" s="107">
        <f t="shared" si="76"/>
        <v>968.66000000000008</v>
      </c>
      <c r="X253" s="107">
        <f t="shared" si="77"/>
        <v>1316.1610000000001</v>
      </c>
      <c r="Z253" s="107">
        <f t="shared" si="78"/>
        <v>358.13800000000003</v>
      </c>
      <c r="AA253" s="107">
        <f t="shared" si="79"/>
        <v>491.49100000000004</v>
      </c>
      <c r="AB253" s="107">
        <f t="shared" si="80"/>
        <v>600.28100000000006</v>
      </c>
      <c r="AD253" s="107">
        <f t="shared" si="81"/>
        <v>513.70000000000005</v>
      </c>
      <c r="AE253" s="107">
        <f t="shared" si="82"/>
        <v>733.7</v>
      </c>
      <c r="AF253" s="107">
        <f t="shared" si="83"/>
        <v>871.2</v>
      </c>
      <c r="AH253" s="107">
        <v>348.62</v>
      </c>
      <c r="AI253" s="107">
        <v>489.06</v>
      </c>
      <c r="AJ253" s="107">
        <v>691.08</v>
      </c>
      <c r="AK253" s="107">
        <v>485.2</v>
      </c>
      <c r="AL253" s="107">
        <v>476.85</v>
      </c>
      <c r="AM253" s="107">
        <v>716.8</v>
      </c>
      <c r="AN253" s="107">
        <v>559.80999999999995</v>
      </c>
      <c r="AO253" s="107">
        <v>880.6</v>
      </c>
      <c r="AP253" s="107">
        <v>1196.51</v>
      </c>
      <c r="AQ253" s="107">
        <v>325.58</v>
      </c>
      <c r="AR253" s="107">
        <v>446.81</v>
      </c>
      <c r="AS253" s="107">
        <v>545.71</v>
      </c>
      <c r="AT253" s="107">
        <v>467</v>
      </c>
      <c r="AU253" s="107">
        <v>667</v>
      </c>
      <c r="AV253" s="107">
        <v>792</v>
      </c>
    </row>
    <row r="254" spans="1:48" s="138" customFormat="1" ht="30" customHeight="1" outlineLevel="2">
      <c r="A254" s="116" t="s">
        <v>738</v>
      </c>
      <c r="B254" s="126" t="s">
        <v>739</v>
      </c>
      <c r="C254" s="134" t="s">
        <v>242</v>
      </c>
      <c r="E254" s="105">
        <f>MIN(N254,R254,V254,Z254,AD254)</f>
        <v>167.816</v>
      </c>
      <c r="F254" s="105">
        <f>AVERAGE(N254,R254,V254,Z254,AD254)</f>
        <v>253.14080000000004</v>
      </c>
      <c r="G254" s="105">
        <f>MAX(N254,R254,V254,Z254,AD254)</f>
        <v>372.90000000000003</v>
      </c>
      <c r="H254" s="106"/>
      <c r="I254" s="105">
        <f>MIN(T254,X254,AB254,AF254,P254)</f>
        <v>239.62400000000002</v>
      </c>
      <c r="J254" s="105">
        <f>AVERAGE(P254,T254,X254,AB254,AF254)</f>
        <v>447.66919999999999</v>
      </c>
      <c r="K254" s="105">
        <f>MAX(P254,T254,X254,AB254,AF254)</f>
        <v>609.40000000000009</v>
      </c>
      <c r="N254" s="107">
        <f t="shared" si="69"/>
        <v>218.19600000000003</v>
      </c>
      <c r="O254" s="107">
        <f t="shared" si="70"/>
        <v>306.93299999999999</v>
      </c>
      <c r="P254" s="107">
        <f t="shared" si="71"/>
        <v>436.75500000000005</v>
      </c>
      <c r="R254" s="107">
        <f t="shared" si="72"/>
        <v>167.816</v>
      </c>
      <c r="S254" s="107">
        <f t="shared" si="73"/>
        <v>153.51600000000002</v>
      </c>
      <c r="T254" s="107">
        <f t="shared" si="74"/>
        <v>239.62400000000002</v>
      </c>
      <c r="V254" s="107">
        <f t="shared" si="75"/>
        <v>256.23400000000004</v>
      </c>
      <c r="W254" s="107">
        <f t="shared" si="76"/>
        <v>386.16600000000005</v>
      </c>
      <c r="X254" s="107">
        <f t="shared" si="77"/>
        <v>529.79300000000001</v>
      </c>
      <c r="Z254" s="107">
        <f t="shared" si="78"/>
        <v>250.55800000000002</v>
      </c>
      <c r="AA254" s="107">
        <f t="shared" si="79"/>
        <v>340.87900000000002</v>
      </c>
      <c r="AB254" s="107">
        <f t="shared" si="80"/>
        <v>422.774</v>
      </c>
      <c r="AD254" s="107">
        <f t="shared" si="81"/>
        <v>372.90000000000003</v>
      </c>
      <c r="AE254" s="107">
        <f t="shared" si="82"/>
        <v>517</v>
      </c>
      <c r="AF254" s="107">
        <f t="shared" si="83"/>
        <v>609.40000000000009</v>
      </c>
      <c r="AH254" s="107">
        <v>198.36</v>
      </c>
      <c r="AI254" s="107">
        <v>279.02999999999997</v>
      </c>
      <c r="AJ254" s="107">
        <v>397.05</v>
      </c>
      <c r="AK254" s="107">
        <v>152.56</v>
      </c>
      <c r="AL254" s="107">
        <v>139.56</v>
      </c>
      <c r="AM254" s="107">
        <v>217.84</v>
      </c>
      <c r="AN254" s="107">
        <v>232.94</v>
      </c>
      <c r="AO254" s="107">
        <v>351.06</v>
      </c>
      <c r="AP254" s="107">
        <v>481.63</v>
      </c>
      <c r="AQ254" s="107">
        <v>227.78</v>
      </c>
      <c r="AR254" s="107">
        <v>309.89</v>
      </c>
      <c r="AS254" s="107">
        <v>384.34</v>
      </c>
      <c r="AT254" s="107">
        <v>339</v>
      </c>
      <c r="AU254" s="107">
        <v>470</v>
      </c>
      <c r="AV254" s="107">
        <v>554</v>
      </c>
    </row>
    <row r="255" spans="1:48" ht="30" customHeight="1" outlineLevel="1">
      <c r="A255" s="109" t="s">
        <v>740</v>
      </c>
      <c r="B255" s="135" t="s">
        <v>741</v>
      </c>
      <c r="C255" s="111"/>
      <c r="N255" s="11" t="str">
        <f t="shared" si="69"/>
        <v/>
      </c>
      <c r="O255" s="11" t="str">
        <f t="shared" si="70"/>
        <v/>
      </c>
      <c r="P255" s="11" t="str">
        <f t="shared" si="71"/>
        <v/>
      </c>
      <c r="R255" s="11" t="str">
        <f t="shared" si="72"/>
        <v/>
      </c>
      <c r="S255" s="11" t="str">
        <f t="shared" si="73"/>
        <v/>
      </c>
      <c r="T255" s="11" t="str">
        <f t="shared" si="74"/>
        <v/>
      </c>
      <c r="V255" s="11" t="str">
        <f t="shared" si="75"/>
        <v/>
      </c>
      <c r="W255" s="11" t="str">
        <f t="shared" si="76"/>
        <v/>
      </c>
      <c r="X255" s="11" t="str">
        <f t="shared" si="77"/>
        <v/>
      </c>
      <c r="Z255" s="11" t="str">
        <f t="shared" si="78"/>
        <v/>
      </c>
      <c r="AA255" s="11" t="str">
        <f t="shared" si="79"/>
        <v/>
      </c>
      <c r="AB255" s="11" t="str">
        <f t="shared" si="80"/>
        <v/>
      </c>
      <c r="AD255" s="11" t="str">
        <f t="shared" si="81"/>
        <v/>
      </c>
      <c r="AE255" s="11" t="str">
        <f t="shared" si="82"/>
        <v/>
      </c>
      <c r="AF255" s="11" t="str">
        <f t="shared" si="83"/>
        <v/>
      </c>
    </row>
    <row r="256" spans="1:48" s="138" customFormat="1" ht="30" customHeight="1" outlineLevel="2">
      <c r="A256" s="116" t="s">
        <v>742</v>
      </c>
      <c r="B256" s="126" t="s">
        <v>743</v>
      </c>
      <c r="C256" s="134" t="s">
        <v>242</v>
      </c>
      <c r="E256" s="105">
        <f t="shared" ref="E256:E261" si="90">MIN(N256,R256,V256,Z256,AD256)</f>
        <v>224.11400000000003</v>
      </c>
      <c r="F256" s="105">
        <f t="shared" ref="F256:F261" si="91">AVERAGE(N256,R256,V256,Z256,AD256)</f>
        <v>299.1472</v>
      </c>
      <c r="G256" s="105">
        <f t="shared" ref="G256:G261" si="92">MAX(N256,R256,V256,Z256,AD256)</f>
        <v>330</v>
      </c>
      <c r="H256" s="106"/>
      <c r="I256" s="105">
        <f t="shared" ref="I256:I261" si="93">MIN(T256,X256,AB256,AF256,P256)</f>
        <v>367.96100000000001</v>
      </c>
      <c r="J256" s="105">
        <f t="shared" ref="J256:J261" si="94">AVERAGE(P256,T256,X256,AB256,AF256)</f>
        <v>528.44000000000005</v>
      </c>
      <c r="K256" s="105">
        <f t="shared" ref="K256:K261" si="95">MAX(P256,T256,X256,AB256,AF256)</f>
        <v>660.82500000000005</v>
      </c>
      <c r="N256" s="107">
        <f t="shared" si="69"/>
        <v>300.83900000000006</v>
      </c>
      <c r="O256" s="107">
        <f t="shared" si="70"/>
        <v>422.44400000000007</v>
      </c>
      <c r="P256" s="107">
        <f t="shared" si="71"/>
        <v>598.46600000000001</v>
      </c>
      <c r="R256" s="107">
        <f t="shared" si="72"/>
        <v>324.63200000000001</v>
      </c>
      <c r="S256" s="107">
        <f t="shared" si="73"/>
        <v>312.52100000000002</v>
      </c>
      <c r="T256" s="107">
        <f t="shared" si="74"/>
        <v>474.84800000000007</v>
      </c>
      <c r="V256" s="107">
        <f t="shared" si="75"/>
        <v>316.15100000000007</v>
      </c>
      <c r="W256" s="107">
        <f t="shared" si="76"/>
        <v>483.23000000000008</v>
      </c>
      <c r="X256" s="107">
        <f t="shared" si="77"/>
        <v>660.82500000000005</v>
      </c>
      <c r="Z256" s="107">
        <f t="shared" si="78"/>
        <v>224.11400000000003</v>
      </c>
      <c r="AA256" s="107">
        <f t="shared" si="79"/>
        <v>262.779</v>
      </c>
      <c r="AB256" s="107">
        <f t="shared" si="80"/>
        <v>367.96100000000001</v>
      </c>
      <c r="AD256" s="107">
        <f t="shared" si="81"/>
        <v>330</v>
      </c>
      <c r="AE256" s="107">
        <f t="shared" si="82"/>
        <v>457.6</v>
      </c>
      <c r="AF256" s="107">
        <f t="shared" si="83"/>
        <v>540.1</v>
      </c>
      <c r="AH256" s="107">
        <v>273.49</v>
      </c>
      <c r="AI256" s="107">
        <v>384.04</v>
      </c>
      <c r="AJ256" s="107">
        <v>544.05999999999995</v>
      </c>
      <c r="AK256" s="107">
        <v>295.12</v>
      </c>
      <c r="AL256" s="107">
        <v>284.11</v>
      </c>
      <c r="AM256" s="107">
        <v>431.68</v>
      </c>
      <c r="AN256" s="107">
        <v>287.41000000000003</v>
      </c>
      <c r="AO256" s="107">
        <v>439.3</v>
      </c>
      <c r="AP256" s="107">
        <v>600.75</v>
      </c>
      <c r="AQ256" s="107">
        <v>203.74</v>
      </c>
      <c r="AR256" s="107">
        <v>238.89</v>
      </c>
      <c r="AS256" s="107">
        <v>334.51</v>
      </c>
      <c r="AT256" s="107">
        <v>300</v>
      </c>
      <c r="AU256" s="107">
        <v>416</v>
      </c>
      <c r="AV256" s="107">
        <v>491</v>
      </c>
    </row>
    <row r="257" spans="1:48" ht="30" customHeight="1" outlineLevel="2">
      <c r="A257" s="116" t="s">
        <v>744</v>
      </c>
      <c r="B257" s="126" t="s">
        <v>745</v>
      </c>
      <c r="C257" s="134" t="s">
        <v>242</v>
      </c>
      <c r="E257" s="105">
        <f t="shared" si="90"/>
        <v>220.08800000000002</v>
      </c>
      <c r="F257" s="105">
        <f t="shared" si="91"/>
        <v>341.7392000000001</v>
      </c>
      <c r="G257" s="105">
        <f t="shared" si="92"/>
        <v>452.1</v>
      </c>
      <c r="H257" s="106"/>
      <c r="I257" s="105">
        <f t="shared" si="93"/>
        <v>318.03200000000004</v>
      </c>
      <c r="J257" s="105">
        <f t="shared" si="94"/>
        <v>619.30660000000012</v>
      </c>
      <c r="K257" s="105">
        <f t="shared" si="95"/>
        <v>791.90100000000007</v>
      </c>
      <c r="N257" s="107">
        <f t="shared" si="69"/>
        <v>383.48200000000003</v>
      </c>
      <c r="O257" s="107">
        <f t="shared" si="70"/>
        <v>537.96600000000001</v>
      </c>
      <c r="P257" s="107">
        <f t="shared" si="71"/>
        <v>760.1880000000001</v>
      </c>
      <c r="R257" s="107">
        <f t="shared" si="72"/>
        <v>220.08800000000002</v>
      </c>
      <c r="S257" s="107">
        <f t="shared" si="73"/>
        <v>206.51400000000004</v>
      </c>
      <c r="T257" s="107">
        <f t="shared" si="74"/>
        <v>318.03200000000004</v>
      </c>
      <c r="V257" s="107">
        <f t="shared" si="75"/>
        <v>376.07900000000001</v>
      </c>
      <c r="W257" s="107">
        <f t="shared" si="76"/>
        <v>580.31600000000003</v>
      </c>
      <c r="X257" s="107">
        <f t="shared" si="77"/>
        <v>791.90100000000007</v>
      </c>
      <c r="Z257" s="107">
        <f t="shared" si="78"/>
        <v>276.94700000000006</v>
      </c>
      <c r="AA257" s="107">
        <f t="shared" si="79"/>
        <v>377.82800000000003</v>
      </c>
      <c r="AB257" s="107">
        <f t="shared" si="80"/>
        <v>466.31200000000007</v>
      </c>
      <c r="AD257" s="107">
        <f t="shared" si="81"/>
        <v>452.1</v>
      </c>
      <c r="AE257" s="107">
        <f t="shared" si="82"/>
        <v>641.30000000000007</v>
      </c>
      <c r="AF257" s="107">
        <f t="shared" si="83"/>
        <v>760.1</v>
      </c>
      <c r="AH257" s="107">
        <v>348.62</v>
      </c>
      <c r="AI257" s="107">
        <v>489.06</v>
      </c>
      <c r="AJ257" s="107">
        <v>691.08</v>
      </c>
      <c r="AK257" s="107">
        <v>200.08</v>
      </c>
      <c r="AL257" s="107">
        <v>187.74</v>
      </c>
      <c r="AM257" s="107">
        <v>289.12</v>
      </c>
      <c r="AN257" s="107">
        <v>341.89</v>
      </c>
      <c r="AO257" s="107">
        <v>527.55999999999995</v>
      </c>
      <c r="AP257" s="107">
        <v>719.91</v>
      </c>
      <c r="AQ257" s="107">
        <v>251.77</v>
      </c>
      <c r="AR257" s="107">
        <v>343.48</v>
      </c>
      <c r="AS257" s="107">
        <v>423.92</v>
      </c>
      <c r="AT257" s="107">
        <v>411</v>
      </c>
      <c r="AU257" s="107">
        <v>583</v>
      </c>
      <c r="AV257" s="107">
        <v>691</v>
      </c>
    </row>
    <row r="258" spans="1:48" s="138" customFormat="1" ht="30" customHeight="1" outlineLevel="2">
      <c r="A258" s="116" t="s">
        <v>746</v>
      </c>
      <c r="B258" s="126" t="s">
        <v>747</v>
      </c>
      <c r="C258" s="134" t="s">
        <v>242</v>
      </c>
      <c r="E258" s="105">
        <f t="shared" si="90"/>
        <v>191.77400000000003</v>
      </c>
      <c r="F258" s="105">
        <f t="shared" si="91"/>
        <v>286.17380000000003</v>
      </c>
      <c r="G258" s="105">
        <f t="shared" si="92"/>
        <v>415.8</v>
      </c>
      <c r="H258" s="106"/>
      <c r="I258" s="105">
        <f t="shared" si="93"/>
        <v>318.03200000000004</v>
      </c>
      <c r="J258" s="105">
        <f t="shared" si="94"/>
        <v>520.38800000000015</v>
      </c>
      <c r="K258" s="105">
        <f t="shared" si="95"/>
        <v>695.2</v>
      </c>
      <c r="N258" s="107">
        <f t="shared" si="69"/>
        <v>287.05599999999998</v>
      </c>
      <c r="O258" s="107">
        <f t="shared" si="70"/>
        <v>403.19400000000007</v>
      </c>
      <c r="P258" s="107">
        <f t="shared" si="71"/>
        <v>571.51599999999996</v>
      </c>
      <c r="R258" s="107">
        <f t="shared" si="72"/>
        <v>220.08800000000002</v>
      </c>
      <c r="S258" s="107">
        <f t="shared" si="73"/>
        <v>206.51400000000004</v>
      </c>
      <c r="T258" s="107">
        <f t="shared" si="74"/>
        <v>318.03200000000004</v>
      </c>
      <c r="V258" s="107">
        <f t="shared" si="75"/>
        <v>316.15100000000007</v>
      </c>
      <c r="W258" s="107">
        <f t="shared" si="76"/>
        <v>483.23000000000008</v>
      </c>
      <c r="X258" s="107">
        <f t="shared" si="77"/>
        <v>660.82500000000005</v>
      </c>
      <c r="Z258" s="107">
        <f t="shared" si="78"/>
        <v>191.77400000000003</v>
      </c>
      <c r="AA258" s="107">
        <f t="shared" si="79"/>
        <v>267.78399999999999</v>
      </c>
      <c r="AB258" s="107">
        <f t="shared" si="80"/>
        <v>356.36700000000008</v>
      </c>
      <c r="AD258" s="107">
        <f t="shared" si="81"/>
        <v>415.8</v>
      </c>
      <c r="AE258" s="107">
        <f t="shared" si="82"/>
        <v>586.30000000000007</v>
      </c>
      <c r="AF258" s="107">
        <f t="shared" si="83"/>
        <v>695.2</v>
      </c>
      <c r="AH258" s="107">
        <v>260.95999999999998</v>
      </c>
      <c r="AI258" s="107">
        <v>366.54</v>
      </c>
      <c r="AJ258" s="107">
        <v>519.55999999999995</v>
      </c>
      <c r="AK258" s="107">
        <v>200.08</v>
      </c>
      <c r="AL258" s="107">
        <v>187.74</v>
      </c>
      <c r="AM258" s="107">
        <v>289.12</v>
      </c>
      <c r="AN258" s="107">
        <v>287.41000000000003</v>
      </c>
      <c r="AO258" s="107">
        <v>439.3</v>
      </c>
      <c r="AP258" s="107">
        <v>600.75</v>
      </c>
      <c r="AQ258" s="107">
        <v>174.34</v>
      </c>
      <c r="AR258" s="107">
        <v>243.44</v>
      </c>
      <c r="AS258" s="107">
        <v>323.97000000000003</v>
      </c>
      <c r="AT258" s="107">
        <v>378</v>
      </c>
      <c r="AU258" s="107">
        <v>533</v>
      </c>
      <c r="AV258" s="107">
        <v>632</v>
      </c>
    </row>
    <row r="259" spans="1:48" s="138" customFormat="1" ht="30" customHeight="1" outlineLevel="2">
      <c r="A259" s="116" t="s">
        <v>748</v>
      </c>
      <c r="B259" s="126" t="s">
        <v>749</v>
      </c>
      <c r="C259" s="134" t="s">
        <v>242</v>
      </c>
      <c r="E259" s="105">
        <f t="shared" si="90"/>
        <v>300.88299999999998</v>
      </c>
      <c r="F259" s="105">
        <f t="shared" si="91"/>
        <v>444.24380000000002</v>
      </c>
      <c r="G259" s="105">
        <f t="shared" si="92"/>
        <v>533.72</v>
      </c>
      <c r="H259" s="106"/>
      <c r="I259" s="105">
        <f t="shared" si="93"/>
        <v>475.53000000000003</v>
      </c>
      <c r="J259" s="105">
        <f t="shared" si="94"/>
        <v>789.22800000000007</v>
      </c>
      <c r="K259" s="105">
        <f t="shared" si="95"/>
        <v>1054.0310000000002</v>
      </c>
      <c r="N259" s="107">
        <f t="shared" si="69"/>
        <v>438.58100000000002</v>
      </c>
      <c r="O259" s="107">
        <f t="shared" si="70"/>
        <v>614.96600000000001</v>
      </c>
      <c r="P259" s="107">
        <f t="shared" si="71"/>
        <v>867.99900000000014</v>
      </c>
      <c r="R259" s="107">
        <f t="shared" si="72"/>
        <v>533.72</v>
      </c>
      <c r="S259" s="107">
        <f t="shared" si="73"/>
        <v>524.53500000000008</v>
      </c>
      <c r="T259" s="107">
        <f t="shared" si="74"/>
        <v>788.48</v>
      </c>
      <c r="V259" s="107">
        <f t="shared" si="75"/>
        <v>495.93500000000006</v>
      </c>
      <c r="W259" s="107">
        <f t="shared" si="76"/>
        <v>774.48800000000006</v>
      </c>
      <c r="X259" s="107">
        <f t="shared" si="77"/>
        <v>1054.0310000000002</v>
      </c>
      <c r="Z259" s="107">
        <f t="shared" si="78"/>
        <v>300.88299999999998</v>
      </c>
      <c r="AA259" s="107">
        <f t="shared" si="79"/>
        <v>360.745</v>
      </c>
      <c r="AB259" s="107">
        <f t="shared" si="80"/>
        <v>475.53000000000003</v>
      </c>
      <c r="AD259" s="107">
        <f t="shared" si="81"/>
        <v>452.1</v>
      </c>
      <c r="AE259" s="107">
        <f t="shared" si="82"/>
        <v>641.30000000000007</v>
      </c>
      <c r="AF259" s="107">
        <f t="shared" si="83"/>
        <v>760.1</v>
      </c>
      <c r="AH259" s="107">
        <v>398.71</v>
      </c>
      <c r="AI259" s="107">
        <v>559.05999999999995</v>
      </c>
      <c r="AJ259" s="107">
        <v>789.09</v>
      </c>
      <c r="AK259" s="107">
        <v>485.2</v>
      </c>
      <c r="AL259" s="107">
        <v>476.85</v>
      </c>
      <c r="AM259" s="107">
        <v>716.8</v>
      </c>
      <c r="AN259" s="107">
        <v>450.85</v>
      </c>
      <c r="AO259" s="107">
        <v>704.08</v>
      </c>
      <c r="AP259" s="107">
        <v>958.21</v>
      </c>
      <c r="AQ259" s="107">
        <v>273.52999999999997</v>
      </c>
      <c r="AR259" s="107">
        <v>327.95</v>
      </c>
      <c r="AS259" s="107">
        <v>432.3</v>
      </c>
      <c r="AT259" s="107">
        <v>411</v>
      </c>
      <c r="AU259" s="107">
        <v>583</v>
      </c>
      <c r="AV259" s="107">
        <v>691</v>
      </c>
    </row>
    <row r="260" spans="1:48" ht="30" customHeight="1" outlineLevel="2">
      <c r="A260" s="116" t="s">
        <v>750</v>
      </c>
      <c r="B260" s="126" t="s">
        <v>751</v>
      </c>
      <c r="C260" s="134" t="s">
        <v>242</v>
      </c>
      <c r="E260" s="105">
        <f t="shared" si="90"/>
        <v>300.88299999999998</v>
      </c>
      <c r="F260" s="105">
        <f t="shared" si="91"/>
        <v>393.21260000000001</v>
      </c>
      <c r="G260" s="105">
        <f t="shared" si="92"/>
        <v>544.5</v>
      </c>
      <c r="H260" s="106"/>
      <c r="I260" s="105">
        <f t="shared" si="93"/>
        <v>474.84800000000007</v>
      </c>
      <c r="J260" s="105">
        <f t="shared" si="94"/>
        <v>697.47040000000004</v>
      </c>
      <c r="K260" s="105">
        <f t="shared" si="95"/>
        <v>948.84900000000016</v>
      </c>
      <c r="N260" s="107">
        <f t="shared" ref="N260:N323" si="96" xml:space="preserve"> IF(ISBLANK(AH260),"",_k_EIFFAGE * AH260)</f>
        <v>479.89699999999999</v>
      </c>
      <c r="O260" s="107">
        <f t="shared" ref="O260:O323" si="97" xml:space="preserve"> IF(ISBLANK(AI260),"",_k_EIFFAGE * AI260)</f>
        <v>672.72700000000009</v>
      </c>
      <c r="P260" s="107">
        <f t="shared" ref="P260:P323" si="98" xml:space="preserve"> IF(ISBLANK(AJ260),"",_k_EIFFAGE * AJ260)</f>
        <v>948.84900000000016</v>
      </c>
      <c r="R260" s="107">
        <f t="shared" ref="R260:R323" si="99" xml:space="preserve"> IF(ISBLANK(AK260),"",_k_ERI * AK260)</f>
        <v>324.63200000000001</v>
      </c>
      <c r="S260" s="107">
        <f t="shared" ref="S260:S323" si="100" xml:space="preserve"> IF(ISBLANK(AL260),"",_k_ERI * AL260)</f>
        <v>312.52100000000002</v>
      </c>
      <c r="T260" s="107">
        <f t="shared" ref="T260:T323" si="101" xml:space="preserve"> IF(ISBLANK(AM260),"",_k_ERI * AM260)</f>
        <v>474.84800000000007</v>
      </c>
      <c r="V260" s="107">
        <f t="shared" ref="V260:V323" si="102" xml:space="preserve"> IF(ISBLANK(AN260),"",_k_INEO * AN260)</f>
        <v>316.15100000000007</v>
      </c>
      <c r="W260" s="107">
        <f t="shared" ref="W260:W323" si="103" xml:space="preserve"> IF(ISBLANK(AO260),"",_k_INEO * AO260)</f>
        <v>483.23000000000008</v>
      </c>
      <c r="X260" s="107">
        <f t="shared" ref="X260:X323" si="104" xml:space="preserve"> IF(ISBLANK(AP260),"",_k_INEO * AP260)</f>
        <v>660.82500000000005</v>
      </c>
      <c r="Z260" s="107">
        <f t="shared" ref="Z260:Z323" si="105" xml:space="preserve"> IF(ISBLANK(AQ260),"",_k_SDEL * AQ260)</f>
        <v>300.88299999999998</v>
      </c>
      <c r="AA260" s="107">
        <f t="shared" ref="AA260:AA323" si="106" xml:space="preserve"> IF(ISBLANK(AR260),"",_k_SDEL * AR260)</f>
        <v>360.745</v>
      </c>
      <c r="AB260" s="107">
        <f t="shared" ref="AB260:AB323" si="107" xml:space="preserve"> IF(ISBLANK(AS260),"",_k_SDEL * AS260)</f>
        <v>475.53000000000003</v>
      </c>
      <c r="AD260" s="107">
        <f t="shared" ref="AD260:AD323" si="108" xml:space="preserve"> IF(ISBLANK(AT260),"",_k_SOGETREL * AT260)</f>
        <v>544.5</v>
      </c>
      <c r="AE260" s="107">
        <f t="shared" ref="AE260:AE323" si="109" xml:space="preserve"> IF(ISBLANK(AU260),"",_k_SOGETREL * AU260)</f>
        <v>779.90000000000009</v>
      </c>
      <c r="AF260" s="107">
        <f t="shared" ref="AF260:AF323" si="110" xml:space="preserve"> IF(ISBLANK(AV260),"",_k_SOGETREL * AV260)</f>
        <v>927.30000000000007</v>
      </c>
      <c r="AH260" s="107">
        <v>436.27</v>
      </c>
      <c r="AI260" s="107">
        <v>611.57000000000005</v>
      </c>
      <c r="AJ260" s="107">
        <v>862.59</v>
      </c>
      <c r="AK260" s="107">
        <v>295.12</v>
      </c>
      <c r="AL260" s="107">
        <v>284.11</v>
      </c>
      <c r="AM260" s="107">
        <v>431.68</v>
      </c>
      <c r="AN260" s="107">
        <v>287.41000000000003</v>
      </c>
      <c r="AO260" s="107">
        <v>439.3</v>
      </c>
      <c r="AP260" s="107">
        <v>600.75</v>
      </c>
      <c r="AQ260" s="107">
        <v>273.52999999999997</v>
      </c>
      <c r="AR260" s="107">
        <v>327.95</v>
      </c>
      <c r="AS260" s="107">
        <v>432.3</v>
      </c>
      <c r="AT260" s="107">
        <v>495</v>
      </c>
      <c r="AU260" s="107">
        <v>709</v>
      </c>
      <c r="AV260" s="107">
        <v>843</v>
      </c>
    </row>
    <row r="261" spans="1:48" s="138" customFormat="1" ht="30" customHeight="1" outlineLevel="2">
      <c r="A261" s="116" t="s">
        <v>752</v>
      </c>
      <c r="B261" s="126" t="s">
        <v>753</v>
      </c>
      <c r="C261" s="134" t="s">
        <v>242</v>
      </c>
      <c r="E261" s="105">
        <f t="shared" si="90"/>
        <v>248.88600000000002</v>
      </c>
      <c r="F261" s="105">
        <f t="shared" si="91"/>
        <v>332.25060000000002</v>
      </c>
      <c r="G261" s="105">
        <f t="shared" si="92"/>
        <v>498.30000000000007</v>
      </c>
      <c r="H261" s="106"/>
      <c r="I261" s="105">
        <f t="shared" si="93"/>
        <v>419.51800000000003</v>
      </c>
      <c r="J261" s="105">
        <f t="shared" si="94"/>
        <v>588.69140000000004</v>
      </c>
      <c r="K261" s="105">
        <f t="shared" si="95"/>
        <v>843.7</v>
      </c>
      <c r="N261" s="107">
        <f t="shared" si="96"/>
        <v>273.28399999999999</v>
      </c>
      <c r="O261" s="107">
        <f t="shared" si="97"/>
        <v>383.94400000000007</v>
      </c>
      <c r="P261" s="107">
        <f t="shared" si="98"/>
        <v>544.56600000000003</v>
      </c>
      <c r="R261" s="107">
        <f t="shared" si="99"/>
        <v>324.63200000000001</v>
      </c>
      <c r="S261" s="107">
        <f t="shared" si="100"/>
        <v>312.52100000000002</v>
      </c>
      <c r="T261" s="107">
        <f t="shared" si="101"/>
        <v>474.84800000000007</v>
      </c>
      <c r="V261" s="107">
        <f t="shared" si="102"/>
        <v>316.15100000000007</v>
      </c>
      <c r="W261" s="107">
        <f t="shared" si="103"/>
        <v>483.23000000000008</v>
      </c>
      <c r="X261" s="107">
        <f t="shared" si="104"/>
        <v>660.82500000000005</v>
      </c>
      <c r="Z261" s="107">
        <f t="shared" si="105"/>
        <v>248.88600000000002</v>
      </c>
      <c r="AA261" s="107">
        <f t="shared" si="106"/>
        <v>338.54700000000003</v>
      </c>
      <c r="AB261" s="107">
        <f t="shared" si="107"/>
        <v>419.51800000000003</v>
      </c>
      <c r="AD261" s="107">
        <f t="shared" si="108"/>
        <v>498.30000000000007</v>
      </c>
      <c r="AE261" s="107">
        <f t="shared" si="109"/>
        <v>710.6</v>
      </c>
      <c r="AF261" s="107">
        <f t="shared" si="110"/>
        <v>843.7</v>
      </c>
      <c r="AH261" s="107">
        <v>248.44</v>
      </c>
      <c r="AI261" s="107">
        <v>349.04</v>
      </c>
      <c r="AJ261" s="107">
        <v>495.06</v>
      </c>
      <c r="AK261" s="107">
        <v>295.12</v>
      </c>
      <c r="AL261" s="107">
        <v>284.11</v>
      </c>
      <c r="AM261" s="107">
        <v>431.68</v>
      </c>
      <c r="AN261" s="107">
        <v>287.41000000000003</v>
      </c>
      <c r="AO261" s="107">
        <v>439.3</v>
      </c>
      <c r="AP261" s="107">
        <v>600.75</v>
      </c>
      <c r="AQ261" s="107">
        <v>226.26</v>
      </c>
      <c r="AR261" s="107">
        <v>307.77</v>
      </c>
      <c r="AS261" s="107">
        <v>381.38</v>
      </c>
      <c r="AT261" s="107">
        <v>453</v>
      </c>
      <c r="AU261" s="107">
        <v>646</v>
      </c>
      <c r="AV261" s="107">
        <v>767</v>
      </c>
    </row>
    <row r="262" spans="1:48" ht="30" customHeight="1" outlineLevel="1">
      <c r="A262" s="109" t="s">
        <v>754</v>
      </c>
      <c r="B262" s="135" t="s">
        <v>755</v>
      </c>
      <c r="C262" s="111"/>
      <c r="N262" s="11" t="str">
        <f t="shared" si="96"/>
        <v/>
      </c>
      <c r="O262" s="11" t="str">
        <f t="shared" si="97"/>
        <v/>
      </c>
      <c r="P262" s="11" t="str">
        <f t="shared" si="98"/>
        <v/>
      </c>
      <c r="R262" s="11" t="str">
        <f t="shared" si="99"/>
        <v/>
      </c>
      <c r="S262" s="11" t="str">
        <f t="shared" si="100"/>
        <v/>
      </c>
      <c r="T262" s="11" t="str">
        <f t="shared" si="101"/>
        <v/>
      </c>
      <c r="V262" s="11" t="str">
        <f t="shared" si="102"/>
        <v/>
      </c>
      <c r="W262" s="11" t="str">
        <f t="shared" si="103"/>
        <v/>
      </c>
      <c r="X262" s="11" t="str">
        <f t="shared" si="104"/>
        <v/>
      </c>
      <c r="Z262" s="11" t="str">
        <f t="shared" si="105"/>
        <v/>
      </c>
      <c r="AA262" s="11" t="str">
        <f t="shared" si="106"/>
        <v/>
      </c>
      <c r="AB262" s="11" t="str">
        <f t="shared" si="107"/>
        <v/>
      </c>
      <c r="AD262" s="11" t="str">
        <f t="shared" si="108"/>
        <v/>
      </c>
      <c r="AE262" s="11" t="str">
        <f t="shared" si="109"/>
        <v/>
      </c>
      <c r="AF262" s="11" t="str">
        <f t="shared" si="110"/>
        <v/>
      </c>
    </row>
    <row r="263" spans="1:48" s="138" customFormat="1" ht="30" customHeight="1" outlineLevel="2">
      <c r="A263" s="116" t="s">
        <v>756</v>
      </c>
      <c r="B263" s="139" t="s">
        <v>757</v>
      </c>
      <c r="C263" s="134" t="s">
        <v>242</v>
      </c>
      <c r="E263" s="105">
        <f>MIN(N263,R263,V263,Z263,AD263)</f>
        <v>533.72</v>
      </c>
      <c r="F263" s="105">
        <f>AVERAGE(N263,R263,V263,Z263,AD263)</f>
        <v>1046.9338</v>
      </c>
      <c r="G263" s="105">
        <f>MAX(N263,R263,V263,Z263,AD263)</f>
        <v>2040.7860000000001</v>
      </c>
      <c r="H263" s="106"/>
      <c r="I263" s="105">
        <f>MIN(T263,X263,AB263,AF263,P263)</f>
        <v>788.48</v>
      </c>
      <c r="J263" s="105">
        <f>AVERAGE(P263,T263,X263,AB263,AF263)</f>
        <v>1973.1998000000003</v>
      </c>
      <c r="K263" s="105">
        <f>MAX(P263,T263,X263,AB263,AF263)</f>
        <v>4432.6150000000007</v>
      </c>
      <c r="N263" s="107">
        <f t="shared" si="96"/>
        <v>1320.2090000000001</v>
      </c>
      <c r="O263" s="107">
        <f t="shared" si="97"/>
        <v>1786.6200000000001</v>
      </c>
      <c r="P263" s="107">
        <f t="shared" si="98"/>
        <v>2580.9410000000003</v>
      </c>
      <c r="R263" s="107">
        <f t="shared" si="99"/>
        <v>533.72</v>
      </c>
      <c r="S263" s="107">
        <f t="shared" si="100"/>
        <v>524.53500000000008</v>
      </c>
      <c r="T263" s="107">
        <f t="shared" si="101"/>
        <v>788.48</v>
      </c>
      <c r="V263" s="107">
        <f t="shared" si="102"/>
        <v>2040.7860000000001</v>
      </c>
      <c r="W263" s="107">
        <f t="shared" si="103"/>
        <v>3277.1419999999998</v>
      </c>
      <c r="X263" s="107">
        <f t="shared" si="104"/>
        <v>4432.6150000000007</v>
      </c>
      <c r="Z263" s="107">
        <f t="shared" si="105"/>
        <v>626.05400000000009</v>
      </c>
      <c r="AA263" s="107">
        <f t="shared" si="106"/>
        <v>812.30600000000015</v>
      </c>
      <c r="AB263" s="107">
        <f t="shared" si="107"/>
        <v>1003.5630000000001</v>
      </c>
      <c r="AD263" s="107">
        <f t="shared" si="108"/>
        <v>713.90000000000009</v>
      </c>
      <c r="AE263" s="107">
        <f t="shared" si="109"/>
        <v>926.2</v>
      </c>
      <c r="AF263" s="107">
        <f t="shared" si="110"/>
        <v>1060.4000000000001</v>
      </c>
      <c r="AH263" s="107">
        <v>1200.19</v>
      </c>
      <c r="AI263" s="107">
        <v>1624.2</v>
      </c>
      <c r="AJ263" s="107">
        <v>2346.31</v>
      </c>
      <c r="AK263" s="107">
        <v>485.2</v>
      </c>
      <c r="AL263" s="107">
        <v>476.85</v>
      </c>
      <c r="AM263" s="107">
        <v>716.8</v>
      </c>
      <c r="AN263" s="107">
        <v>1855.26</v>
      </c>
      <c r="AO263" s="107">
        <v>2979.22</v>
      </c>
      <c r="AP263" s="107">
        <v>4029.65</v>
      </c>
      <c r="AQ263" s="107">
        <v>569.14</v>
      </c>
      <c r="AR263" s="107">
        <v>738.46</v>
      </c>
      <c r="AS263" s="107">
        <v>912.33</v>
      </c>
      <c r="AT263" s="107">
        <v>649</v>
      </c>
      <c r="AU263" s="107">
        <v>842</v>
      </c>
      <c r="AV263" s="107">
        <v>964</v>
      </c>
    </row>
    <row r="264" spans="1:48" s="138" customFormat="1" ht="30" customHeight="1" outlineLevel="2">
      <c r="A264" s="116" t="s">
        <v>758</v>
      </c>
      <c r="B264" s="139" t="s">
        <v>759</v>
      </c>
      <c r="C264" s="134" t="s">
        <v>242</v>
      </c>
      <c r="E264" s="105">
        <f>MIN(N264,R264,V264,Z264,AD264)</f>
        <v>1400.3000000000002</v>
      </c>
      <c r="F264" s="105">
        <f>AVERAGE(N264,R264,V264,Z264,AD264)</f>
        <v>2046.2596000000005</v>
      </c>
      <c r="G264" s="105">
        <f>MAX(N264,R264,V264,Z264,AD264)</f>
        <v>2700.0160000000001</v>
      </c>
      <c r="H264" s="106"/>
      <c r="I264" s="105">
        <f>MIN(T264,X264,AB264,AF264,P264)</f>
        <v>2278.232</v>
      </c>
      <c r="J264" s="105">
        <f>AVERAGE(P264,T264,X264,AB264,AF264)</f>
        <v>3680.2436000000002</v>
      </c>
      <c r="K264" s="105">
        <f>MAX(P264,T264,X264,AB264,AF264)</f>
        <v>5874.3410000000013</v>
      </c>
      <c r="N264" s="107">
        <f t="shared" si="96"/>
        <v>2376.5280000000002</v>
      </c>
      <c r="O264" s="107">
        <f t="shared" si="97"/>
        <v>3264.8880000000004</v>
      </c>
      <c r="P264" s="107">
        <f t="shared" si="98"/>
        <v>4768.148000000001</v>
      </c>
      <c r="R264" s="107">
        <f t="shared" si="99"/>
        <v>1526.8880000000001</v>
      </c>
      <c r="S264" s="107">
        <f t="shared" si="100"/>
        <v>1531.607</v>
      </c>
      <c r="T264" s="107">
        <f t="shared" si="101"/>
        <v>2278.232</v>
      </c>
      <c r="V264" s="107">
        <f t="shared" si="102"/>
        <v>2700.0160000000001</v>
      </c>
      <c r="W264" s="107">
        <f t="shared" si="103"/>
        <v>4345.0880000000006</v>
      </c>
      <c r="X264" s="107">
        <f t="shared" si="104"/>
        <v>5874.3410000000013</v>
      </c>
      <c r="Z264" s="107">
        <f t="shared" si="105"/>
        <v>2227.5660000000003</v>
      </c>
      <c r="AA264" s="107">
        <f t="shared" si="106"/>
        <v>2768.6120000000001</v>
      </c>
      <c r="AB264" s="107">
        <f t="shared" si="107"/>
        <v>3183.6970000000001</v>
      </c>
      <c r="AD264" s="107">
        <f t="shared" si="108"/>
        <v>1400.3000000000002</v>
      </c>
      <c r="AE264" s="107">
        <f t="shared" si="109"/>
        <v>1956.9</v>
      </c>
      <c r="AF264" s="107">
        <f t="shared" si="110"/>
        <v>2296.8000000000002</v>
      </c>
      <c r="AH264" s="107">
        <v>2160.48</v>
      </c>
      <c r="AI264" s="107">
        <v>2968.08</v>
      </c>
      <c r="AJ264" s="107">
        <v>4334.68</v>
      </c>
      <c r="AK264" s="107">
        <v>1388.08</v>
      </c>
      <c r="AL264" s="107">
        <v>1392.37</v>
      </c>
      <c r="AM264" s="107">
        <v>2071.12</v>
      </c>
      <c r="AN264" s="107">
        <v>2454.56</v>
      </c>
      <c r="AO264" s="107">
        <v>3950.08</v>
      </c>
      <c r="AP264" s="107">
        <v>5340.31</v>
      </c>
      <c r="AQ264" s="107">
        <v>2025.06</v>
      </c>
      <c r="AR264" s="107">
        <v>2516.92</v>
      </c>
      <c r="AS264" s="107">
        <v>2894.27</v>
      </c>
      <c r="AT264" s="107">
        <v>1273</v>
      </c>
      <c r="AU264" s="107">
        <v>1779</v>
      </c>
      <c r="AV264" s="107">
        <v>2088</v>
      </c>
    </row>
    <row r="265" spans="1:48" s="138" customFormat="1" ht="30" customHeight="1" outlineLevel="2">
      <c r="A265" s="116" t="s">
        <v>760</v>
      </c>
      <c r="B265" s="139" t="s">
        <v>761</v>
      </c>
      <c r="C265" s="134" t="s">
        <v>242</v>
      </c>
      <c r="E265" s="105">
        <f>MIN(N265,R265,V265,Z265,AD265)</f>
        <v>3072.3</v>
      </c>
      <c r="F265" s="105">
        <f>AVERAGE(N265,R265,V265,Z265,AD265)</f>
        <v>4292.8270000000002</v>
      </c>
      <c r="G265" s="105">
        <f>MAX(N265,R265,V265,Z265,AD265)</f>
        <v>5923.7970000000014</v>
      </c>
      <c r="H265" s="106"/>
      <c r="I265" s="105">
        <f>MIN(T265,X265,AB265,AF265,P265)</f>
        <v>5305.3</v>
      </c>
      <c r="J265" s="105">
        <f>AVERAGE(P265,T265,X265,AB265,AF265)</f>
        <v>7739.9608000000007</v>
      </c>
      <c r="K265" s="105">
        <f>MAX(P265,T265,X265,AB265,AF265)</f>
        <v>10126.820000000002</v>
      </c>
      <c r="N265" s="107">
        <f t="shared" si="96"/>
        <v>4576.1100000000006</v>
      </c>
      <c r="O265" s="107">
        <f t="shared" si="97"/>
        <v>6841.8130000000001</v>
      </c>
      <c r="P265" s="107">
        <f t="shared" si="98"/>
        <v>10126.820000000002</v>
      </c>
      <c r="R265" s="107">
        <f t="shared" si="99"/>
        <v>3826.8560000000002</v>
      </c>
      <c r="S265" s="107">
        <f t="shared" si="100"/>
        <v>3863.7830000000004</v>
      </c>
      <c r="T265" s="107">
        <f t="shared" si="101"/>
        <v>5728.1840000000002</v>
      </c>
      <c r="V265" s="107">
        <f t="shared" si="102"/>
        <v>4065.0720000000001</v>
      </c>
      <c r="W265" s="107">
        <f t="shared" si="103"/>
        <v>6556.4949999999999</v>
      </c>
      <c r="X265" s="107">
        <f t="shared" si="104"/>
        <v>8859.7410000000018</v>
      </c>
      <c r="Z265" s="107">
        <f t="shared" si="105"/>
        <v>5923.7970000000014</v>
      </c>
      <c r="AA265" s="107">
        <f t="shared" si="106"/>
        <v>7137.2180000000008</v>
      </c>
      <c r="AB265" s="107">
        <f t="shared" si="107"/>
        <v>8679.759</v>
      </c>
      <c r="AD265" s="107">
        <f t="shared" si="108"/>
        <v>3072.3</v>
      </c>
      <c r="AE265" s="107">
        <f t="shared" si="109"/>
        <v>4463.8</v>
      </c>
      <c r="AF265" s="107">
        <f t="shared" si="110"/>
        <v>5305.3</v>
      </c>
      <c r="AH265" s="107">
        <v>4160.1000000000004</v>
      </c>
      <c r="AI265" s="107">
        <v>6219.83</v>
      </c>
      <c r="AJ265" s="107">
        <v>9206.2000000000007</v>
      </c>
      <c r="AK265" s="107">
        <v>3478.96</v>
      </c>
      <c r="AL265" s="107">
        <v>3512.53</v>
      </c>
      <c r="AM265" s="107">
        <v>5207.4399999999996</v>
      </c>
      <c r="AN265" s="107">
        <v>3695.52</v>
      </c>
      <c r="AO265" s="107">
        <v>5960.45</v>
      </c>
      <c r="AP265" s="107">
        <v>8054.31</v>
      </c>
      <c r="AQ265" s="107">
        <v>5385.27</v>
      </c>
      <c r="AR265" s="107">
        <v>6488.38</v>
      </c>
      <c r="AS265" s="107">
        <v>7890.69</v>
      </c>
      <c r="AT265" s="107">
        <v>2793</v>
      </c>
      <c r="AU265" s="107">
        <v>4058</v>
      </c>
      <c r="AV265" s="107">
        <v>4823</v>
      </c>
    </row>
    <row r="266" spans="1:48" s="138" customFormat="1" ht="30" customHeight="1" outlineLevel="2" thickBot="1">
      <c r="A266" s="116" t="s">
        <v>762</v>
      </c>
      <c r="B266" s="139" t="s">
        <v>763</v>
      </c>
      <c r="C266" s="134" t="s">
        <v>242</v>
      </c>
      <c r="E266" s="105">
        <f>MIN(N266,R266,V266,Z266,AD266)</f>
        <v>847.35200000000009</v>
      </c>
      <c r="F266" s="105">
        <f>AVERAGE(N266,R266,V266,Z266,AD266)</f>
        <v>1134.5598</v>
      </c>
      <c r="G266" s="105">
        <f>MAX(N266,R266,V266,Z266,AD266)</f>
        <v>1561.3510000000001</v>
      </c>
      <c r="H266" s="106"/>
      <c r="I266" s="105">
        <f>MIN(T266,X266,AB266,AF266,P266)</f>
        <v>1258.9280000000001</v>
      </c>
      <c r="J266" s="105">
        <f>AVERAGE(P266,T266,X266,AB266,AF266)</f>
        <v>2049.0404000000003</v>
      </c>
      <c r="K266" s="105">
        <f>MAX(P266,T266,X266,AB266,AF266)</f>
        <v>3384.0950000000003</v>
      </c>
      <c r="N266" s="107">
        <f t="shared" si="96"/>
        <v>1404.3700000000001</v>
      </c>
      <c r="O266" s="107">
        <f t="shared" si="97"/>
        <v>1786.6200000000001</v>
      </c>
      <c r="P266" s="107">
        <f t="shared" si="98"/>
        <v>2580.9410000000003</v>
      </c>
      <c r="R266" s="107">
        <f t="shared" si="99"/>
        <v>847.35200000000009</v>
      </c>
      <c r="S266" s="107">
        <f t="shared" si="100"/>
        <v>842.55600000000015</v>
      </c>
      <c r="T266" s="107">
        <f t="shared" si="101"/>
        <v>1258.9280000000001</v>
      </c>
      <c r="V266" s="107">
        <f t="shared" si="102"/>
        <v>1561.3510000000001</v>
      </c>
      <c r="W266" s="107">
        <f t="shared" si="103"/>
        <v>2500.4650000000001</v>
      </c>
      <c r="X266" s="107">
        <f t="shared" si="104"/>
        <v>3384.0950000000003</v>
      </c>
      <c r="Z266" s="107">
        <f t="shared" si="105"/>
        <v>869.726</v>
      </c>
      <c r="AA266" s="107">
        <f t="shared" si="106"/>
        <v>928.34500000000014</v>
      </c>
      <c r="AB266" s="107">
        <f t="shared" si="107"/>
        <v>1463.6380000000001</v>
      </c>
      <c r="AD266" s="107">
        <f t="shared" si="108"/>
        <v>990.00000000000011</v>
      </c>
      <c r="AE266" s="107">
        <f t="shared" si="109"/>
        <v>1340.9</v>
      </c>
      <c r="AF266" s="107">
        <f t="shared" si="110"/>
        <v>1557.6000000000001</v>
      </c>
      <c r="AH266" s="107">
        <v>1276.7</v>
      </c>
      <c r="AI266" s="107">
        <v>1624.2</v>
      </c>
      <c r="AJ266" s="107">
        <v>2346.31</v>
      </c>
      <c r="AK266" s="107">
        <v>770.32</v>
      </c>
      <c r="AL266" s="107">
        <v>765.96</v>
      </c>
      <c r="AM266" s="107">
        <v>1144.48</v>
      </c>
      <c r="AN266" s="107">
        <v>1419.41</v>
      </c>
      <c r="AO266" s="107">
        <v>2273.15</v>
      </c>
      <c r="AP266" s="107">
        <v>3076.45</v>
      </c>
      <c r="AQ266" s="107">
        <v>790.66</v>
      </c>
      <c r="AR266" s="107">
        <v>843.95</v>
      </c>
      <c r="AS266" s="107">
        <v>1330.58</v>
      </c>
      <c r="AT266" s="107">
        <v>900</v>
      </c>
      <c r="AU266" s="107">
        <v>1219</v>
      </c>
      <c r="AV266" s="107">
        <v>1416</v>
      </c>
    </row>
    <row r="267" spans="1:48" s="138" customFormat="1" ht="30" customHeight="1" thickBot="1">
      <c r="A267" s="96" t="s">
        <v>764</v>
      </c>
      <c r="B267" s="115" t="s">
        <v>765</v>
      </c>
      <c r="C267" s="98"/>
      <c r="E267" s="11"/>
      <c r="F267" s="11"/>
      <c r="G267" s="11"/>
      <c r="H267" s="11"/>
      <c r="I267" s="11"/>
      <c r="J267" s="11"/>
      <c r="K267" s="11"/>
      <c r="L267" s="11"/>
      <c r="M267" s="11"/>
      <c r="N267" s="11" t="str">
        <f t="shared" si="96"/>
        <v/>
      </c>
      <c r="O267" s="11" t="str">
        <f t="shared" si="97"/>
        <v/>
      </c>
      <c r="P267" s="11" t="str">
        <f t="shared" si="98"/>
        <v/>
      </c>
      <c r="Q267" s="11"/>
      <c r="R267" s="11" t="str">
        <f t="shared" si="99"/>
        <v/>
      </c>
      <c r="S267" s="11" t="str">
        <f t="shared" si="100"/>
        <v/>
      </c>
      <c r="T267" s="11" t="str">
        <f t="shared" si="101"/>
        <v/>
      </c>
      <c r="U267" s="11"/>
      <c r="V267" s="11" t="str">
        <f t="shared" si="102"/>
        <v/>
      </c>
      <c r="W267" s="11" t="str">
        <f t="shared" si="103"/>
        <v/>
      </c>
      <c r="X267" s="11" t="str">
        <f t="shared" si="104"/>
        <v/>
      </c>
      <c r="Y267" s="11"/>
      <c r="Z267" s="11" t="str">
        <f t="shared" si="105"/>
        <v/>
      </c>
      <c r="AA267" s="11" t="str">
        <f t="shared" si="106"/>
        <v/>
      </c>
      <c r="AB267" s="11" t="str">
        <f t="shared" si="107"/>
        <v/>
      </c>
      <c r="AC267" s="11"/>
      <c r="AD267" s="11" t="str">
        <f t="shared" si="108"/>
        <v/>
      </c>
      <c r="AE267" s="11" t="str">
        <f t="shared" si="109"/>
        <v/>
      </c>
      <c r="AF267" s="11" t="str">
        <f t="shared" si="110"/>
        <v/>
      </c>
      <c r="AH267" s="11"/>
      <c r="AI267" s="11"/>
      <c r="AJ267" s="11"/>
      <c r="AK267" s="11"/>
      <c r="AL267" s="11"/>
      <c r="AM267" s="11"/>
      <c r="AN267" s="11"/>
      <c r="AO267" s="11"/>
      <c r="AP267" s="11"/>
      <c r="AQ267" s="11"/>
      <c r="AR267" s="11"/>
      <c r="AS267" s="11"/>
      <c r="AT267" s="11"/>
      <c r="AU267" s="11"/>
      <c r="AV267" s="11"/>
    </row>
    <row r="268" spans="1:48" s="138" customFormat="1" ht="30" customHeight="1" outlineLevel="1">
      <c r="A268" s="132" t="s">
        <v>766</v>
      </c>
      <c r="B268" s="133" t="s">
        <v>767</v>
      </c>
      <c r="C268" s="101"/>
      <c r="E268" s="11"/>
      <c r="F268" s="11"/>
      <c r="G268" s="11"/>
      <c r="H268" s="11"/>
      <c r="I268" s="11"/>
      <c r="J268" s="11"/>
      <c r="K268" s="11"/>
      <c r="L268" s="11"/>
      <c r="M268" s="11"/>
      <c r="N268" s="11" t="str">
        <f t="shared" si="96"/>
        <v/>
      </c>
      <c r="O268" s="11" t="str">
        <f t="shared" si="97"/>
        <v/>
      </c>
      <c r="P268" s="11" t="str">
        <f t="shared" si="98"/>
        <v/>
      </c>
      <c r="Q268" s="11"/>
      <c r="R268" s="11" t="str">
        <f t="shared" si="99"/>
        <v/>
      </c>
      <c r="S268" s="11" t="str">
        <f t="shared" si="100"/>
        <v/>
      </c>
      <c r="T268" s="11" t="str">
        <f t="shared" si="101"/>
        <v/>
      </c>
      <c r="U268" s="11"/>
      <c r="V268" s="11" t="str">
        <f t="shared" si="102"/>
        <v/>
      </c>
      <c r="W268" s="11" t="str">
        <f t="shared" si="103"/>
        <v/>
      </c>
      <c r="X268" s="11" t="str">
        <f t="shared" si="104"/>
        <v/>
      </c>
      <c r="Y268" s="11"/>
      <c r="Z268" s="11" t="str">
        <f t="shared" si="105"/>
        <v/>
      </c>
      <c r="AA268" s="11" t="str">
        <f t="shared" si="106"/>
        <v/>
      </c>
      <c r="AB268" s="11" t="str">
        <f t="shared" si="107"/>
        <v/>
      </c>
      <c r="AC268" s="11"/>
      <c r="AD268" s="11" t="str">
        <f t="shared" si="108"/>
        <v/>
      </c>
      <c r="AE268" s="11" t="str">
        <f t="shared" si="109"/>
        <v/>
      </c>
      <c r="AF268" s="11" t="str">
        <f t="shared" si="110"/>
        <v/>
      </c>
      <c r="AH268" s="11"/>
      <c r="AI268" s="11"/>
      <c r="AJ268" s="11"/>
      <c r="AK268" s="11"/>
      <c r="AL268" s="11"/>
      <c r="AM268" s="11"/>
      <c r="AN268" s="11"/>
      <c r="AO268" s="11"/>
      <c r="AP268" s="11"/>
      <c r="AQ268" s="11"/>
      <c r="AR268" s="11"/>
      <c r="AS268" s="11"/>
      <c r="AT268" s="11"/>
      <c r="AU268" s="11"/>
      <c r="AV268" s="11"/>
    </row>
    <row r="269" spans="1:48" s="138" customFormat="1" ht="30" customHeight="1" outlineLevel="2">
      <c r="A269" s="116" t="s">
        <v>768</v>
      </c>
      <c r="B269" s="118" t="s">
        <v>769</v>
      </c>
      <c r="C269" s="134" t="s">
        <v>242</v>
      </c>
      <c r="E269" s="105">
        <f>MIN(N269,R269,V269,Z269,AD269)</f>
        <v>355.92700000000002</v>
      </c>
      <c r="F269" s="105">
        <f>AVERAGE(N269,R269,V269,Z269,AD269)</f>
        <v>639.91180000000008</v>
      </c>
      <c r="G269" s="105">
        <f>MAX(N269,R269,V269,Z269,AD269)</f>
        <v>969.1</v>
      </c>
      <c r="H269" s="106"/>
      <c r="I269" s="105">
        <f>MIN(T269,X269,AB269,AF269,P269)</f>
        <v>679.84400000000005</v>
      </c>
      <c r="J269" s="105">
        <f>AVERAGE(P269,T269,X269,AB269,AF269)</f>
        <v>1341.1860000000001</v>
      </c>
      <c r="K269" s="105">
        <f>MAX(P269,T269,X269,AB269,AF269)</f>
        <v>2554.2000000000003</v>
      </c>
      <c r="N269" s="107">
        <f t="shared" si="96"/>
        <v>355.92700000000002</v>
      </c>
      <c r="O269" s="107">
        <f t="shared" si="97"/>
        <v>499.45500000000004</v>
      </c>
      <c r="P269" s="107">
        <f t="shared" si="98"/>
        <v>706.27700000000016</v>
      </c>
      <c r="R269" s="107">
        <f t="shared" si="99"/>
        <v>585.99200000000008</v>
      </c>
      <c r="S269" s="107">
        <f t="shared" si="100"/>
        <v>741.99400000000003</v>
      </c>
      <c r="T269" s="107">
        <f t="shared" si="101"/>
        <v>866.88800000000015</v>
      </c>
      <c r="V269" s="107">
        <f t="shared" si="102"/>
        <v>882.17800000000011</v>
      </c>
      <c r="W269" s="107">
        <f t="shared" si="103"/>
        <v>1400.1900000000003</v>
      </c>
      <c r="X269" s="107">
        <f t="shared" si="104"/>
        <v>1898.721</v>
      </c>
      <c r="Z269" s="107">
        <f t="shared" si="105"/>
        <v>406.36200000000002</v>
      </c>
      <c r="AA269" s="107">
        <f t="shared" si="106"/>
        <v>558.99800000000005</v>
      </c>
      <c r="AB269" s="107">
        <f t="shared" si="107"/>
        <v>679.84400000000005</v>
      </c>
      <c r="AD269" s="107">
        <f t="shared" si="108"/>
        <v>969.1</v>
      </c>
      <c r="AE269" s="107">
        <f t="shared" si="109"/>
        <v>1459.7</v>
      </c>
      <c r="AF269" s="107">
        <f t="shared" si="110"/>
        <v>2554.2000000000003</v>
      </c>
      <c r="AH269" s="107">
        <v>323.57</v>
      </c>
      <c r="AI269" s="107">
        <v>454.05</v>
      </c>
      <c r="AJ269" s="107">
        <v>642.07000000000005</v>
      </c>
      <c r="AK269" s="107">
        <v>532.72</v>
      </c>
      <c r="AL269" s="107">
        <v>674.54</v>
      </c>
      <c r="AM269" s="107">
        <v>788.08</v>
      </c>
      <c r="AN269" s="107">
        <v>801.98</v>
      </c>
      <c r="AO269" s="107">
        <v>1272.9000000000001</v>
      </c>
      <c r="AP269" s="107">
        <v>1726.11</v>
      </c>
      <c r="AQ269" s="107">
        <v>369.42</v>
      </c>
      <c r="AR269" s="107">
        <v>508.18</v>
      </c>
      <c r="AS269" s="107">
        <v>618.04</v>
      </c>
      <c r="AT269" s="107">
        <v>881</v>
      </c>
      <c r="AU269" s="107">
        <v>1327</v>
      </c>
      <c r="AV269" s="107">
        <v>2322</v>
      </c>
    </row>
    <row r="270" spans="1:48" s="138" customFormat="1" ht="30" customHeight="1" outlineLevel="2">
      <c r="A270" s="116" t="s">
        <v>770</v>
      </c>
      <c r="B270" s="118" t="s">
        <v>771</v>
      </c>
      <c r="C270" s="134" t="s">
        <v>242</v>
      </c>
      <c r="E270" s="105">
        <f>MIN(N270,R270,V270,Z270,AD270)</f>
        <v>323.29000000000002</v>
      </c>
      <c r="F270" s="105">
        <f>AVERAGE(N270,R270,V270,Z270,AD270)</f>
        <v>568.14340000000004</v>
      </c>
      <c r="G270" s="105">
        <f>MAX(N270,R270,V270,Z270,AD270)</f>
        <v>969.1</v>
      </c>
      <c r="H270" s="106"/>
      <c r="I270" s="105">
        <f>MIN(T270,X270,AB270,AF270,P270)</f>
        <v>508.28800000000001</v>
      </c>
      <c r="J270" s="105">
        <f>AVERAGE(P270,T270,X270,AB270,AF270)</f>
        <v>1206.5306</v>
      </c>
      <c r="K270" s="105">
        <f>MAX(P270,T270,X270,AB270,AF270)</f>
        <v>2554.2000000000003</v>
      </c>
      <c r="N270" s="107">
        <f t="shared" si="96"/>
        <v>383.48200000000003</v>
      </c>
      <c r="O270" s="107">
        <f t="shared" si="97"/>
        <v>537.96600000000001</v>
      </c>
      <c r="P270" s="107">
        <f t="shared" si="98"/>
        <v>760.1880000000001</v>
      </c>
      <c r="R270" s="107">
        <f t="shared" si="99"/>
        <v>429.17600000000004</v>
      </c>
      <c r="S270" s="107">
        <f t="shared" si="100"/>
        <v>538.13099999999997</v>
      </c>
      <c r="T270" s="107">
        <f t="shared" si="101"/>
        <v>631.6640000000001</v>
      </c>
      <c r="V270" s="107">
        <f t="shared" si="102"/>
        <v>735.66899999999998</v>
      </c>
      <c r="W270" s="107">
        <f t="shared" si="103"/>
        <v>1162.8540000000003</v>
      </c>
      <c r="X270" s="107">
        <f t="shared" si="104"/>
        <v>1578.3130000000001</v>
      </c>
      <c r="Z270" s="107">
        <f t="shared" si="105"/>
        <v>323.29000000000002</v>
      </c>
      <c r="AA270" s="107">
        <f t="shared" si="106"/>
        <v>425.18299999999999</v>
      </c>
      <c r="AB270" s="107">
        <f t="shared" si="107"/>
        <v>508.28800000000001</v>
      </c>
      <c r="AD270" s="107">
        <f t="shared" si="108"/>
        <v>969.1</v>
      </c>
      <c r="AE270" s="107">
        <f t="shared" si="109"/>
        <v>1459.7</v>
      </c>
      <c r="AF270" s="107">
        <f t="shared" si="110"/>
        <v>2554.2000000000003</v>
      </c>
      <c r="AH270" s="107">
        <v>348.62</v>
      </c>
      <c r="AI270" s="107">
        <v>489.06</v>
      </c>
      <c r="AJ270" s="107">
        <v>691.08</v>
      </c>
      <c r="AK270" s="107">
        <v>390.16</v>
      </c>
      <c r="AL270" s="107">
        <v>489.21</v>
      </c>
      <c r="AM270" s="107">
        <v>574.24</v>
      </c>
      <c r="AN270" s="107">
        <v>668.79</v>
      </c>
      <c r="AO270" s="107">
        <v>1057.1400000000001</v>
      </c>
      <c r="AP270" s="107">
        <v>1434.83</v>
      </c>
      <c r="AQ270" s="107">
        <v>293.89999999999998</v>
      </c>
      <c r="AR270" s="107">
        <v>386.53</v>
      </c>
      <c r="AS270" s="107">
        <v>462.08</v>
      </c>
      <c r="AT270" s="107">
        <v>881</v>
      </c>
      <c r="AU270" s="107">
        <v>1327</v>
      </c>
      <c r="AV270" s="107">
        <v>2322</v>
      </c>
    </row>
    <row r="271" spans="1:48" s="138" customFormat="1" ht="30" customHeight="1" outlineLevel="1">
      <c r="A271" s="109" t="s">
        <v>772</v>
      </c>
      <c r="B271" s="135" t="s">
        <v>773</v>
      </c>
      <c r="C271" s="111"/>
      <c r="E271" s="11"/>
      <c r="F271" s="11"/>
      <c r="G271" s="11"/>
      <c r="H271" s="11"/>
      <c r="I271" s="11"/>
      <c r="J271" s="11"/>
      <c r="K271" s="11"/>
      <c r="L271" s="11"/>
      <c r="M271" s="11"/>
      <c r="N271" s="11" t="str">
        <f t="shared" si="96"/>
        <v/>
      </c>
      <c r="O271" s="11" t="str">
        <f t="shared" si="97"/>
        <v/>
      </c>
      <c r="P271" s="11" t="str">
        <f t="shared" si="98"/>
        <v/>
      </c>
      <c r="Q271" s="11"/>
      <c r="R271" s="11" t="str">
        <f t="shared" si="99"/>
        <v/>
      </c>
      <c r="S271" s="11" t="str">
        <f t="shared" si="100"/>
        <v/>
      </c>
      <c r="T271" s="11" t="str">
        <f t="shared" si="101"/>
        <v/>
      </c>
      <c r="U271" s="11"/>
      <c r="V271" s="11" t="str">
        <f t="shared" si="102"/>
        <v/>
      </c>
      <c r="W271" s="11" t="str">
        <f t="shared" si="103"/>
        <v/>
      </c>
      <c r="X271" s="11" t="str">
        <f t="shared" si="104"/>
        <v/>
      </c>
      <c r="Y271" s="11"/>
      <c r="Z271" s="11" t="str">
        <f t="shared" si="105"/>
        <v/>
      </c>
      <c r="AA271" s="11" t="str">
        <f t="shared" si="106"/>
        <v/>
      </c>
      <c r="AB271" s="11" t="str">
        <f t="shared" si="107"/>
        <v/>
      </c>
      <c r="AC271" s="11"/>
      <c r="AD271" s="11" t="str">
        <f t="shared" si="108"/>
        <v/>
      </c>
      <c r="AE271" s="11" t="str">
        <f t="shared" si="109"/>
        <v/>
      </c>
      <c r="AF271" s="11" t="str">
        <f t="shared" si="110"/>
        <v/>
      </c>
      <c r="AH271" s="11"/>
      <c r="AI271" s="11"/>
      <c r="AJ271" s="11"/>
      <c r="AK271" s="11"/>
      <c r="AL271" s="11"/>
      <c r="AM271" s="11"/>
      <c r="AN271" s="11"/>
      <c r="AO271" s="11"/>
      <c r="AP271" s="11"/>
      <c r="AQ271" s="11"/>
      <c r="AR271" s="11"/>
      <c r="AS271" s="11"/>
      <c r="AT271" s="11"/>
      <c r="AU271" s="11"/>
      <c r="AV271" s="11"/>
    </row>
    <row r="272" spans="1:48" s="138" customFormat="1" ht="30" customHeight="1" outlineLevel="2" thickBot="1">
      <c r="A272" s="102" t="s">
        <v>774</v>
      </c>
      <c r="B272" s="120" t="s">
        <v>775</v>
      </c>
      <c r="C272" s="136" t="s">
        <v>242</v>
      </c>
      <c r="E272" s="105">
        <f>MIN(N272,R272,V272,Z272,AD272)</f>
        <v>336.79800000000006</v>
      </c>
      <c r="F272" s="105">
        <f>AVERAGE(N272,R272,V272,Z272,AD272)</f>
        <v>674.12400000000002</v>
      </c>
      <c r="G272" s="105">
        <f>MAX(N272,R272,V272,Z272,AD272)</f>
        <v>1095.248</v>
      </c>
      <c r="H272" s="106"/>
      <c r="I272" s="105">
        <f>MIN(T272,X272,AB272,AF272,P272)</f>
        <v>508.28800000000001</v>
      </c>
      <c r="J272" s="105">
        <f>AVERAGE(P272,T272,X272,AB272,AF272)</f>
        <v>1410.8556000000001</v>
      </c>
      <c r="K272" s="105">
        <f>MAX(P272,T272,X272,AB272,AF272)</f>
        <v>2554.2000000000003</v>
      </c>
      <c r="N272" s="107">
        <f t="shared" si="96"/>
        <v>383.48200000000003</v>
      </c>
      <c r="O272" s="107">
        <f t="shared" si="97"/>
        <v>537.96600000000001</v>
      </c>
      <c r="P272" s="107">
        <f t="shared" si="98"/>
        <v>760.1880000000001</v>
      </c>
      <c r="R272" s="107">
        <f t="shared" si="99"/>
        <v>585.99200000000008</v>
      </c>
      <c r="S272" s="107">
        <f t="shared" si="100"/>
        <v>741.99400000000003</v>
      </c>
      <c r="T272" s="107">
        <f t="shared" si="101"/>
        <v>866.88800000000015</v>
      </c>
      <c r="V272" s="107">
        <f t="shared" si="102"/>
        <v>1095.248</v>
      </c>
      <c r="W272" s="107">
        <f t="shared" si="103"/>
        <v>1745.3590000000002</v>
      </c>
      <c r="X272" s="107">
        <f t="shared" si="104"/>
        <v>2364.7139999999999</v>
      </c>
      <c r="Z272" s="107">
        <f t="shared" si="105"/>
        <v>336.79800000000006</v>
      </c>
      <c r="AA272" s="107">
        <f t="shared" si="106"/>
        <v>396.01100000000002</v>
      </c>
      <c r="AB272" s="107">
        <f t="shared" si="107"/>
        <v>508.28800000000001</v>
      </c>
      <c r="AD272" s="107">
        <f t="shared" si="108"/>
        <v>969.1</v>
      </c>
      <c r="AE272" s="107">
        <f t="shared" si="109"/>
        <v>1459.7</v>
      </c>
      <c r="AF272" s="107">
        <f t="shared" si="110"/>
        <v>2554.2000000000003</v>
      </c>
      <c r="AH272" s="107">
        <v>348.62</v>
      </c>
      <c r="AI272" s="107">
        <v>489.06</v>
      </c>
      <c r="AJ272" s="107">
        <v>691.08</v>
      </c>
      <c r="AK272" s="107">
        <v>532.72</v>
      </c>
      <c r="AL272" s="107">
        <v>674.54</v>
      </c>
      <c r="AM272" s="107">
        <v>788.08</v>
      </c>
      <c r="AN272" s="107">
        <v>995.68</v>
      </c>
      <c r="AO272" s="107">
        <v>1586.69</v>
      </c>
      <c r="AP272" s="107">
        <v>2149.7399999999998</v>
      </c>
      <c r="AQ272" s="107">
        <v>306.18</v>
      </c>
      <c r="AR272" s="107">
        <v>360.01</v>
      </c>
      <c r="AS272" s="107">
        <v>462.08</v>
      </c>
      <c r="AT272" s="107">
        <v>881</v>
      </c>
      <c r="AU272" s="107">
        <v>1327</v>
      </c>
      <c r="AV272" s="107">
        <v>2322</v>
      </c>
    </row>
    <row r="273" spans="1:48" ht="30" customHeight="1" thickBot="1">
      <c r="A273" s="96" t="s">
        <v>776</v>
      </c>
      <c r="B273" s="115" t="s">
        <v>777</v>
      </c>
      <c r="C273" s="98"/>
      <c r="N273" s="11" t="str">
        <f t="shared" si="96"/>
        <v/>
      </c>
      <c r="O273" s="11" t="str">
        <f t="shared" si="97"/>
        <v/>
      </c>
      <c r="P273" s="11" t="str">
        <f t="shared" si="98"/>
        <v/>
      </c>
      <c r="R273" s="11" t="str">
        <f t="shared" si="99"/>
        <v/>
      </c>
      <c r="S273" s="11" t="str">
        <f t="shared" si="100"/>
        <v/>
      </c>
      <c r="T273" s="11" t="str">
        <f t="shared" si="101"/>
        <v/>
      </c>
      <c r="V273" s="11" t="str">
        <f t="shared" si="102"/>
        <v/>
      </c>
      <c r="W273" s="11" t="str">
        <f t="shared" si="103"/>
        <v/>
      </c>
      <c r="X273" s="11" t="str">
        <f t="shared" si="104"/>
        <v/>
      </c>
      <c r="Z273" s="11" t="str">
        <f t="shared" si="105"/>
        <v/>
      </c>
      <c r="AA273" s="11" t="str">
        <f t="shared" si="106"/>
        <v/>
      </c>
      <c r="AB273" s="11" t="str">
        <f t="shared" si="107"/>
        <v/>
      </c>
      <c r="AD273" s="11" t="str">
        <f t="shared" si="108"/>
        <v/>
      </c>
      <c r="AE273" s="11" t="str">
        <f t="shared" si="109"/>
        <v/>
      </c>
      <c r="AF273" s="11" t="str">
        <f t="shared" si="110"/>
        <v/>
      </c>
    </row>
    <row r="274" spans="1:48" ht="30" customHeight="1" outlineLevel="1">
      <c r="A274" s="132" t="s">
        <v>778</v>
      </c>
      <c r="B274" s="133" t="s">
        <v>779</v>
      </c>
      <c r="C274" s="101"/>
      <c r="N274" s="11" t="str">
        <f t="shared" si="96"/>
        <v/>
      </c>
      <c r="O274" s="11" t="str">
        <f t="shared" si="97"/>
        <v/>
      </c>
      <c r="P274" s="11" t="str">
        <f t="shared" si="98"/>
        <v/>
      </c>
      <c r="R274" s="11" t="str">
        <f t="shared" si="99"/>
        <v/>
      </c>
      <c r="S274" s="11" t="str">
        <f t="shared" si="100"/>
        <v/>
      </c>
      <c r="T274" s="11" t="str">
        <f t="shared" si="101"/>
        <v/>
      </c>
      <c r="V274" s="11" t="str">
        <f t="shared" si="102"/>
        <v/>
      </c>
      <c r="W274" s="11" t="str">
        <f t="shared" si="103"/>
        <v/>
      </c>
      <c r="X274" s="11" t="str">
        <f t="shared" si="104"/>
        <v/>
      </c>
      <c r="Z274" s="11" t="str">
        <f t="shared" si="105"/>
        <v/>
      </c>
      <c r="AA274" s="11" t="str">
        <f t="shared" si="106"/>
        <v/>
      </c>
      <c r="AB274" s="11" t="str">
        <f t="shared" si="107"/>
        <v/>
      </c>
      <c r="AD274" s="11" t="str">
        <f t="shared" si="108"/>
        <v/>
      </c>
      <c r="AE274" s="11" t="str">
        <f t="shared" si="109"/>
        <v/>
      </c>
      <c r="AF274" s="11" t="str">
        <f t="shared" si="110"/>
        <v/>
      </c>
    </row>
    <row r="275" spans="1:48" ht="30" customHeight="1" outlineLevel="2">
      <c r="A275" s="116" t="s">
        <v>780</v>
      </c>
      <c r="B275" s="126" t="s">
        <v>781</v>
      </c>
      <c r="C275" s="134" t="s">
        <v>242</v>
      </c>
      <c r="E275" s="105">
        <f t="shared" ref="E275:E287" si="111">MIN(N275,R275,V275,Z275,AD275)</f>
        <v>501.6</v>
      </c>
      <c r="F275" s="105">
        <f t="shared" ref="F275:F287" si="112">AVERAGE(N275,R275,V275,Z275,AD275)</f>
        <v>772.38480000000004</v>
      </c>
      <c r="G275" s="105">
        <f t="shared" ref="G275:G287" si="113">MAX(N275,R275,V275,Z275,AD275)</f>
        <v>1127.17</v>
      </c>
      <c r="H275" s="106"/>
      <c r="I275" s="105">
        <f t="shared" ref="I275:I287" si="114">MIN(T275,X275,AB275,AF275,P275)</f>
        <v>917.40000000000009</v>
      </c>
      <c r="J275" s="105">
        <f t="shared" ref="J275:J287" si="115">AVERAGE(P275,T275,X275,AB275,AF275)</f>
        <v>1402.1458000000002</v>
      </c>
      <c r="K275" s="105">
        <f t="shared" ref="K275:K287" si="116">MAX(P275,T275,X275,AB275,AF275)</f>
        <v>2434.5419999999999</v>
      </c>
      <c r="N275" s="107">
        <f t="shared" si="96"/>
        <v>525.58000000000004</v>
      </c>
      <c r="O275" s="107">
        <f t="shared" si="97"/>
        <v>723.88800000000015</v>
      </c>
      <c r="P275" s="107">
        <f t="shared" si="98"/>
        <v>1007.7210000000001</v>
      </c>
      <c r="R275" s="107">
        <f t="shared" si="99"/>
        <v>1091.2880000000002</v>
      </c>
      <c r="S275" s="107">
        <f t="shared" si="100"/>
        <v>1258.433</v>
      </c>
      <c r="T275" s="107">
        <f t="shared" si="101"/>
        <v>1624.8320000000001</v>
      </c>
      <c r="V275" s="107">
        <f t="shared" si="102"/>
        <v>1127.17</v>
      </c>
      <c r="W275" s="107">
        <f t="shared" si="103"/>
        <v>1797.0920000000001</v>
      </c>
      <c r="X275" s="107">
        <f t="shared" si="104"/>
        <v>2434.5419999999999</v>
      </c>
      <c r="Z275" s="107">
        <f t="shared" si="105"/>
        <v>616.28600000000006</v>
      </c>
      <c r="AA275" s="107">
        <f t="shared" si="106"/>
        <v>852.90700000000004</v>
      </c>
      <c r="AB275" s="107">
        <f t="shared" si="107"/>
        <v>1026.2340000000002</v>
      </c>
      <c r="AD275" s="107">
        <f t="shared" si="108"/>
        <v>501.6</v>
      </c>
      <c r="AE275" s="107">
        <f t="shared" si="109"/>
        <v>757.90000000000009</v>
      </c>
      <c r="AF275" s="107">
        <f t="shared" si="110"/>
        <v>917.40000000000009</v>
      </c>
      <c r="AH275" s="107">
        <v>477.8</v>
      </c>
      <c r="AI275" s="107">
        <v>658.08</v>
      </c>
      <c r="AJ275" s="107">
        <v>916.11</v>
      </c>
      <c r="AK275" s="107">
        <v>992.08</v>
      </c>
      <c r="AL275" s="107">
        <v>1144.03</v>
      </c>
      <c r="AM275" s="107">
        <v>1477.12</v>
      </c>
      <c r="AN275" s="107">
        <v>1024.7</v>
      </c>
      <c r="AO275" s="107">
        <v>1633.72</v>
      </c>
      <c r="AP275" s="107">
        <v>2213.2199999999998</v>
      </c>
      <c r="AQ275" s="107">
        <v>560.26</v>
      </c>
      <c r="AR275" s="107">
        <v>775.37</v>
      </c>
      <c r="AS275" s="107">
        <v>932.94</v>
      </c>
      <c r="AT275" s="107">
        <v>456</v>
      </c>
      <c r="AU275" s="107">
        <v>689</v>
      </c>
      <c r="AV275" s="107">
        <v>834</v>
      </c>
    </row>
    <row r="276" spans="1:48" ht="30" customHeight="1" outlineLevel="2">
      <c r="A276" s="116" t="s">
        <v>782</v>
      </c>
      <c r="B276" s="126" t="s">
        <v>783</v>
      </c>
      <c r="C276" s="134" t="s">
        <v>242</v>
      </c>
      <c r="E276" s="105">
        <f t="shared" si="111"/>
        <v>152.79000000000002</v>
      </c>
      <c r="F276" s="105">
        <f t="shared" si="112"/>
        <v>241.22560000000004</v>
      </c>
      <c r="G276" s="105">
        <f t="shared" si="113"/>
        <v>313.25799999999998</v>
      </c>
      <c r="H276" s="106"/>
      <c r="I276" s="105">
        <f t="shared" si="114"/>
        <v>217.08500000000001</v>
      </c>
      <c r="J276" s="105">
        <f t="shared" si="115"/>
        <v>427.21800000000002</v>
      </c>
      <c r="K276" s="105">
        <f t="shared" si="116"/>
        <v>529.7600000000001</v>
      </c>
      <c r="N276" s="107">
        <f t="shared" si="96"/>
        <v>234.15700000000001</v>
      </c>
      <c r="O276" s="107">
        <f t="shared" si="97"/>
        <v>322.89400000000006</v>
      </c>
      <c r="P276" s="107">
        <f t="shared" si="98"/>
        <v>452.71600000000007</v>
      </c>
      <c r="R276" s="107">
        <f t="shared" si="99"/>
        <v>152.79000000000002</v>
      </c>
      <c r="S276" s="107">
        <f t="shared" si="100"/>
        <v>160.39100000000002</v>
      </c>
      <c r="T276" s="107">
        <f t="shared" si="101"/>
        <v>217.08500000000001</v>
      </c>
      <c r="V276" s="107">
        <f t="shared" si="102"/>
        <v>256.22300000000001</v>
      </c>
      <c r="W276" s="107">
        <f t="shared" si="103"/>
        <v>386.14400000000006</v>
      </c>
      <c r="X276" s="107">
        <f t="shared" si="104"/>
        <v>529.7600000000001</v>
      </c>
      <c r="Z276" s="107">
        <f t="shared" si="105"/>
        <v>313.25799999999998</v>
      </c>
      <c r="AA276" s="107">
        <f t="shared" si="106"/>
        <v>428.65900000000005</v>
      </c>
      <c r="AB276" s="107">
        <f t="shared" si="107"/>
        <v>526.22900000000004</v>
      </c>
      <c r="AD276" s="107">
        <f t="shared" si="108"/>
        <v>249.70000000000002</v>
      </c>
      <c r="AE276" s="107">
        <f t="shared" si="109"/>
        <v>346.5</v>
      </c>
      <c r="AF276" s="107">
        <f t="shared" si="110"/>
        <v>410.3</v>
      </c>
      <c r="AH276" s="107">
        <v>212.87</v>
      </c>
      <c r="AI276" s="107">
        <v>293.54000000000002</v>
      </c>
      <c r="AJ276" s="107">
        <v>411.56</v>
      </c>
      <c r="AK276" s="107">
        <v>138.9</v>
      </c>
      <c r="AL276" s="107">
        <v>145.81</v>
      </c>
      <c r="AM276" s="107">
        <v>197.35</v>
      </c>
      <c r="AN276" s="107">
        <v>232.93</v>
      </c>
      <c r="AO276" s="107">
        <v>351.04</v>
      </c>
      <c r="AP276" s="107">
        <v>481.6</v>
      </c>
      <c r="AQ276" s="107">
        <v>284.77999999999997</v>
      </c>
      <c r="AR276" s="107">
        <v>389.69</v>
      </c>
      <c r="AS276" s="107">
        <v>478.39</v>
      </c>
      <c r="AT276" s="107">
        <v>227</v>
      </c>
      <c r="AU276" s="107">
        <v>315</v>
      </c>
      <c r="AV276" s="107">
        <v>373</v>
      </c>
    </row>
    <row r="277" spans="1:48" ht="30" customHeight="1" outlineLevel="2">
      <c r="A277" s="116" t="s">
        <v>784</v>
      </c>
      <c r="B277" s="126" t="s">
        <v>785</v>
      </c>
      <c r="C277" s="134" t="s">
        <v>242</v>
      </c>
      <c r="E277" s="105">
        <f t="shared" si="111"/>
        <v>45.947000000000003</v>
      </c>
      <c r="F277" s="105">
        <f t="shared" si="112"/>
        <v>143.42240000000001</v>
      </c>
      <c r="G277" s="105">
        <f t="shared" si="113"/>
        <v>256.22300000000001</v>
      </c>
      <c r="H277" s="106"/>
      <c r="I277" s="105">
        <f t="shared" si="114"/>
        <v>79.332000000000008</v>
      </c>
      <c r="J277" s="105">
        <f t="shared" si="115"/>
        <v>255.65320000000006</v>
      </c>
      <c r="K277" s="105">
        <f t="shared" si="116"/>
        <v>529.7600000000001</v>
      </c>
      <c r="N277" s="107">
        <f t="shared" si="96"/>
        <v>123.959</v>
      </c>
      <c r="O277" s="107">
        <f t="shared" si="97"/>
        <v>168.88300000000001</v>
      </c>
      <c r="P277" s="107">
        <f t="shared" si="98"/>
        <v>237.09400000000002</v>
      </c>
      <c r="R277" s="107">
        <f t="shared" si="99"/>
        <v>134.78300000000002</v>
      </c>
      <c r="S277" s="107">
        <f t="shared" si="100"/>
        <v>139.32599999999999</v>
      </c>
      <c r="T277" s="107">
        <f t="shared" si="101"/>
        <v>190.08000000000004</v>
      </c>
      <c r="V277" s="107">
        <f t="shared" si="102"/>
        <v>256.22300000000001</v>
      </c>
      <c r="W277" s="107">
        <f t="shared" si="103"/>
        <v>386.14400000000006</v>
      </c>
      <c r="X277" s="107">
        <f t="shared" si="104"/>
        <v>529.7600000000001</v>
      </c>
      <c r="Z277" s="107">
        <f t="shared" si="105"/>
        <v>45.947000000000003</v>
      </c>
      <c r="AA277" s="107">
        <f t="shared" si="106"/>
        <v>53.944000000000003</v>
      </c>
      <c r="AB277" s="107">
        <f t="shared" si="107"/>
        <v>79.332000000000008</v>
      </c>
      <c r="AD277" s="107">
        <f t="shared" si="108"/>
        <v>156.20000000000002</v>
      </c>
      <c r="AE277" s="107">
        <f t="shared" si="109"/>
        <v>205.70000000000002</v>
      </c>
      <c r="AF277" s="107">
        <f t="shared" si="110"/>
        <v>242.00000000000003</v>
      </c>
      <c r="AH277" s="107">
        <v>112.69</v>
      </c>
      <c r="AI277" s="107">
        <v>153.53</v>
      </c>
      <c r="AJ277" s="107">
        <v>215.54</v>
      </c>
      <c r="AK277" s="107">
        <v>122.53</v>
      </c>
      <c r="AL277" s="107">
        <v>126.66</v>
      </c>
      <c r="AM277" s="107">
        <v>172.8</v>
      </c>
      <c r="AN277" s="107">
        <v>232.93</v>
      </c>
      <c r="AO277" s="107">
        <v>351.04</v>
      </c>
      <c r="AP277" s="107">
        <v>481.6</v>
      </c>
      <c r="AQ277" s="107">
        <v>41.769999999999996</v>
      </c>
      <c r="AR277" s="107">
        <v>49.04</v>
      </c>
      <c r="AS277" s="107">
        <v>72.12</v>
      </c>
      <c r="AT277" s="107">
        <v>142</v>
      </c>
      <c r="AU277" s="107">
        <v>187</v>
      </c>
      <c r="AV277" s="107">
        <v>220</v>
      </c>
    </row>
    <row r="278" spans="1:48" ht="30" customHeight="1" outlineLevel="2">
      <c r="A278" s="116" t="s">
        <v>786</v>
      </c>
      <c r="B278" s="126" t="s">
        <v>787</v>
      </c>
      <c r="C278" s="134" t="s">
        <v>242</v>
      </c>
      <c r="E278" s="105">
        <f t="shared" si="111"/>
        <v>352.31900000000007</v>
      </c>
      <c r="F278" s="105">
        <f t="shared" si="112"/>
        <v>475.54980000000006</v>
      </c>
      <c r="G278" s="105">
        <f t="shared" si="113"/>
        <v>735.65800000000002</v>
      </c>
      <c r="H278" s="106"/>
      <c r="I278" s="105">
        <f t="shared" si="114"/>
        <v>656.07299999999998</v>
      </c>
      <c r="J278" s="105">
        <f t="shared" si="115"/>
        <v>867.21139999999991</v>
      </c>
      <c r="K278" s="105">
        <f t="shared" si="116"/>
        <v>1578.2910000000002</v>
      </c>
      <c r="N278" s="107">
        <f t="shared" si="96"/>
        <v>352.31900000000007</v>
      </c>
      <c r="O278" s="107">
        <f t="shared" si="97"/>
        <v>484.89100000000002</v>
      </c>
      <c r="P278" s="107">
        <f t="shared" si="98"/>
        <v>676.3130000000001</v>
      </c>
      <c r="R278" s="107">
        <f t="shared" si="99"/>
        <v>461.12</v>
      </c>
      <c r="S278" s="107">
        <f t="shared" si="100"/>
        <v>521.13600000000008</v>
      </c>
      <c r="T278" s="107">
        <f t="shared" si="101"/>
        <v>679.58</v>
      </c>
      <c r="V278" s="107">
        <f t="shared" si="102"/>
        <v>735.65800000000002</v>
      </c>
      <c r="W278" s="107">
        <f t="shared" si="103"/>
        <v>1162.8319999999999</v>
      </c>
      <c r="X278" s="107">
        <f t="shared" si="104"/>
        <v>1578.2910000000002</v>
      </c>
      <c r="Z278" s="107">
        <f t="shared" si="105"/>
        <v>391.952</v>
      </c>
      <c r="AA278" s="107">
        <f t="shared" si="106"/>
        <v>538.83500000000004</v>
      </c>
      <c r="AB278" s="107">
        <f t="shared" si="107"/>
        <v>656.07299999999998</v>
      </c>
      <c r="AD278" s="107">
        <f t="shared" si="108"/>
        <v>436.70000000000005</v>
      </c>
      <c r="AE278" s="107">
        <f t="shared" si="109"/>
        <v>625.90000000000009</v>
      </c>
      <c r="AF278" s="107">
        <f t="shared" si="110"/>
        <v>745.80000000000007</v>
      </c>
      <c r="AH278" s="107">
        <v>320.29000000000002</v>
      </c>
      <c r="AI278" s="107">
        <v>440.81</v>
      </c>
      <c r="AJ278" s="107">
        <v>614.83000000000004</v>
      </c>
      <c r="AK278" s="107">
        <v>419.2</v>
      </c>
      <c r="AL278" s="107">
        <v>473.76</v>
      </c>
      <c r="AM278" s="107">
        <v>617.79999999999995</v>
      </c>
      <c r="AN278" s="107">
        <v>668.78</v>
      </c>
      <c r="AO278" s="107">
        <v>1057.1199999999999</v>
      </c>
      <c r="AP278" s="107">
        <v>1434.81</v>
      </c>
      <c r="AQ278" s="107">
        <v>356.32</v>
      </c>
      <c r="AR278" s="107">
        <v>489.85</v>
      </c>
      <c r="AS278" s="107">
        <v>596.42999999999995</v>
      </c>
      <c r="AT278" s="107">
        <v>397</v>
      </c>
      <c r="AU278" s="107">
        <v>569</v>
      </c>
      <c r="AV278" s="107">
        <v>678</v>
      </c>
    </row>
    <row r="279" spans="1:48" ht="30" customHeight="1" outlineLevel="2">
      <c r="A279" s="116" t="s">
        <v>788</v>
      </c>
      <c r="B279" s="126" t="s">
        <v>789</v>
      </c>
      <c r="C279" s="134" t="s">
        <v>242</v>
      </c>
      <c r="E279" s="105">
        <f t="shared" si="111"/>
        <v>242.13200000000003</v>
      </c>
      <c r="F279" s="105">
        <f t="shared" si="112"/>
        <v>374.55</v>
      </c>
      <c r="G279" s="105">
        <f t="shared" si="113"/>
        <v>495.94600000000008</v>
      </c>
      <c r="H279" s="106"/>
      <c r="I279" s="105">
        <f t="shared" si="114"/>
        <v>460.69100000000003</v>
      </c>
      <c r="J279" s="105">
        <f t="shared" si="115"/>
        <v>662.25940000000014</v>
      </c>
      <c r="K279" s="105">
        <f t="shared" si="116"/>
        <v>1054.0530000000001</v>
      </c>
      <c r="N279" s="107">
        <f t="shared" si="96"/>
        <v>242.13200000000003</v>
      </c>
      <c r="O279" s="107">
        <f t="shared" si="97"/>
        <v>330.86900000000003</v>
      </c>
      <c r="P279" s="107">
        <f t="shared" si="98"/>
        <v>460.69100000000003</v>
      </c>
      <c r="R279" s="107">
        <f t="shared" si="99"/>
        <v>461.12</v>
      </c>
      <c r="S279" s="107">
        <f t="shared" si="100"/>
        <v>521.13600000000008</v>
      </c>
      <c r="T279" s="107">
        <f t="shared" si="101"/>
        <v>679.58</v>
      </c>
      <c r="V279" s="107">
        <f t="shared" si="102"/>
        <v>495.94600000000008</v>
      </c>
      <c r="W279" s="107">
        <f t="shared" si="103"/>
        <v>774.5100000000001</v>
      </c>
      <c r="X279" s="107">
        <f t="shared" si="104"/>
        <v>1054.0530000000001</v>
      </c>
      <c r="Z279" s="107">
        <f t="shared" si="105"/>
        <v>391.952</v>
      </c>
      <c r="AA279" s="107">
        <f t="shared" si="106"/>
        <v>538.83500000000004</v>
      </c>
      <c r="AB279" s="107">
        <f t="shared" si="107"/>
        <v>656.07299999999998</v>
      </c>
      <c r="AD279" s="107">
        <f t="shared" si="108"/>
        <v>281.60000000000002</v>
      </c>
      <c r="AE279" s="107">
        <f t="shared" si="109"/>
        <v>389.40000000000003</v>
      </c>
      <c r="AF279" s="107">
        <f t="shared" si="110"/>
        <v>460.90000000000003</v>
      </c>
      <c r="AH279" s="107">
        <v>220.12</v>
      </c>
      <c r="AI279" s="107">
        <v>300.79000000000002</v>
      </c>
      <c r="AJ279" s="107">
        <v>418.81</v>
      </c>
      <c r="AK279" s="107">
        <v>419.2</v>
      </c>
      <c r="AL279" s="107">
        <v>473.76</v>
      </c>
      <c r="AM279" s="107">
        <v>617.79999999999995</v>
      </c>
      <c r="AN279" s="107">
        <v>450.86</v>
      </c>
      <c r="AO279" s="107">
        <v>704.1</v>
      </c>
      <c r="AP279" s="107">
        <v>958.23</v>
      </c>
      <c r="AQ279" s="107">
        <v>356.32</v>
      </c>
      <c r="AR279" s="107">
        <v>489.85</v>
      </c>
      <c r="AS279" s="107">
        <v>596.42999999999995</v>
      </c>
      <c r="AT279" s="107">
        <v>256</v>
      </c>
      <c r="AU279" s="107">
        <v>354</v>
      </c>
      <c r="AV279" s="107">
        <v>419</v>
      </c>
    </row>
    <row r="280" spans="1:48" ht="30" customHeight="1" outlineLevel="2">
      <c r="A280" s="116" t="s">
        <v>790</v>
      </c>
      <c r="B280" s="118" t="s">
        <v>791</v>
      </c>
      <c r="C280" s="134" t="s">
        <v>242</v>
      </c>
      <c r="E280" s="105">
        <f t="shared" si="111"/>
        <v>151.34900000000002</v>
      </c>
      <c r="F280" s="105">
        <f t="shared" si="112"/>
        <v>190.67840000000001</v>
      </c>
      <c r="G280" s="105">
        <f t="shared" si="113"/>
        <v>240.9</v>
      </c>
      <c r="H280" s="106"/>
      <c r="I280" s="105">
        <f t="shared" si="114"/>
        <v>265.95800000000003</v>
      </c>
      <c r="J280" s="105">
        <f t="shared" si="115"/>
        <v>339.28399999999999</v>
      </c>
      <c r="K280" s="105">
        <f t="shared" si="116"/>
        <v>448.8</v>
      </c>
      <c r="N280" s="107">
        <f t="shared" si="96"/>
        <v>214.577</v>
      </c>
      <c r="O280" s="107">
        <f t="shared" si="97"/>
        <v>292.36900000000003</v>
      </c>
      <c r="P280" s="107">
        <f t="shared" si="98"/>
        <v>406.78000000000003</v>
      </c>
      <c r="R280" s="107">
        <f t="shared" si="99"/>
        <v>191.04800000000003</v>
      </c>
      <c r="S280" s="107">
        <f t="shared" si="100"/>
        <v>205.161</v>
      </c>
      <c r="T280" s="107">
        <f t="shared" si="101"/>
        <v>274.47200000000004</v>
      </c>
      <c r="V280" s="107">
        <f t="shared" si="102"/>
        <v>151.34900000000002</v>
      </c>
      <c r="W280" s="107">
        <f t="shared" si="103"/>
        <v>216.24900000000002</v>
      </c>
      <c r="X280" s="107">
        <f t="shared" si="104"/>
        <v>300.41000000000003</v>
      </c>
      <c r="Z280" s="107">
        <f t="shared" si="105"/>
        <v>155.518</v>
      </c>
      <c r="AA280" s="107">
        <f t="shared" si="106"/>
        <v>207.82300000000004</v>
      </c>
      <c r="AB280" s="107">
        <f t="shared" si="107"/>
        <v>265.95800000000003</v>
      </c>
      <c r="AD280" s="107">
        <f t="shared" si="108"/>
        <v>240.9</v>
      </c>
      <c r="AE280" s="107">
        <f t="shared" si="109"/>
        <v>367.40000000000003</v>
      </c>
      <c r="AF280" s="107">
        <f t="shared" si="110"/>
        <v>448.8</v>
      </c>
      <c r="AH280" s="107">
        <v>195.07</v>
      </c>
      <c r="AI280" s="107">
        <v>265.79000000000002</v>
      </c>
      <c r="AJ280" s="107">
        <v>369.8</v>
      </c>
      <c r="AK280" s="107">
        <v>173.68</v>
      </c>
      <c r="AL280" s="107">
        <v>186.51</v>
      </c>
      <c r="AM280" s="107">
        <v>249.52</v>
      </c>
      <c r="AN280" s="107">
        <v>137.59</v>
      </c>
      <c r="AO280" s="107">
        <v>196.59</v>
      </c>
      <c r="AP280" s="107">
        <v>273.10000000000002</v>
      </c>
      <c r="AQ280" s="107">
        <v>141.38</v>
      </c>
      <c r="AR280" s="107">
        <v>188.93</v>
      </c>
      <c r="AS280" s="107">
        <v>241.78</v>
      </c>
      <c r="AT280" s="107">
        <v>219</v>
      </c>
      <c r="AU280" s="107">
        <v>334</v>
      </c>
      <c r="AV280" s="107">
        <v>408</v>
      </c>
    </row>
    <row r="281" spans="1:48" ht="30" customHeight="1" outlineLevel="2">
      <c r="A281" s="116" t="s">
        <v>792</v>
      </c>
      <c r="B281" s="118" t="s">
        <v>793</v>
      </c>
      <c r="C281" s="134" t="s">
        <v>242</v>
      </c>
      <c r="E281" s="105">
        <f t="shared" si="111"/>
        <v>213.554</v>
      </c>
      <c r="F281" s="105">
        <f t="shared" si="112"/>
        <v>262.44900000000001</v>
      </c>
      <c r="G281" s="105">
        <f t="shared" si="113"/>
        <v>304.33700000000005</v>
      </c>
      <c r="H281" s="106"/>
      <c r="I281" s="105">
        <f t="shared" si="114"/>
        <v>308.23099999999999</v>
      </c>
      <c r="J281" s="105">
        <f t="shared" si="115"/>
        <v>473.36739999999998</v>
      </c>
      <c r="K281" s="105">
        <f t="shared" si="116"/>
        <v>568.50199999999995</v>
      </c>
      <c r="N281" s="107">
        <f t="shared" si="96"/>
        <v>297.22000000000003</v>
      </c>
      <c r="O281" s="107">
        <f t="shared" si="97"/>
        <v>407.88000000000005</v>
      </c>
      <c r="P281" s="107">
        <f t="shared" si="98"/>
        <v>568.50199999999995</v>
      </c>
      <c r="R281" s="107">
        <f t="shared" si="99"/>
        <v>213.554</v>
      </c>
      <c r="S281" s="107">
        <f t="shared" si="100"/>
        <v>231.48400000000001</v>
      </c>
      <c r="T281" s="107">
        <f t="shared" si="101"/>
        <v>308.23099999999999</v>
      </c>
      <c r="V281" s="107">
        <f t="shared" si="102"/>
        <v>256.23400000000004</v>
      </c>
      <c r="W281" s="107">
        <f t="shared" si="103"/>
        <v>386.16600000000005</v>
      </c>
      <c r="X281" s="107">
        <f t="shared" si="104"/>
        <v>529.79300000000001</v>
      </c>
      <c r="Z281" s="107">
        <f t="shared" si="105"/>
        <v>304.33700000000005</v>
      </c>
      <c r="AA281" s="107">
        <f t="shared" si="106"/>
        <v>416.17399999999998</v>
      </c>
      <c r="AB281" s="107">
        <f t="shared" si="107"/>
        <v>511.51100000000002</v>
      </c>
      <c r="AD281" s="107">
        <f t="shared" si="108"/>
        <v>240.9</v>
      </c>
      <c r="AE281" s="107">
        <f t="shared" si="109"/>
        <v>367.40000000000003</v>
      </c>
      <c r="AF281" s="107">
        <f t="shared" si="110"/>
        <v>448.8</v>
      </c>
      <c r="AH281" s="107">
        <v>270.2</v>
      </c>
      <c r="AI281" s="107">
        <v>370.8</v>
      </c>
      <c r="AJ281" s="107">
        <v>516.81999999999994</v>
      </c>
      <c r="AK281" s="107">
        <v>194.14</v>
      </c>
      <c r="AL281" s="107">
        <v>210.44</v>
      </c>
      <c r="AM281" s="107">
        <v>280.20999999999998</v>
      </c>
      <c r="AN281" s="107">
        <v>232.94</v>
      </c>
      <c r="AO281" s="107">
        <v>351.06</v>
      </c>
      <c r="AP281" s="107">
        <v>481.63</v>
      </c>
      <c r="AQ281" s="107">
        <v>276.67</v>
      </c>
      <c r="AR281" s="107">
        <v>378.34</v>
      </c>
      <c r="AS281" s="107">
        <v>465.01</v>
      </c>
      <c r="AT281" s="107">
        <v>219</v>
      </c>
      <c r="AU281" s="107">
        <v>334</v>
      </c>
      <c r="AV281" s="107">
        <v>408</v>
      </c>
    </row>
    <row r="282" spans="1:48" ht="30" customHeight="1" outlineLevel="2">
      <c r="A282" s="116" t="s">
        <v>794</v>
      </c>
      <c r="B282" s="118" t="s">
        <v>795</v>
      </c>
      <c r="C282" s="134" t="s">
        <v>242</v>
      </c>
      <c r="E282" s="105">
        <f t="shared" si="111"/>
        <v>91.124000000000009</v>
      </c>
      <c r="F282" s="105">
        <f t="shared" si="112"/>
        <v>194.76159999999999</v>
      </c>
      <c r="G282" s="105">
        <f t="shared" si="113"/>
        <v>344.3</v>
      </c>
      <c r="H282" s="106"/>
      <c r="I282" s="105">
        <f t="shared" si="114"/>
        <v>141.50399999999999</v>
      </c>
      <c r="J282" s="105">
        <f t="shared" si="115"/>
        <v>362.12220000000002</v>
      </c>
      <c r="K282" s="105">
        <f t="shared" si="116"/>
        <v>634.70000000000005</v>
      </c>
      <c r="N282" s="107">
        <f t="shared" si="96"/>
        <v>179.05800000000002</v>
      </c>
      <c r="O282" s="107">
        <f t="shared" si="97"/>
        <v>245.89400000000001</v>
      </c>
      <c r="P282" s="107">
        <f t="shared" si="98"/>
        <v>344.90500000000003</v>
      </c>
      <c r="R282" s="107">
        <f t="shared" si="99"/>
        <v>103.09200000000001</v>
      </c>
      <c r="S282" s="107">
        <f t="shared" si="100"/>
        <v>101.893</v>
      </c>
      <c r="T282" s="107">
        <f t="shared" si="101"/>
        <v>141.50399999999999</v>
      </c>
      <c r="V282" s="107">
        <f t="shared" si="102"/>
        <v>256.23400000000004</v>
      </c>
      <c r="W282" s="107">
        <f t="shared" si="103"/>
        <v>386.16600000000005</v>
      </c>
      <c r="X282" s="107">
        <f t="shared" si="104"/>
        <v>529.79300000000001</v>
      </c>
      <c r="Z282" s="107">
        <f t="shared" si="105"/>
        <v>91.124000000000009</v>
      </c>
      <c r="AA282" s="107">
        <f t="shared" si="106"/>
        <v>117.67800000000001</v>
      </c>
      <c r="AB282" s="107">
        <f t="shared" si="107"/>
        <v>159.709</v>
      </c>
      <c r="AD282" s="107">
        <f t="shared" si="108"/>
        <v>344.3</v>
      </c>
      <c r="AE282" s="107">
        <f t="shared" si="109"/>
        <v>522.5</v>
      </c>
      <c r="AF282" s="107">
        <f t="shared" si="110"/>
        <v>634.70000000000005</v>
      </c>
      <c r="AH282" s="107">
        <v>162.78</v>
      </c>
      <c r="AI282" s="107">
        <v>223.54</v>
      </c>
      <c r="AJ282" s="107">
        <v>313.55</v>
      </c>
      <c r="AK282" s="107">
        <v>93.72</v>
      </c>
      <c r="AL282" s="107">
        <v>92.63</v>
      </c>
      <c r="AM282" s="107">
        <v>128.63999999999999</v>
      </c>
      <c r="AN282" s="107">
        <v>232.94</v>
      </c>
      <c r="AO282" s="107">
        <v>351.06</v>
      </c>
      <c r="AP282" s="107">
        <v>481.63</v>
      </c>
      <c r="AQ282" s="107">
        <v>82.84</v>
      </c>
      <c r="AR282" s="107">
        <v>106.98</v>
      </c>
      <c r="AS282" s="107">
        <v>145.19</v>
      </c>
      <c r="AT282" s="107">
        <v>313</v>
      </c>
      <c r="AU282" s="107">
        <v>475</v>
      </c>
      <c r="AV282" s="107">
        <v>577</v>
      </c>
    </row>
    <row r="283" spans="1:48" ht="30" customHeight="1" outlineLevel="2">
      <c r="A283" s="116" t="s">
        <v>796</v>
      </c>
      <c r="B283" s="126" t="s">
        <v>797</v>
      </c>
      <c r="C283" s="134" t="s">
        <v>242</v>
      </c>
      <c r="E283" s="105">
        <f t="shared" si="111"/>
        <v>78.518000000000001</v>
      </c>
      <c r="F283" s="105">
        <f t="shared" si="112"/>
        <v>341.69960000000003</v>
      </c>
      <c r="G283" s="105">
        <f t="shared" si="113"/>
        <v>782.1</v>
      </c>
      <c r="H283" s="106"/>
      <c r="I283" s="105">
        <f t="shared" si="114"/>
        <v>105.67700000000001</v>
      </c>
      <c r="J283" s="105">
        <f t="shared" si="115"/>
        <v>616.30140000000006</v>
      </c>
      <c r="K283" s="105">
        <f t="shared" si="116"/>
        <v>1345.3000000000002</v>
      </c>
      <c r="N283" s="107">
        <f t="shared" si="96"/>
        <v>258.08200000000005</v>
      </c>
      <c r="O283" s="107">
        <f t="shared" si="97"/>
        <v>346.81900000000007</v>
      </c>
      <c r="P283" s="107">
        <f t="shared" si="98"/>
        <v>476.64100000000002</v>
      </c>
      <c r="R283" s="107">
        <f t="shared" si="99"/>
        <v>78.518000000000001</v>
      </c>
      <c r="S283" s="107">
        <f t="shared" si="100"/>
        <v>73.491000000000014</v>
      </c>
      <c r="T283" s="107">
        <f t="shared" si="101"/>
        <v>105.67700000000001</v>
      </c>
      <c r="V283" s="107">
        <f t="shared" si="102"/>
        <v>376.09000000000003</v>
      </c>
      <c r="W283" s="107">
        <f t="shared" si="103"/>
        <v>580.33800000000008</v>
      </c>
      <c r="X283" s="107">
        <f t="shared" si="104"/>
        <v>791.923</v>
      </c>
      <c r="Z283" s="107">
        <f t="shared" si="105"/>
        <v>213.70800000000003</v>
      </c>
      <c r="AA283" s="107">
        <f t="shared" si="106"/>
        <v>289.28900000000004</v>
      </c>
      <c r="AB283" s="107">
        <f t="shared" si="107"/>
        <v>361.96600000000001</v>
      </c>
      <c r="AD283" s="107">
        <f t="shared" si="108"/>
        <v>782.1</v>
      </c>
      <c r="AE283" s="107">
        <f t="shared" si="109"/>
        <v>1130.8000000000002</v>
      </c>
      <c r="AF283" s="107">
        <f t="shared" si="110"/>
        <v>1345.3000000000002</v>
      </c>
      <c r="AH283" s="107">
        <v>234.62</v>
      </c>
      <c r="AI283" s="107">
        <v>315.29000000000002</v>
      </c>
      <c r="AJ283" s="107">
        <v>433.31</v>
      </c>
      <c r="AK283" s="107">
        <v>71.38</v>
      </c>
      <c r="AL283" s="107">
        <v>66.81</v>
      </c>
      <c r="AM283" s="107">
        <v>96.07</v>
      </c>
      <c r="AN283" s="107">
        <v>341.9</v>
      </c>
      <c r="AO283" s="107">
        <v>527.58000000000004</v>
      </c>
      <c r="AP283" s="107">
        <v>719.93</v>
      </c>
      <c r="AQ283" s="107">
        <v>194.28</v>
      </c>
      <c r="AR283" s="107">
        <v>262.99</v>
      </c>
      <c r="AS283" s="107">
        <v>329.06</v>
      </c>
      <c r="AT283" s="107">
        <v>711</v>
      </c>
      <c r="AU283" s="107">
        <v>1028</v>
      </c>
      <c r="AV283" s="107">
        <v>1223</v>
      </c>
    </row>
    <row r="284" spans="1:48" ht="30" customHeight="1" outlineLevel="2">
      <c r="A284" s="116" t="s">
        <v>798</v>
      </c>
      <c r="B284" s="126" t="s">
        <v>799</v>
      </c>
      <c r="C284" s="134" t="s">
        <v>242</v>
      </c>
      <c r="E284" s="105">
        <f t="shared" si="111"/>
        <v>56.012000000000008</v>
      </c>
      <c r="F284" s="105">
        <f t="shared" si="112"/>
        <v>91.733400000000003</v>
      </c>
      <c r="G284" s="105">
        <f t="shared" si="113"/>
        <v>136.37800000000001</v>
      </c>
      <c r="H284" s="106"/>
      <c r="I284" s="105">
        <f t="shared" si="114"/>
        <v>71.918000000000006</v>
      </c>
      <c r="J284" s="105">
        <f t="shared" si="115"/>
        <v>170.1216</v>
      </c>
      <c r="K284" s="105">
        <f t="shared" si="116"/>
        <v>267.66300000000001</v>
      </c>
      <c r="N284" s="107">
        <f t="shared" si="96"/>
        <v>115.98400000000001</v>
      </c>
      <c r="O284" s="107">
        <f t="shared" si="97"/>
        <v>160.90800000000002</v>
      </c>
      <c r="P284" s="107">
        <f t="shared" si="98"/>
        <v>229.119</v>
      </c>
      <c r="R284" s="107">
        <f t="shared" si="99"/>
        <v>56.012000000000008</v>
      </c>
      <c r="S284" s="107">
        <f t="shared" si="100"/>
        <v>47.168000000000006</v>
      </c>
      <c r="T284" s="107">
        <f t="shared" si="101"/>
        <v>71.918000000000006</v>
      </c>
      <c r="V284" s="107">
        <f t="shared" si="102"/>
        <v>136.37800000000001</v>
      </c>
      <c r="W284" s="107">
        <f t="shared" si="103"/>
        <v>191.994</v>
      </c>
      <c r="X284" s="107">
        <f t="shared" si="104"/>
        <v>267.66300000000001</v>
      </c>
      <c r="Z284" s="107">
        <f t="shared" si="105"/>
        <v>83.192999999999998</v>
      </c>
      <c r="AA284" s="107">
        <f t="shared" si="106"/>
        <v>106.568</v>
      </c>
      <c r="AB284" s="107">
        <f t="shared" si="107"/>
        <v>146.608</v>
      </c>
      <c r="AD284" s="107">
        <f t="shared" si="108"/>
        <v>67.100000000000009</v>
      </c>
      <c r="AE284" s="107">
        <f t="shared" si="109"/>
        <v>106.7</v>
      </c>
      <c r="AF284" s="107">
        <f t="shared" si="110"/>
        <v>135.30000000000001</v>
      </c>
      <c r="AH284" s="107">
        <v>105.44</v>
      </c>
      <c r="AI284" s="107">
        <v>146.28</v>
      </c>
      <c r="AJ284" s="107">
        <v>208.29</v>
      </c>
      <c r="AK284" s="107">
        <v>50.92</v>
      </c>
      <c r="AL284" s="107">
        <v>42.88</v>
      </c>
      <c r="AM284" s="107">
        <v>65.38</v>
      </c>
      <c r="AN284" s="107">
        <v>123.98</v>
      </c>
      <c r="AO284" s="107">
        <v>174.54</v>
      </c>
      <c r="AP284" s="107">
        <v>243.33</v>
      </c>
      <c r="AQ284" s="107">
        <v>75.63</v>
      </c>
      <c r="AR284" s="107">
        <v>96.88</v>
      </c>
      <c r="AS284" s="107">
        <v>133.28</v>
      </c>
      <c r="AT284" s="107">
        <v>61</v>
      </c>
      <c r="AU284" s="107">
        <v>97</v>
      </c>
      <c r="AV284" s="107">
        <v>123</v>
      </c>
    </row>
    <row r="285" spans="1:48" ht="30" customHeight="1" outlineLevel="2">
      <c r="A285" s="116" t="s">
        <v>800</v>
      </c>
      <c r="B285" s="118" t="s">
        <v>801</v>
      </c>
      <c r="C285" s="134" t="s">
        <v>242</v>
      </c>
      <c r="E285" s="105">
        <f t="shared" si="111"/>
        <v>278.3</v>
      </c>
      <c r="F285" s="105">
        <f t="shared" si="112"/>
        <v>445.73100000000005</v>
      </c>
      <c r="G285" s="105">
        <f t="shared" si="113"/>
        <v>817.65200000000016</v>
      </c>
      <c r="H285" s="106"/>
      <c r="I285" s="105">
        <f t="shared" si="114"/>
        <v>515.51499999999999</v>
      </c>
      <c r="J285" s="105">
        <f t="shared" si="115"/>
        <v>759.61380000000008</v>
      </c>
      <c r="K285" s="105">
        <f t="shared" si="116"/>
        <v>1058.6180000000002</v>
      </c>
      <c r="N285" s="107">
        <f t="shared" si="96"/>
        <v>329.98900000000003</v>
      </c>
      <c r="O285" s="107">
        <f t="shared" si="97"/>
        <v>462.56100000000004</v>
      </c>
      <c r="P285" s="107">
        <f t="shared" si="98"/>
        <v>653.98300000000006</v>
      </c>
      <c r="R285" s="107">
        <f t="shared" si="99"/>
        <v>817.65200000000016</v>
      </c>
      <c r="S285" s="107">
        <f t="shared" si="100"/>
        <v>869.74800000000005</v>
      </c>
      <c r="T285" s="107">
        <f t="shared" si="101"/>
        <v>1058.6180000000002</v>
      </c>
      <c r="V285" s="107">
        <f t="shared" si="102"/>
        <v>495.94600000000008</v>
      </c>
      <c r="W285" s="107">
        <f t="shared" si="103"/>
        <v>774.5100000000001</v>
      </c>
      <c r="X285" s="107">
        <f t="shared" si="104"/>
        <v>1054.0530000000001</v>
      </c>
      <c r="Z285" s="107">
        <f t="shared" si="105"/>
        <v>306.76800000000003</v>
      </c>
      <c r="AA285" s="107">
        <f t="shared" si="106"/>
        <v>419.57300000000004</v>
      </c>
      <c r="AB285" s="107">
        <f t="shared" si="107"/>
        <v>515.51499999999999</v>
      </c>
      <c r="AD285" s="107">
        <f t="shared" si="108"/>
        <v>278.3</v>
      </c>
      <c r="AE285" s="107">
        <f t="shared" si="109"/>
        <v>423.50000000000006</v>
      </c>
      <c r="AF285" s="107">
        <f t="shared" si="110"/>
        <v>515.90000000000009</v>
      </c>
      <c r="AH285" s="107">
        <v>299.99</v>
      </c>
      <c r="AI285" s="107">
        <v>420.51</v>
      </c>
      <c r="AJ285" s="107">
        <v>594.53</v>
      </c>
      <c r="AK285" s="107">
        <v>743.32</v>
      </c>
      <c r="AL285" s="107">
        <v>790.68</v>
      </c>
      <c r="AM285" s="107">
        <v>962.38</v>
      </c>
      <c r="AN285" s="107">
        <v>450.86</v>
      </c>
      <c r="AO285" s="107">
        <v>704.1</v>
      </c>
      <c r="AP285" s="107">
        <v>958.23</v>
      </c>
      <c r="AQ285" s="107">
        <v>278.88</v>
      </c>
      <c r="AR285" s="107">
        <v>381.43</v>
      </c>
      <c r="AS285" s="107">
        <v>468.65</v>
      </c>
      <c r="AT285" s="107">
        <v>253</v>
      </c>
      <c r="AU285" s="107">
        <v>385</v>
      </c>
      <c r="AV285" s="107">
        <v>469</v>
      </c>
    </row>
    <row r="286" spans="1:48" ht="30" customHeight="1" outlineLevel="2">
      <c r="A286" s="116" t="s">
        <v>802</v>
      </c>
      <c r="B286" s="118" t="s">
        <v>803</v>
      </c>
      <c r="C286" s="134" t="s">
        <v>242</v>
      </c>
      <c r="E286" s="105">
        <f t="shared" si="111"/>
        <v>385.08800000000002</v>
      </c>
      <c r="F286" s="105">
        <f t="shared" si="112"/>
        <v>640.26819999999998</v>
      </c>
      <c r="G286" s="105">
        <f t="shared" si="113"/>
        <v>1042.712</v>
      </c>
      <c r="H286" s="106"/>
      <c r="I286" s="105">
        <f t="shared" si="114"/>
        <v>678.21600000000001</v>
      </c>
      <c r="J286" s="105">
        <f t="shared" si="115"/>
        <v>1113.6862000000001</v>
      </c>
      <c r="K286" s="105">
        <f t="shared" si="116"/>
        <v>1578.3130000000001</v>
      </c>
      <c r="N286" s="107">
        <f t="shared" si="96"/>
        <v>385.08800000000002</v>
      </c>
      <c r="O286" s="107">
        <f t="shared" si="97"/>
        <v>539.572</v>
      </c>
      <c r="P286" s="107">
        <f t="shared" si="98"/>
        <v>761.79399999999998</v>
      </c>
      <c r="R286" s="107">
        <f t="shared" si="99"/>
        <v>1042.712</v>
      </c>
      <c r="S286" s="107">
        <f t="shared" si="100"/>
        <v>1133.066</v>
      </c>
      <c r="T286" s="107">
        <f t="shared" si="101"/>
        <v>1396.2080000000001</v>
      </c>
      <c r="V286" s="107">
        <f t="shared" si="102"/>
        <v>735.66899999999998</v>
      </c>
      <c r="W286" s="107">
        <f t="shared" si="103"/>
        <v>1162.8540000000003</v>
      </c>
      <c r="X286" s="107">
        <f t="shared" si="104"/>
        <v>1578.3130000000001</v>
      </c>
      <c r="Z286" s="107">
        <f t="shared" si="105"/>
        <v>405.37200000000001</v>
      </c>
      <c r="AA286" s="107">
        <f t="shared" si="106"/>
        <v>557.62300000000005</v>
      </c>
      <c r="AB286" s="107">
        <f t="shared" si="107"/>
        <v>678.21600000000001</v>
      </c>
      <c r="AD286" s="107">
        <f t="shared" si="108"/>
        <v>632.5</v>
      </c>
      <c r="AE286" s="107">
        <f t="shared" si="109"/>
        <v>954.80000000000007</v>
      </c>
      <c r="AF286" s="107">
        <f t="shared" si="110"/>
        <v>1153.9000000000001</v>
      </c>
      <c r="AH286" s="107">
        <v>350.08</v>
      </c>
      <c r="AI286" s="107">
        <v>490.52</v>
      </c>
      <c r="AJ286" s="107">
        <v>692.54</v>
      </c>
      <c r="AK286" s="107">
        <v>947.92</v>
      </c>
      <c r="AL286" s="107">
        <v>1030.06</v>
      </c>
      <c r="AM286" s="107">
        <v>1269.28</v>
      </c>
      <c r="AN286" s="107">
        <v>668.79</v>
      </c>
      <c r="AO286" s="107">
        <v>1057.1400000000001</v>
      </c>
      <c r="AP286" s="107">
        <v>1434.83</v>
      </c>
      <c r="AQ286" s="107">
        <v>368.52</v>
      </c>
      <c r="AR286" s="107">
        <v>506.93</v>
      </c>
      <c r="AS286" s="107">
        <v>616.55999999999995</v>
      </c>
      <c r="AT286" s="107">
        <v>575</v>
      </c>
      <c r="AU286" s="107">
        <v>868</v>
      </c>
      <c r="AV286" s="107">
        <v>1049</v>
      </c>
    </row>
    <row r="287" spans="1:48" ht="30" customHeight="1" outlineLevel="2">
      <c r="A287" s="116" t="s">
        <v>804</v>
      </c>
      <c r="B287" s="118" t="s">
        <v>805</v>
      </c>
      <c r="C287" s="134" t="s">
        <v>242</v>
      </c>
      <c r="E287" s="105">
        <f t="shared" si="111"/>
        <v>122.10000000000001</v>
      </c>
      <c r="F287" s="105">
        <f t="shared" si="112"/>
        <v>181.87840000000003</v>
      </c>
      <c r="G287" s="105">
        <f t="shared" si="113"/>
        <v>256.23400000000004</v>
      </c>
      <c r="H287" s="106"/>
      <c r="I287" s="105">
        <f t="shared" si="114"/>
        <v>234.3</v>
      </c>
      <c r="J287" s="105">
        <f t="shared" si="115"/>
        <v>333.54419999999999</v>
      </c>
      <c r="K287" s="105">
        <f t="shared" si="116"/>
        <v>529.79300000000001</v>
      </c>
      <c r="N287" s="107">
        <f t="shared" si="96"/>
        <v>164.703</v>
      </c>
      <c r="O287" s="107">
        <f t="shared" si="97"/>
        <v>231.53900000000002</v>
      </c>
      <c r="P287" s="107">
        <f t="shared" si="98"/>
        <v>330.55</v>
      </c>
      <c r="R287" s="107">
        <f t="shared" si="99"/>
        <v>191.04800000000003</v>
      </c>
      <c r="S287" s="107">
        <f t="shared" si="100"/>
        <v>239.12899999999999</v>
      </c>
      <c r="T287" s="107">
        <f t="shared" si="101"/>
        <v>274.47200000000004</v>
      </c>
      <c r="V287" s="107">
        <f t="shared" si="102"/>
        <v>256.23400000000004</v>
      </c>
      <c r="W287" s="107">
        <f t="shared" si="103"/>
        <v>386.16600000000005</v>
      </c>
      <c r="X287" s="107">
        <f t="shared" si="104"/>
        <v>529.79300000000001</v>
      </c>
      <c r="Z287" s="107">
        <f t="shared" si="105"/>
        <v>175.30700000000002</v>
      </c>
      <c r="AA287" s="107">
        <f t="shared" si="106"/>
        <v>235.53200000000001</v>
      </c>
      <c r="AB287" s="107">
        <f t="shared" si="107"/>
        <v>298.60600000000005</v>
      </c>
      <c r="AD287" s="107">
        <f t="shared" si="108"/>
        <v>122.10000000000001</v>
      </c>
      <c r="AE287" s="107">
        <f t="shared" si="109"/>
        <v>189.20000000000002</v>
      </c>
      <c r="AF287" s="107">
        <f t="shared" si="110"/>
        <v>234.3</v>
      </c>
      <c r="AH287" s="107">
        <v>149.72999999999999</v>
      </c>
      <c r="AI287" s="107">
        <v>210.49</v>
      </c>
      <c r="AJ287" s="107">
        <v>300.5</v>
      </c>
      <c r="AK287" s="107">
        <v>173.68</v>
      </c>
      <c r="AL287" s="107">
        <v>217.39</v>
      </c>
      <c r="AM287" s="107">
        <v>249.52</v>
      </c>
      <c r="AN287" s="107">
        <v>232.94</v>
      </c>
      <c r="AO287" s="107">
        <v>351.06</v>
      </c>
      <c r="AP287" s="107">
        <v>481.63</v>
      </c>
      <c r="AQ287" s="107">
        <v>159.37</v>
      </c>
      <c r="AR287" s="107">
        <v>214.12</v>
      </c>
      <c r="AS287" s="107">
        <v>271.46000000000004</v>
      </c>
      <c r="AT287" s="107">
        <v>111</v>
      </c>
      <c r="AU287" s="107">
        <v>172</v>
      </c>
      <c r="AV287" s="107">
        <v>213</v>
      </c>
    </row>
    <row r="288" spans="1:48" ht="30" customHeight="1" outlineLevel="1">
      <c r="A288" s="109" t="s">
        <v>806</v>
      </c>
      <c r="B288" s="135" t="s">
        <v>807</v>
      </c>
      <c r="C288" s="111"/>
      <c r="N288" s="11" t="str">
        <f t="shared" si="96"/>
        <v/>
      </c>
      <c r="O288" s="11" t="str">
        <f t="shared" si="97"/>
        <v/>
      </c>
      <c r="P288" s="11" t="str">
        <f t="shared" si="98"/>
        <v/>
      </c>
      <c r="R288" s="11" t="str">
        <f t="shared" si="99"/>
        <v/>
      </c>
      <c r="S288" s="11" t="str">
        <f t="shared" si="100"/>
        <v/>
      </c>
      <c r="T288" s="11" t="str">
        <f t="shared" si="101"/>
        <v/>
      </c>
      <c r="V288" s="11" t="str">
        <f t="shared" si="102"/>
        <v/>
      </c>
      <c r="W288" s="11" t="str">
        <f t="shared" si="103"/>
        <v/>
      </c>
      <c r="X288" s="11" t="str">
        <f t="shared" si="104"/>
        <v/>
      </c>
      <c r="Z288" s="11" t="str">
        <f t="shared" si="105"/>
        <v/>
      </c>
      <c r="AA288" s="11" t="str">
        <f t="shared" si="106"/>
        <v/>
      </c>
      <c r="AB288" s="11" t="str">
        <f t="shared" si="107"/>
        <v/>
      </c>
      <c r="AD288" s="11" t="str">
        <f t="shared" si="108"/>
        <v/>
      </c>
      <c r="AE288" s="11" t="str">
        <f t="shared" si="109"/>
        <v/>
      </c>
      <c r="AF288" s="11" t="str">
        <f t="shared" si="110"/>
        <v/>
      </c>
    </row>
    <row r="289" spans="1:48" ht="30" customHeight="1" outlineLevel="2">
      <c r="A289" s="116" t="s">
        <v>808</v>
      </c>
      <c r="B289" s="126" t="s">
        <v>809</v>
      </c>
      <c r="C289" s="134" t="s">
        <v>242</v>
      </c>
      <c r="E289" s="105">
        <f t="shared" ref="E289:E295" si="117">MIN(N289,R289,V289,Z289,AD289)</f>
        <v>191.04800000000003</v>
      </c>
      <c r="F289" s="105">
        <f t="shared" ref="F289:F295" si="118">AVERAGE(N289,R289,V289,Z289,AD289)</f>
        <v>333.92919999999998</v>
      </c>
      <c r="G289" s="105">
        <f t="shared" ref="G289:G295" si="119">MAX(N289,R289,V289,Z289,AD289)</f>
        <v>415.39300000000003</v>
      </c>
      <c r="H289" s="106"/>
      <c r="I289" s="105">
        <f t="shared" ref="I289:I295" si="120">MIN(T289,X289,AB289,AF289,P289)</f>
        <v>274.47200000000004</v>
      </c>
      <c r="J289" s="105">
        <f t="shared" ref="J289:J295" si="121">AVERAGE(P289,T289,X289,AB289,AF289)</f>
        <v>606.83480000000009</v>
      </c>
      <c r="K289" s="105">
        <f t="shared" ref="K289:K295" si="122">MAX(P289,T289,X289,AB289,AF289)</f>
        <v>857.42800000000011</v>
      </c>
      <c r="N289" s="107">
        <f t="shared" si="96"/>
        <v>415.39300000000003</v>
      </c>
      <c r="O289" s="107">
        <f t="shared" si="97"/>
        <v>569.87700000000007</v>
      </c>
      <c r="P289" s="107">
        <f t="shared" si="98"/>
        <v>792.09900000000005</v>
      </c>
      <c r="R289" s="107">
        <f t="shared" si="99"/>
        <v>191.04800000000003</v>
      </c>
      <c r="S289" s="107">
        <f t="shared" si="100"/>
        <v>228.55800000000002</v>
      </c>
      <c r="T289" s="107">
        <f t="shared" si="101"/>
        <v>274.47200000000004</v>
      </c>
      <c r="V289" s="107">
        <f t="shared" si="102"/>
        <v>406.04300000000001</v>
      </c>
      <c r="W289" s="107">
        <f t="shared" si="103"/>
        <v>628.85900000000015</v>
      </c>
      <c r="X289" s="107">
        <f t="shared" si="104"/>
        <v>857.42800000000011</v>
      </c>
      <c r="Z289" s="107">
        <f t="shared" si="105"/>
        <v>283.16199999999998</v>
      </c>
      <c r="AA289" s="107">
        <f t="shared" si="106"/>
        <v>386.529</v>
      </c>
      <c r="AB289" s="107">
        <f t="shared" si="107"/>
        <v>476.57500000000005</v>
      </c>
      <c r="AD289" s="107">
        <f t="shared" si="108"/>
        <v>374.00000000000006</v>
      </c>
      <c r="AE289" s="107">
        <f t="shared" si="109"/>
        <v>532.40000000000009</v>
      </c>
      <c r="AF289" s="107">
        <f t="shared" si="110"/>
        <v>633.6</v>
      </c>
      <c r="AH289" s="107">
        <v>377.63</v>
      </c>
      <c r="AI289" s="107">
        <v>518.07000000000005</v>
      </c>
      <c r="AJ289" s="107">
        <v>720.09</v>
      </c>
      <c r="AK289" s="107">
        <v>173.68</v>
      </c>
      <c r="AL289" s="107">
        <v>207.78</v>
      </c>
      <c r="AM289" s="107">
        <v>249.52</v>
      </c>
      <c r="AN289" s="107">
        <v>369.13</v>
      </c>
      <c r="AO289" s="107">
        <v>571.69000000000005</v>
      </c>
      <c r="AP289" s="107">
        <v>779.48</v>
      </c>
      <c r="AQ289" s="107">
        <v>257.41999999999996</v>
      </c>
      <c r="AR289" s="107">
        <v>351.39</v>
      </c>
      <c r="AS289" s="107">
        <v>433.25</v>
      </c>
      <c r="AT289" s="107">
        <v>340</v>
      </c>
      <c r="AU289" s="107">
        <v>484</v>
      </c>
      <c r="AV289" s="107">
        <v>576</v>
      </c>
    </row>
    <row r="290" spans="1:48" ht="30" customHeight="1" outlineLevel="2">
      <c r="A290" s="116" t="s">
        <v>810</v>
      </c>
      <c r="B290" s="126" t="s">
        <v>811</v>
      </c>
      <c r="C290" s="134" t="s">
        <v>242</v>
      </c>
      <c r="E290" s="105">
        <f t="shared" si="117"/>
        <v>371.09600000000006</v>
      </c>
      <c r="F290" s="105">
        <f t="shared" si="118"/>
        <v>479.666</v>
      </c>
      <c r="G290" s="105">
        <f t="shared" si="119"/>
        <v>634.70000000000005</v>
      </c>
      <c r="H290" s="106"/>
      <c r="I290" s="105">
        <f t="shared" si="120"/>
        <v>544.5440000000001</v>
      </c>
      <c r="J290" s="105">
        <f t="shared" si="121"/>
        <v>840.82460000000015</v>
      </c>
      <c r="K290" s="105">
        <f t="shared" si="122"/>
        <v>1095.6000000000001</v>
      </c>
      <c r="N290" s="107">
        <f t="shared" si="96"/>
        <v>525.58000000000004</v>
      </c>
      <c r="O290" s="107">
        <f t="shared" si="97"/>
        <v>723.88800000000015</v>
      </c>
      <c r="P290" s="107">
        <f t="shared" si="98"/>
        <v>1007.7210000000001</v>
      </c>
      <c r="R290" s="107">
        <f t="shared" si="99"/>
        <v>371.09600000000006</v>
      </c>
      <c r="S290" s="107">
        <f t="shared" si="100"/>
        <v>462.62700000000001</v>
      </c>
      <c r="T290" s="107">
        <f t="shared" si="101"/>
        <v>544.5440000000001</v>
      </c>
      <c r="V290" s="107">
        <f t="shared" si="102"/>
        <v>465.97100000000006</v>
      </c>
      <c r="W290" s="107">
        <f t="shared" si="103"/>
        <v>725.94500000000016</v>
      </c>
      <c r="X290" s="107">
        <f t="shared" si="104"/>
        <v>988.50400000000002</v>
      </c>
      <c r="Z290" s="107">
        <f t="shared" si="105"/>
        <v>400.983</v>
      </c>
      <c r="AA290" s="107">
        <f t="shared" si="106"/>
        <v>515.58100000000002</v>
      </c>
      <c r="AB290" s="107">
        <f t="shared" si="107"/>
        <v>567.75400000000002</v>
      </c>
      <c r="AD290" s="107">
        <f t="shared" si="108"/>
        <v>634.70000000000005</v>
      </c>
      <c r="AE290" s="107">
        <f t="shared" si="109"/>
        <v>918.50000000000011</v>
      </c>
      <c r="AF290" s="107">
        <f t="shared" si="110"/>
        <v>1095.6000000000001</v>
      </c>
      <c r="AH290" s="107">
        <v>477.8</v>
      </c>
      <c r="AI290" s="107">
        <v>658.08</v>
      </c>
      <c r="AJ290" s="107">
        <v>916.11</v>
      </c>
      <c r="AK290" s="107">
        <v>337.36</v>
      </c>
      <c r="AL290" s="107">
        <v>420.57</v>
      </c>
      <c r="AM290" s="107">
        <v>495.04</v>
      </c>
      <c r="AN290" s="107">
        <v>423.61</v>
      </c>
      <c r="AO290" s="107">
        <v>659.95</v>
      </c>
      <c r="AP290" s="107">
        <v>898.64</v>
      </c>
      <c r="AQ290" s="107">
        <v>364.53</v>
      </c>
      <c r="AR290" s="107">
        <v>468.71</v>
      </c>
      <c r="AS290" s="107">
        <v>516.14</v>
      </c>
      <c r="AT290" s="107">
        <v>577</v>
      </c>
      <c r="AU290" s="107">
        <v>835</v>
      </c>
      <c r="AV290" s="107">
        <v>996</v>
      </c>
    </row>
    <row r="291" spans="1:48" ht="30" customHeight="1" outlineLevel="2">
      <c r="A291" s="116" t="s">
        <v>812</v>
      </c>
      <c r="B291" s="126" t="s">
        <v>813</v>
      </c>
      <c r="C291" s="134" t="s">
        <v>242</v>
      </c>
      <c r="E291" s="105">
        <f t="shared" si="117"/>
        <v>78.518000000000001</v>
      </c>
      <c r="F291" s="105">
        <f t="shared" si="118"/>
        <v>137.88719999999998</v>
      </c>
      <c r="G291" s="105">
        <f t="shared" si="119"/>
        <v>179.05800000000002</v>
      </c>
      <c r="H291" s="106"/>
      <c r="I291" s="105">
        <f t="shared" si="120"/>
        <v>105.67700000000001</v>
      </c>
      <c r="J291" s="105">
        <f t="shared" si="121"/>
        <v>240.79880000000003</v>
      </c>
      <c r="K291" s="105">
        <f t="shared" si="122"/>
        <v>344.90500000000003</v>
      </c>
      <c r="N291" s="107">
        <f t="shared" si="96"/>
        <v>179.05800000000002</v>
      </c>
      <c r="O291" s="107">
        <f t="shared" si="97"/>
        <v>245.89400000000001</v>
      </c>
      <c r="P291" s="107">
        <f t="shared" si="98"/>
        <v>344.90500000000003</v>
      </c>
      <c r="R291" s="107">
        <f t="shared" si="99"/>
        <v>78.518000000000001</v>
      </c>
      <c r="S291" s="107">
        <f t="shared" si="100"/>
        <v>82.26900000000002</v>
      </c>
      <c r="T291" s="107">
        <f t="shared" si="101"/>
        <v>105.67700000000001</v>
      </c>
      <c r="V291" s="107">
        <f t="shared" si="102"/>
        <v>151.33799999999999</v>
      </c>
      <c r="W291" s="107">
        <f t="shared" si="103"/>
        <v>216.23800000000003</v>
      </c>
      <c r="X291" s="107">
        <f t="shared" si="104"/>
        <v>300.399</v>
      </c>
      <c r="Z291" s="107">
        <f t="shared" si="105"/>
        <v>156.22200000000004</v>
      </c>
      <c r="AA291" s="107">
        <f t="shared" si="106"/>
        <v>208.81300000000002</v>
      </c>
      <c r="AB291" s="107">
        <f t="shared" si="107"/>
        <v>267.11300000000006</v>
      </c>
      <c r="AD291" s="107">
        <f t="shared" si="108"/>
        <v>124.30000000000001</v>
      </c>
      <c r="AE291" s="107">
        <f t="shared" si="109"/>
        <v>158.4</v>
      </c>
      <c r="AF291" s="107">
        <f t="shared" si="110"/>
        <v>185.9</v>
      </c>
      <c r="AH291" s="107">
        <v>162.78</v>
      </c>
      <c r="AI291" s="107">
        <v>223.54</v>
      </c>
      <c r="AJ291" s="107">
        <v>313.55</v>
      </c>
      <c r="AK291" s="107">
        <v>71.38</v>
      </c>
      <c r="AL291" s="107">
        <v>74.790000000000006</v>
      </c>
      <c r="AM291" s="107">
        <v>96.07</v>
      </c>
      <c r="AN291" s="107">
        <v>137.57999999999998</v>
      </c>
      <c r="AO291" s="107">
        <v>196.58</v>
      </c>
      <c r="AP291" s="107">
        <v>273.08999999999997</v>
      </c>
      <c r="AQ291" s="107">
        <v>142.02000000000001</v>
      </c>
      <c r="AR291" s="107">
        <v>189.83</v>
      </c>
      <c r="AS291" s="107">
        <v>242.83</v>
      </c>
      <c r="AT291" s="107">
        <v>113</v>
      </c>
      <c r="AU291" s="107">
        <v>144</v>
      </c>
      <c r="AV291" s="107">
        <v>169</v>
      </c>
    </row>
    <row r="292" spans="1:48" ht="30" customHeight="1" outlineLevel="2">
      <c r="A292" s="116" t="s">
        <v>814</v>
      </c>
      <c r="B292" s="126" t="s">
        <v>815</v>
      </c>
      <c r="C292" s="134" t="s">
        <v>242</v>
      </c>
      <c r="E292" s="105">
        <f t="shared" si="117"/>
        <v>123.53</v>
      </c>
      <c r="F292" s="105">
        <f t="shared" si="118"/>
        <v>190.1328</v>
      </c>
      <c r="G292" s="105">
        <f t="shared" si="119"/>
        <v>242.13200000000003</v>
      </c>
      <c r="H292" s="106"/>
      <c r="I292" s="105">
        <f t="shared" si="120"/>
        <v>173.19499999999999</v>
      </c>
      <c r="J292" s="105">
        <f t="shared" si="121"/>
        <v>347.94320000000005</v>
      </c>
      <c r="K292" s="105">
        <f t="shared" si="122"/>
        <v>460.69100000000003</v>
      </c>
      <c r="N292" s="107">
        <f t="shared" si="96"/>
        <v>242.13200000000003</v>
      </c>
      <c r="O292" s="107">
        <f t="shared" si="97"/>
        <v>330.86900000000003</v>
      </c>
      <c r="P292" s="107">
        <f t="shared" si="98"/>
        <v>460.69100000000003</v>
      </c>
      <c r="R292" s="107">
        <f t="shared" si="99"/>
        <v>123.53</v>
      </c>
      <c r="S292" s="107">
        <f t="shared" si="100"/>
        <v>140.78900000000002</v>
      </c>
      <c r="T292" s="107">
        <f t="shared" si="101"/>
        <v>173.19499999999999</v>
      </c>
      <c r="V292" s="107">
        <f t="shared" si="102"/>
        <v>214.28000000000003</v>
      </c>
      <c r="W292" s="107">
        <f t="shared" si="103"/>
        <v>318.20799999999997</v>
      </c>
      <c r="X292" s="107">
        <f t="shared" si="104"/>
        <v>438.04200000000009</v>
      </c>
      <c r="Z292" s="107">
        <f t="shared" si="105"/>
        <v>161.72200000000004</v>
      </c>
      <c r="AA292" s="107">
        <f t="shared" si="106"/>
        <v>216.51300000000003</v>
      </c>
      <c r="AB292" s="107">
        <f t="shared" si="107"/>
        <v>276.18800000000005</v>
      </c>
      <c r="AD292" s="107">
        <f t="shared" si="108"/>
        <v>209.00000000000003</v>
      </c>
      <c r="AE292" s="107">
        <f t="shared" si="109"/>
        <v>319</v>
      </c>
      <c r="AF292" s="107">
        <f t="shared" si="110"/>
        <v>391.6</v>
      </c>
      <c r="AH292" s="107">
        <v>220.12</v>
      </c>
      <c r="AI292" s="107">
        <v>300.79000000000002</v>
      </c>
      <c r="AJ292" s="107">
        <v>418.81</v>
      </c>
      <c r="AK292" s="107">
        <v>112.3</v>
      </c>
      <c r="AL292" s="107">
        <v>127.99000000000001</v>
      </c>
      <c r="AM292" s="107">
        <v>157.44999999999999</v>
      </c>
      <c r="AN292" s="107">
        <v>194.8</v>
      </c>
      <c r="AO292" s="107">
        <v>289.27999999999997</v>
      </c>
      <c r="AP292" s="107">
        <v>398.22</v>
      </c>
      <c r="AQ292" s="107">
        <v>147.02000000000001</v>
      </c>
      <c r="AR292" s="107">
        <v>196.83</v>
      </c>
      <c r="AS292" s="107">
        <v>251.08</v>
      </c>
      <c r="AT292" s="107">
        <v>190</v>
      </c>
      <c r="AU292" s="107">
        <v>290</v>
      </c>
      <c r="AV292" s="107">
        <v>356</v>
      </c>
    </row>
    <row r="293" spans="1:48" ht="30" customHeight="1" outlineLevel="2">
      <c r="A293" s="116" t="s">
        <v>816</v>
      </c>
      <c r="B293" s="126" t="s">
        <v>817</v>
      </c>
      <c r="C293" s="134" t="s">
        <v>242</v>
      </c>
      <c r="E293" s="105">
        <f t="shared" si="117"/>
        <v>106.7</v>
      </c>
      <c r="F293" s="105">
        <f t="shared" si="118"/>
        <v>200.45740000000004</v>
      </c>
      <c r="G293" s="105">
        <f t="shared" si="119"/>
        <v>336.83100000000002</v>
      </c>
      <c r="H293" s="106"/>
      <c r="I293" s="105">
        <f t="shared" si="120"/>
        <v>206.8</v>
      </c>
      <c r="J293" s="105">
        <f t="shared" si="121"/>
        <v>336.80020000000002</v>
      </c>
      <c r="K293" s="105">
        <f t="shared" si="122"/>
        <v>565.125</v>
      </c>
      <c r="N293" s="107">
        <f t="shared" si="96"/>
        <v>171.08300000000003</v>
      </c>
      <c r="O293" s="107">
        <f t="shared" si="97"/>
        <v>237.91900000000001</v>
      </c>
      <c r="P293" s="107">
        <f t="shared" si="98"/>
        <v>336.93000000000006</v>
      </c>
      <c r="R293" s="107">
        <f t="shared" si="99"/>
        <v>236.32400000000001</v>
      </c>
      <c r="S293" s="107">
        <f t="shared" si="100"/>
        <v>246.82900000000001</v>
      </c>
      <c r="T293" s="107">
        <f t="shared" si="101"/>
        <v>274.73599999999999</v>
      </c>
      <c r="V293" s="107">
        <f t="shared" si="102"/>
        <v>151.34900000000002</v>
      </c>
      <c r="W293" s="107">
        <f t="shared" si="103"/>
        <v>216.24900000000002</v>
      </c>
      <c r="X293" s="107">
        <f t="shared" si="104"/>
        <v>300.41000000000003</v>
      </c>
      <c r="Z293" s="107">
        <f t="shared" si="105"/>
        <v>336.83100000000002</v>
      </c>
      <c r="AA293" s="107">
        <f t="shared" si="106"/>
        <v>461.67</v>
      </c>
      <c r="AB293" s="107">
        <f t="shared" si="107"/>
        <v>565.125</v>
      </c>
      <c r="AD293" s="107">
        <f t="shared" si="108"/>
        <v>106.7</v>
      </c>
      <c r="AE293" s="107">
        <f t="shared" si="109"/>
        <v>166.10000000000002</v>
      </c>
      <c r="AF293" s="107">
        <f t="shared" si="110"/>
        <v>206.8</v>
      </c>
      <c r="AH293" s="107">
        <v>155.53</v>
      </c>
      <c r="AI293" s="107">
        <v>216.29</v>
      </c>
      <c r="AJ293" s="107">
        <v>306.3</v>
      </c>
      <c r="AK293" s="107">
        <v>214.84</v>
      </c>
      <c r="AL293" s="107">
        <v>224.39</v>
      </c>
      <c r="AM293" s="107">
        <v>249.76</v>
      </c>
      <c r="AN293" s="107">
        <v>137.59</v>
      </c>
      <c r="AO293" s="107">
        <v>196.59</v>
      </c>
      <c r="AP293" s="107">
        <v>273.10000000000002</v>
      </c>
      <c r="AQ293" s="107">
        <v>306.20999999999998</v>
      </c>
      <c r="AR293" s="107">
        <v>419.7</v>
      </c>
      <c r="AS293" s="107">
        <v>513.75</v>
      </c>
      <c r="AT293" s="107">
        <v>97</v>
      </c>
      <c r="AU293" s="107">
        <v>151</v>
      </c>
      <c r="AV293" s="107">
        <v>188</v>
      </c>
    </row>
    <row r="294" spans="1:48" ht="30" customHeight="1" outlineLevel="2">
      <c r="A294" s="116" t="s">
        <v>818</v>
      </c>
      <c r="B294" s="118" t="s">
        <v>819</v>
      </c>
      <c r="C294" s="134" t="s">
        <v>242</v>
      </c>
      <c r="E294" s="105">
        <f t="shared" si="117"/>
        <v>92.02600000000001</v>
      </c>
      <c r="F294" s="105">
        <f t="shared" si="118"/>
        <v>188.8458</v>
      </c>
      <c r="G294" s="105">
        <f t="shared" si="119"/>
        <v>280.5</v>
      </c>
      <c r="H294" s="106"/>
      <c r="I294" s="105">
        <f t="shared" si="120"/>
        <v>125.92800000000001</v>
      </c>
      <c r="J294" s="105">
        <f t="shared" si="121"/>
        <v>352.93500000000006</v>
      </c>
      <c r="K294" s="105">
        <f t="shared" si="122"/>
        <v>529.79300000000001</v>
      </c>
      <c r="N294" s="107">
        <f t="shared" si="96"/>
        <v>164.703</v>
      </c>
      <c r="O294" s="107">
        <f t="shared" si="97"/>
        <v>231.53900000000002</v>
      </c>
      <c r="P294" s="107">
        <f t="shared" si="98"/>
        <v>330.55</v>
      </c>
      <c r="R294" s="107">
        <f t="shared" si="99"/>
        <v>92.02600000000001</v>
      </c>
      <c r="S294" s="107">
        <f t="shared" si="100"/>
        <v>99.825000000000003</v>
      </c>
      <c r="T294" s="107">
        <f t="shared" si="101"/>
        <v>125.92800000000001</v>
      </c>
      <c r="V294" s="107">
        <f t="shared" si="102"/>
        <v>256.23400000000004</v>
      </c>
      <c r="W294" s="107">
        <f t="shared" si="103"/>
        <v>386.16600000000005</v>
      </c>
      <c r="X294" s="107">
        <f t="shared" si="104"/>
        <v>529.79300000000001</v>
      </c>
      <c r="Z294" s="107">
        <f t="shared" si="105"/>
        <v>150.76600000000002</v>
      </c>
      <c r="AA294" s="107">
        <f t="shared" si="106"/>
        <v>201.16800000000001</v>
      </c>
      <c r="AB294" s="107">
        <f t="shared" si="107"/>
        <v>258.10399999999998</v>
      </c>
      <c r="AD294" s="107">
        <f t="shared" si="108"/>
        <v>280.5</v>
      </c>
      <c r="AE294" s="107">
        <f t="shared" si="109"/>
        <v>426.8</v>
      </c>
      <c r="AF294" s="107">
        <f t="shared" si="110"/>
        <v>520.30000000000007</v>
      </c>
      <c r="AH294" s="107">
        <v>149.72999999999999</v>
      </c>
      <c r="AI294" s="107">
        <v>210.49</v>
      </c>
      <c r="AJ294" s="107">
        <v>300.5</v>
      </c>
      <c r="AK294" s="107">
        <v>83.66</v>
      </c>
      <c r="AL294" s="107">
        <v>90.75</v>
      </c>
      <c r="AM294" s="107">
        <v>114.48</v>
      </c>
      <c r="AN294" s="107">
        <v>232.94</v>
      </c>
      <c r="AO294" s="107">
        <v>351.06</v>
      </c>
      <c r="AP294" s="107">
        <v>481.63</v>
      </c>
      <c r="AQ294" s="107">
        <v>137.06</v>
      </c>
      <c r="AR294" s="107">
        <v>182.88</v>
      </c>
      <c r="AS294" s="107">
        <v>234.64</v>
      </c>
      <c r="AT294" s="107">
        <v>255</v>
      </c>
      <c r="AU294" s="107">
        <v>388</v>
      </c>
      <c r="AV294" s="107">
        <v>473</v>
      </c>
    </row>
    <row r="295" spans="1:48" ht="30" customHeight="1" outlineLevel="2" thickBot="1">
      <c r="A295" s="116" t="s">
        <v>820</v>
      </c>
      <c r="B295" s="118" t="s">
        <v>821</v>
      </c>
      <c r="C295" s="134" t="s">
        <v>242</v>
      </c>
      <c r="E295" s="105">
        <f t="shared" si="117"/>
        <v>54.505000000000003</v>
      </c>
      <c r="F295" s="105">
        <f t="shared" si="118"/>
        <v>75.917600000000022</v>
      </c>
      <c r="G295" s="105">
        <f t="shared" si="119"/>
        <v>103.4</v>
      </c>
      <c r="H295" s="106"/>
      <c r="I295" s="105">
        <f t="shared" si="120"/>
        <v>71.918000000000006</v>
      </c>
      <c r="J295" s="105">
        <f t="shared" si="121"/>
        <v>136.26140000000001</v>
      </c>
      <c r="K295" s="105">
        <f t="shared" si="122"/>
        <v>201.3</v>
      </c>
      <c r="N295" s="107">
        <f t="shared" si="96"/>
        <v>54.505000000000003</v>
      </c>
      <c r="O295" s="107">
        <f t="shared" si="97"/>
        <v>77.51700000000001</v>
      </c>
      <c r="P295" s="107">
        <f t="shared" si="98"/>
        <v>114.92800000000001</v>
      </c>
      <c r="R295" s="107">
        <f t="shared" si="99"/>
        <v>56.012000000000008</v>
      </c>
      <c r="S295" s="107">
        <f t="shared" si="100"/>
        <v>53.02000000000001</v>
      </c>
      <c r="T295" s="107">
        <f t="shared" si="101"/>
        <v>71.918000000000006</v>
      </c>
      <c r="V295" s="107">
        <f t="shared" si="102"/>
        <v>76.439000000000021</v>
      </c>
      <c r="W295" s="107">
        <f t="shared" si="103"/>
        <v>94.897000000000006</v>
      </c>
      <c r="X295" s="107">
        <f t="shared" si="104"/>
        <v>136.57599999999999</v>
      </c>
      <c r="Z295" s="107">
        <f t="shared" si="105"/>
        <v>89.232000000000014</v>
      </c>
      <c r="AA295" s="107">
        <f t="shared" si="106"/>
        <v>115.027</v>
      </c>
      <c r="AB295" s="107">
        <f t="shared" si="107"/>
        <v>156.58500000000001</v>
      </c>
      <c r="AD295" s="107">
        <f t="shared" si="108"/>
        <v>103.4</v>
      </c>
      <c r="AE295" s="107">
        <f t="shared" si="109"/>
        <v>160.60000000000002</v>
      </c>
      <c r="AF295" s="107">
        <f t="shared" si="110"/>
        <v>201.3</v>
      </c>
      <c r="AH295" s="107">
        <v>49.55</v>
      </c>
      <c r="AI295" s="107">
        <v>70.47</v>
      </c>
      <c r="AJ295" s="107">
        <v>104.48</v>
      </c>
      <c r="AK295" s="107">
        <v>50.92</v>
      </c>
      <c r="AL295" s="107">
        <v>48.2</v>
      </c>
      <c r="AM295" s="107">
        <v>65.38</v>
      </c>
      <c r="AN295" s="107">
        <v>69.490000000000009</v>
      </c>
      <c r="AO295" s="107">
        <v>86.27</v>
      </c>
      <c r="AP295" s="107">
        <v>124.16</v>
      </c>
      <c r="AQ295" s="107">
        <v>81.12</v>
      </c>
      <c r="AR295" s="107">
        <v>104.57</v>
      </c>
      <c r="AS295" s="107">
        <v>142.35</v>
      </c>
      <c r="AT295" s="107">
        <v>94</v>
      </c>
      <c r="AU295" s="107">
        <v>146</v>
      </c>
      <c r="AV295" s="107">
        <v>183</v>
      </c>
    </row>
    <row r="296" spans="1:48" ht="30" customHeight="1" thickBot="1">
      <c r="A296" s="96" t="s">
        <v>822</v>
      </c>
      <c r="B296" s="115" t="s">
        <v>823</v>
      </c>
      <c r="C296" s="98"/>
      <c r="N296" s="11" t="str">
        <f t="shared" si="96"/>
        <v/>
      </c>
      <c r="O296" s="11" t="str">
        <f t="shared" si="97"/>
        <v/>
      </c>
      <c r="P296" s="11" t="str">
        <f t="shared" si="98"/>
        <v/>
      </c>
      <c r="R296" s="11" t="str">
        <f t="shared" si="99"/>
        <v/>
      </c>
      <c r="S296" s="11" t="str">
        <f t="shared" si="100"/>
        <v/>
      </c>
      <c r="T296" s="11" t="str">
        <f t="shared" si="101"/>
        <v/>
      </c>
      <c r="V296" s="11" t="str">
        <f t="shared" si="102"/>
        <v/>
      </c>
      <c r="W296" s="11" t="str">
        <f t="shared" si="103"/>
        <v/>
      </c>
      <c r="X296" s="11" t="str">
        <f t="shared" si="104"/>
        <v/>
      </c>
      <c r="Z296" s="11" t="str">
        <f t="shared" si="105"/>
        <v/>
      </c>
      <c r="AA296" s="11" t="str">
        <f t="shared" si="106"/>
        <v/>
      </c>
      <c r="AB296" s="11" t="str">
        <f t="shared" si="107"/>
        <v/>
      </c>
      <c r="AD296" s="11" t="str">
        <f t="shared" si="108"/>
        <v/>
      </c>
      <c r="AE296" s="11" t="str">
        <f t="shared" si="109"/>
        <v/>
      </c>
      <c r="AF296" s="11" t="str">
        <f t="shared" si="110"/>
        <v/>
      </c>
    </row>
    <row r="297" spans="1:48" ht="30" customHeight="1" outlineLevel="1">
      <c r="A297" s="132" t="s">
        <v>824</v>
      </c>
      <c r="B297" s="133" t="s">
        <v>825</v>
      </c>
      <c r="C297" s="101"/>
      <c r="N297" s="11" t="str">
        <f t="shared" si="96"/>
        <v/>
      </c>
      <c r="O297" s="11" t="str">
        <f t="shared" si="97"/>
        <v/>
      </c>
      <c r="P297" s="11" t="str">
        <f t="shared" si="98"/>
        <v/>
      </c>
      <c r="R297" s="11" t="str">
        <f t="shared" si="99"/>
        <v/>
      </c>
      <c r="S297" s="11" t="str">
        <f t="shared" si="100"/>
        <v/>
      </c>
      <c r="T297" s="11" t="str">
        <f t="shared" si="101"/>
        <v/>
      </c>
      <c r="V297" s="11" t="str">
        <f t="shared" si="102"/>
        <v/>
      </c>
      <c r="W297" s="11" t="str">
        <f t="shared" si="103"/>
        <v/>
      </c>
      <c r="X297" s="11" t="str">
        <f t="shared" si="104"/>
        <v/>
      </c>
      <c r="Z297" s="11" t="str">
        <f t="shared" si="105"/>
        <v/>
      </c>
      <c r="AA297" s="11" t="str">
        <f t="shared" si="106"/>
        <v/>
      </c>
      <c r="AB297" s="11" t="str">
        <f t="shared" si="107"/>
        <v/>
      </c>
      <c r="AD297" s="11" t="str">
        <f t="shared" si="108"/>
        <v/>
      </c>
      <c r="AE297" s="11" t="str">
        <f t="shared" si="109"/>
        <v/>
      </c>
      <c r="AF297" s="11" t="str">
        <f t="shared" si="110"/>
        <v/>
      </c>
    </row>
    <row r="298" spans="1:48" ht="30" customHeight="1" outlineLevel="2">
      <c r="A298" s="116" t="s">
        <v>826</v>
      </c>
      <c r="B298" s="140" t="s">
        <v>827</v>
      </c>
      <c r="C298" s="134" t="s">
        <v>242</v>
      </c>
      <c r="E298" s="105">
        <f t="shared" ref="E298:E306" si="123">MIN(N298,R298,V298,Z298,AD298)</f>
        <v>42.196000000000005</v>
      </c>
      <c r="F298" s="105">
        <f t="shared" ref="F298:F306" si="124">AVERAGE(N298,R298,V298,Z298,AD298)</f>
        <v>59.496800000000007</v>
      </c>
      <c r="G298" s="105">
        <f t="shared" ref="G298:G306" si="125">MAX(N298,R298,V298,Z298,AD298)</f>
        <v>97.954999999999998</v>
      </c>
      <c r="H298" s="106"/>
      <c r="I298" s="105">
        <f t="shared" ref="I298:I306" si="126">MIN(T298,X298,AB298,AF298,P298)</f>
        <v>70.091999999999999</v>
      </c>
      <c r="J298" s="105">
        <f t="shared" ref="J298:J306" si="127">AVERAGE(P298,T298,X298,AB298,AF298)</f>
        <v>111.023</v>
      </c>
      <c r="K298" s="105">
        <f t="shared" ref="K298:K306" si="128">MAX(P298,T298,X298,AB298,AF298)</f>
        <v>228.72300000000001</v>
      </c>
      <c r="N298" s="107">
        <f t="shared" si="96"/>
        <v>97.954999999999998</v>
      </c>
      <c r="O298" s="107">
        <f t="shared" si="97"/>
        <v>139.18300000000002</v>
      </c>
      <c r="P298" s="107">
        <f t="shared" si="98"/>
        <v>228.72300000000001</v>
      </c>
      <c r="R298" s="107">
        <f t="shared" si="99"/>
        <v>63.272000000000006</v>
      </c>
      <c r="S298" s="107">
        <f t="shared" si="100"/>
        <v>62.458000000000006</v>
      </c>
      <c r="T298" s="107">
        <f t="shared" si="101"/>
        <v>82.808000000000007</v>
      </c>
      <c r="V298" s="107">
        <f t="shared" si="102"/>
        <v>50.061000000000007</v>
      </c>
      <c r="W298" s="107">
        <f t="shared" si="103"/>
        <v>52.173000000000002</v>
      </c>
      <c r="X298" s="107">
        <f t="shared" si="104"/>
        <v>78.89200000000001</v>
      </c>
      <c r="Z298" s="107">
        <f t="shared" si="105"/>
        <v>42.196000000000005</v>
      </c>
      <c r="AA298" s="107">
        <f t="shared" si="106"/>
        <v>40.997000000000007</v>
      </c>
      <c r="AB298" s="107">
        <f t="shared" si="107"/>
        <v>70.091999999999999</v>
      </c>
      <c r="AD298" s="107">
        <f t="shared" si="108"/>
        <v>44</v>
      </c>
      <c r="AE298" s="107">
        <f t="shared" si="109"/>
        <v>71.5</v>
      </c>
      <c r="AF298" s="107">
        <f t="shared" si="110"/>
        <v>94.600000000000009</v>
      </c>
      <c r="AH298" s="107">
        <v>89.05</v>
      </c>
      <c r="AI298" s="107">
        <v>126.53</v>
      </c>
      <c r="AJ298" s="107">
        <v>207.93</v>
      </c>
      <c r="AK298" s="107">
        <v>57.52</v>
      </c>
      <c r="AL298" s="107">
        <v>56.78</v>
      </c>
      <c r="AM298" s="107">
        <v>75.28</v>
      </c>
      <c r="AN298" s="107">
        <v>45.510000000000005</v>
      </c>
      <c r="AO298" s="107">
        <v>47.43</v>
      </c>
      <c r="AP298" s="107">
        <v>71.72</v>
      </c>
      <c r="AQ298" s="107">
        <v>38.36</v>
      </c>
      <c r="AR298" s="107">
        <v>37.270000000000003</v>
      </c>
      <c r="AS298" s="107">
        <v>63.72</v>
      </c>
      <c r="AT298" s="107">
        <v>40</v>
      </c>
      <c r="AU298" s="107">
        <v>65</v>
      </c>
      <c r="AV298" s="107">
        <v>86</v>
      </c>
    </row>
    <row r="299" spans="1:48" ht="30" customHeight="1" outlineLevel="2">
      <c r="A299" s="116" t="s">
        <v>828</v>
      </c>
      <c r="B299" s="140" t="s">
        <v>829</v>
      </c>
      <c r="C299" s="134" t="s">
        <v>242</v>
      </c>
      <c r="E299" s="105">
        <f t="shared" si="123"/>
        <v>18.700000000000003</v>
      </c>
      <c r="F299" s="105">
        <f t="shared" si="124"/>
        <v>31.231200000000001</v>
      </c>
      <c r="G299" s="105">
        <f t="shared" si="125"/>
        <v>52.118000000000009</v>
      </c>
      <c r="H299" s="106"/>
      <c r="I299" s="105">
        <f t="shared" si="126"/>
        <v>20.085999999999999</v>
      </c>
      <c r="J299" s="105">
        <f t="shared" si="127"/>
        <v>57.287999999999997</v>
      </c>
      <c r="K299" s="105">
        <f t="shared" si="128"/>
        <v>121.352</v>
      </c>
      <c r="N299" s="107">
        <f t="shared" si="96"/>
        <v>52.118000000000009</v>
      </c>
      <c r="O299" s="107">
        <f t="shared" si="97"/>
        <v>73.282000000000011</v>
      </c>
      <c r="P299" s="107">
        <f t="shared" si="98"/>
        <v>121.352</v>
      </c>
      <c r="R299" s="107">
        <f t="shared" si="99"/>
        <v>21.450000000000003</v>
      </c>
      <c r="S299" s="107">
        <f t="shared" si="100"/>
        <v>8.0960000000000001</v>
      </c>
      <c r="T299" s="107">
        <f t="shared" si="101"/>
        <v>20.085999999999999</v>
      </c>
      <c r="V299" s="107">
        <f t="shared" si="102"/>
        <v>32.087000000000003</v>
      </c>
      <c r="W299" s="107">
        <f t="shared" si="103"/>
        <v>23.045000000000002</v>
      </c>
      <c r="X299" s="107">
        <f t="shared" si="104"/>
        <v>39.57800000000001</v>
      </c>
      <c r="Z299" s="107">
        <f t="shared" si="105"/>
        <v>31.801000000000002</v>
      </c>
      <c r="AA299" s="107">
        <f t="shared" si="106"/>
        <v>29.161000000000005</v>
      </c>
      <c r="AB299" s="107">
        <f t="shared" si="107"/>
        <v>57.024000000000008</v>
      </c>
      <c r="AD299" s="107">
        <f t="shared" si="108"/>
        <v>18.700000000000003</v>
      </c>
      <c r="AE299" s="107">
        <f t="shared" si="109"/>
        <v>33</v>
      </c>
      <c r="AF299" s="107">
        <f t="shared" si="110"/>
        <v>48.400000000000006</v>
      </c>
      <c r="AH299" s="107">
        <v>47.38</v>
      </c>
      <c r="AI299" s="107">
        <v>66.62</v>
      </c>
      <c r="AJ299" s="107">
        <v>110.32</v>
      </c>
      <c r="AK299" s="107">
        <v>19.5</v>
      </c>
      <c r="AL299" s="107">
        <v>7.3599999999999994</v>
      </c>
      <c r="AM299" s="107">
        <v>18.259999999999998</v>
      </c>
      <c r="AN299" s="107">
        <v>29.17</v>
      </c>
      <c r="AO299" s="107">
        <v>20.95</v>
      </c>
      <c r="AP299" s="107">
        <v>35.980000000000004</v>
      </c>
      <c r="AQ299" s="107">
        <v>28.91</v>
      </c>
      <c r="AR299" s="107">
        <v>26.51</v>
      </c>
      <c r="AS299" s="107">
        <v>51.84</v>
      </c>
      <c r="AT299" s="107">
        <v>17</v>
      </c>
      <c r="AU299" s="107">
        <v>30</v>
      </c>
      <c r="AV299" s="107">
        <v>44</v>
      </c>
    </row>
    <row r="300" spans="1:48" ht="30" customHeight="1" outlineLevel="2">
      <c r="A300" s="116" t="s">
        <v>830</v>
      </c>
      <c r="B300" s="140" t="s">
        <v>831</v>
      </c>
      <c r="C300" s="134" t="s">
        <v>242</v>
      </c>
      <c r="E300" s="105">
        <f t="shared" si="123"/>
        <v>28.6</v>
      </c>
      <c r="F300" s="105">
        <f t="shared" si="124"/>
        <v>44.811799999999998</v>
      </c>
      <c r="G300" s="105">
        <f t="shared" si="125"/>
        <v>63.272000000000006</v>
      </c>
      <c r="H300" s="106"/>
      <c r="I300" s="105">
        <f t="shared" si="126"/>
        <v>57.024000000000008</v>
      </c>
      <c r="J300" s="105">
        <f t="shared" si="127"/>
        <v>80.429800000000014</v>
      </c>
      <c r="K300" s="105">
        <f t="shared" si="128"/>
        <v>121.352</v>
      </c>
      <c r="N300" s="107">
        <f t="shared" si="96"/>
        <v>52.118000000000009</v>
      </c>
      <c r="O300" s="107">
        <f t="shared" si="97"/>
        <v>73.282000000000011</v>
      </c>
      <c r="P300" s="107">
        <f t="shared" si="98"/>
        <v>121.352</v>
      </c>
      <c r="R300" s="107">
        <f t="shared" si="99"/>
        <v>63.272000000000006</v>
      </c>
      <c r="S300" s="107">
        <f t="shared" si="100"/>
        <v>62.458000000000006</v>
      </c>
      <c r="T300" s="107">
        <f t="shared" si="101"/>
        <v>82.808000000000007</v>
      </c>
      <c r="V300" s="107">
        <f t="shared" si="102"/>
        <v>48.268000000000001</v>
      </c>
      <c r="W300" s="107">
        <f t="shared" si="103"/>
        <v>49.258000000000003</v>
      </c>
      <c r="X300" s="107">
        <f t="shared" si="104"/>
        <v>74.965000000000018</v>
      </c>
      <c r="Z300" s="107">
        <f t="shared" si="105"/>
        <v>31.801000000000002</v>
      </c>
      <c r="AA300" s="107">
        <f t="shared" si="106"/>
        <v>29.161000000000005</v>
      </c>
      <c r="AB300" s="107">
        <f t="shared" si="107"/>
        <v>57.024000000000008</v>
      </c>
      <c r="AD300" s="107">
        <f t="shared" si="108"/>
        <v>28.6</v>
      </c>
      <c r="AE300" s="107">
        <f t="shared" si="109"/>
        <v>48.400000000000006</v>
      </c>
      <c r="AF300" s="107">
        <f t="shared" si="110"/>
        <v>66</v>
      </c>
      <c r="AH300" s="107">
        <v>47.38</v>
      </c>
      <c r="AI300" s="107">
        <v>66.62</v>
      </c>
      <c r="AJ300" s="107">
        <v>110.32</v>
      </c>
      <c r="AK300" s="107">
        <v>57.52</v>
      </c>
      <c r="AL300" s="107">
        <v>56.78</v>
      </c>
      <c r="AM300" s="107">
        <v>75.28</v>
      </c>
      <c r="AN300" s="107">
        <v>43.879999999999995</v>
      </c>
      <c r="AO300" s="107">
        <v>44.78</v>
      </c>
      <c r="AP300" s="107">
        <v>68.150000000000006</v>
      </c>
      <c r="AQ300" s="107">
        <v>28.91</v>
      </c>
      <c r="AR300" s="107">
        <v>26.51</v>
      </c>
      <c r="AS300" s="107">
        <v>51.84</v>
      </c>
      <c r="AT300" s="107">
        <v>26</v>
      </c>
      <c r="AU300" s="107">
        <v>44</v>
      </c>
      <c r="AV300" s="107">
        <v>60</v>
      </c>
    </row>
    <row r="301" spans="1:48" ht="30" customHeight="1" outlineLevel="2">
      <c r="A301" s="116" t="s">
        <v>832</v>
      </c>
      <c r="B301" s="140" t="s">
        <v>833</v>
      </c>
      <c r="C301" s="134" t="s">
        <v>242</v>
      </c>
      <c r="E301" s="105">
        <f t="shared" si="123"/>
        <v>18.700000000000003</v>
      </c>
      <c r="F301" s="105">
        <f t="shared" si="124"/>
        <v>49.183199999999999</v>
      </c>
      <c r="G301" s="105">
        <f t="shared" si="125"/>
        <v>80.025000000000006</v>
      </c>
      <c r="H301" s="106"/>
      <c r="I301" s="105">
        <f t="shared" si="126"/>
        <v>48.400000000000006</v>
      </c>
      <c r="J301" s="105">
        <f t="shared" si="127"/>
        <v>90.802800000000005</v>
      </c>
      <c r="K301" s="105">
        <f t="shared" si="128"/>
        <v>144.43000000000004</v>
      </c>
      <c r="N301" s="107">
        <f t="shared" si="96"/>
        <v>52.118000000000009</v>
      </c>
      <c r="O301" s="107">
        <f t="shared" si="97"/>
        <v>73.282000000000011</v>
      </c>
      <c r="P301" s="107">
        <f t="shared" si="98"/>
        <v>121.352</v>
      </c>
      <c r="R301" s="107">
        <f t="shared" si="99"/>
        <v>63.272000000000006</v>
      </c>
      <c r="S301" s="107">
        <f t="shared" si="100"/>
        <v>62.458000000000006</v>
      </c>
      <c r="T301" s="107">
        <f t="shared" si="101"/>
        <v>82.808000000000007</v>
      </c>
      <c r="V301" s="107">
        <f t="shared" si="102"/>
        <v>80.025000000000006</v>
      </c>
      <c r="W301" s="107">
        <f t="shared" si="103"/>
        <v>100.71600000000001</v>
      </c>
      <c r="X301" s="107">
        <f t="shared" si="104"/>
        <v>144.43000000000004</v>
      </c>
      <c r="Z301" s="107">
        <f t="shared" si="105"/>
        <v>31.801000000000002</v>
      </c>
      <c r="AA301" s="107">
        <f t="shared" si="106"/>
        <v>29.161000000000005</v>
      </c>
      <c r="AB301" s="107">
        <f t="shared" si="107"/>
        <v>57.024000000000008</v>
      </c>
      <c r="AD301" s="107">
        <f t="shared" si="108"/>
        <v>18.700000000000003</v>
      </c>
      <c r="AE301" s="107">
        <f t="shared" si="109"/>
        <v>33</v>
      </c>
      <c r="AF301" s="107">
        <f t="shared" si="110"/>
        <v>48.400000000000006</v>
      </c>
      <c r="AH301" s="107">
        <v>47.38</v>
      </c>
      <c r="AI301" s="107">
        <v>66.62</v>
      </c>
      <c r="AJ301" s="107">
        <v>110.32</v>
      </c>
      <c r="AK301" s="107">
        <v>57.52</v>
      </c>
      <c r="AL301" s="107">
        <v>56.78</v>
      </c>
      <c r="AM301" s="107">
        <v>75.28</v>
      </c>
      <c r="AN301" s="107">
        <v>72.75</v>
      </c>
      <c r="AO301" s="107">
        <v>91.56</v>
      </c>
      <c r="AP301" s="107">
        <v>131.30000000000001</v>
      </c>
      <c r="AQ301" s="107">
        <v>28.91</v>
      </c>
      <c r="AR301" s="107">
        <v>26.51</v>
      </c>
      <c r="AS301" s="107">
        <v>51.84</v>
      </c>
      <c r="AT301" s="107">
        <v>17</v>
      </c>
      <c r="AU301" s="107">
        <v>30</v>
      </c>
      <c r="AV301" s="107">
        <v>44</v>
      </c>
    </row>
    <row r="302" spans="1:48" ht="30" customHeight="1" outlineLevel="2">
      <c r="A302" s="116" t="s">
        <v>834</v>
      </c>
      <c r="B302" s="140" t="s">
        <v>835</v>
      </c>
      <c r="C302" s="134" t="s">
        <v>242</v>
      </c>
      <c r="E302" s="105">
        <f t="shared" si="123"/>
        <v>89.408000000000015</v>
      </c>
      <c r="F302" s="105">
        <f t="shared" si="124"/>
        <v>142.78880000000001</v>
      </c>
      <c r="G302" s="105">
        <f t="shared" si="125"/>
        <v>225.41200000000001</v>
      </c>
      <c r="H302" s="106"/>
      <c r="I302" s="105">
        <f t="shared" si="126"/>
        <v>122.01200000000001</v>
      </c>
      <c r="J302" s="105">
        <f t="shared" si="127"/>
        <v>269.32839999999999</v>
      </c>
      <c r="K302" s="105">
        <f t="shared" si="128"/>
        <v>512.83100000000002</v>
      </c>
      <c r="N302" s="107">
        <f t="shared" si="96"/>
        <v>225.41200000000001</v>
      </c>
      <c r="O302" s="107">
        <f t="shared" si="97"/>
        <v>317.72399999999999</v>
      </c>
      <c r="P302" s="107">
        <f t="shared" si="98"/>
        <v>512.83100000000002</v>
      </c>
      <c r="R302" s="107">
        <f t="shared" si="99"/>
        <v>89.408000000000015</v>
      </c>
      <c r="S302" s="107">
        <f t="shared" si="100"/>
        <v>96.426000000000002</v>
      </c>
      <c r="T302" s="107">
        <f t="shared" si="101"/>
        <v>122.01200000000001</v>
      </c>
      <c r="V302" s="107">
        <f t="shared" si="102"/>
        <v>142.351</v>
      </c>
      <c r="W302" s="107">
        <f t="shared" si="103"/>
        <v>201.685</v>
      </c>
      <c r="X302" s="107">
        <f t="shared" si="104"/>
        <v>280.74200000000002</v>
      </c>
      <c r="Z302" s="107">
        <f t="shared" si="105"/>
        <v>135.77300000000002</v>
      </c>
      <c r="AA302" s="107">
        <f t="shared" si="106"/>
        <v>147.46600000000001</v>
      </c>
      <c r="AB302" s="107">
        <f t="shared" si="107"/>
        <v>197.85700000000003</v>
      </c>
      <c r="AD302" s="107">
        <f t="shared" si="108"/>
        <v>121.00000000000001</v>
      </c>
      <c r="AE302" s="107">
        <f t="shared" si="109"/>
        <v>187.00000000000003</v>
      </c>
      <c r="AF302" s="107">
        <f t="shared" si="110"/>
        <v>233.20000000000002</v>
      </c>
      <c r="AH302" s="107">
        <v>204.92</v>
      </c>
      <c r="AI302" s="107">
        <v>288.83999999999997</v>
      </c>
      <c r="AJ302" s="107">
        <v>466.21</v>
      </c>
      <c r="AK302" s="107">
        <v>81.28</v>
      </c>
      <c r="AL302" s="107">
        <v>87.66</v>
      </c>
      <c r="AM302" s="107">
        <v>110.92</v>
      </c>
      <c r="AN302" s="107">
        <v>129.41</v>
      </c>
      <c r="AO302" s="107">
        <v>183.35</v>
      </c>
      <c r="AP302" s="107">
        <v>255.22</v>
      </c>
      <c r="AQ302" s="107">
        <v>123.43</v>
      </c>
      <c r="AR302" s="107">
        <v>134.06</v>
      </c>
      <c r="AS302" s="107">
        <v>179.87</v>
      </c>
      <c r="AT302" s="107">
        <v>110</v>
      </c>
      <c r="AU302" s="107">
        <v>170</v>
      </c>
      <c r="AV302" s="107">
        <v>212</v>
      </c>
    </row>
    <row r="303" spans="1:48" ht="30" customHeight="1" outlineLevel="2">
      <c r="A303" s="116" t="s">
        <v>836</v>
      </c>
      <c r="B303" s="140" t="s">
        <v>837</v>
      </c>
      <c r="C303" s="134" t="s">
        <v>242</v>
      </c>
      <c r="E303" s="105">
        <f t="shared" si="123"/>
        <v>206.8</v>
      </c>
      <c r="F303" s="105">
        <f t="shared" si="124"/>
        <v>252.97800000000001</v>
      </c>
      <c r="G303" s="105">
        <f t="shared" si="125"/>
        <v>314.88600000000002</v>
      </c>
      <c r="H303" s="106"/>
      <c r="I303" s="105">
        <f t="shared" si="126"/>
        <v>311.43200000000002</v>
      </c>
      <c r="J303" s="105">
        <f t="shared" si="127"/>
        <v>469.36560000000009</v>
      </c>
      <c r="K303" s="105">
        <f t="shared" si="128"/>
        <v>695.55200000000013</v>
      </c>
      <c r="N303" s="107">
        <f t="shared" si="96"/>
        <v>314.88600000000002</v>
      </c>
      <c r="O303" s="107">
        <f t="shared" si="97"/>
        <v>437.60200000000003</v>
      </c>
      <c r="P303" s="107">
        <f t="shared" si="98"/>
        <v>695.55200000000013</v>
      </c>
      <c r="R303" s="107">
        <f t="shared" si="99"/>
        <v>220.08800000000002</v>
      </c>
      <c r="S303" s="107">
        <f t="shared" si="100"/>
        <v>266.31</v>
      </c>
      <c r="T303" s="107">
        <f t="shared" si="101"/>
        <v>318.03200000000004</v>
      </c>
      <c r="V303" s="107">
        <f t="shared" si="102"/>
        <v>304.161</v>
      </c>
      <c r="W303" s="107">
        <f t="shared" si="103"/>
        <v>463.815</v>
      </c>
      <c r="X303" s="107">
        <f t="shared" si="104"/>
        <v>634.61199999999997</v>
      </c>
      <c r="Z303" s="107">
        <f t="shared" si="105"/>
        <v>218.95500000000004</v>
      </c>
      <c r="AA303" s="107">
        <f t="shared" si="106"/>
        <v>242.11</v>
      </c>
      <c r="AB303" s="107">
        <f t="shared" si="107"/>
        <v>311.43200000000002</v>
      </c>
      <c r="AD303" s="107">
        <f t="shared" si="108"/>
        <v>206.8</v>
      </c>
      <c r="AE303" s="107">
        <f t="shared" si="109"/>
        <v>315.70000000000005</v>
      </c>
      <c r="AF303" s="107">
        <f t="shared" si="110"/>
        <v>387.20000000000005</v>
      </c>
      <c r="AH303" s="107">
        <v>286.26</v>
      </c>
      <c r="AI303" s="107">
        <v>397.82</v>
      </c>
      <c r="AJ303" s="107">
        <v>632.32000000000005</v>
      </c>
      <c r="AK303" s="107">
        <v>200.08</v>
      </c>
      <c r="AL303" s="107">
        <v>242.1</v>
      </c>
      <c r="AM303" s="107">
        <v>289.12</v>
      </c>
      <c r="AN303" s="107">
        <v>276.51</v>
      </c>
      <c r="AO303" s="107">
        <v>421.65</v>
      </c>
      <c r="AP303" s="107">
        <v>576.91999999999996</v>
      </c>
      <c r="AQ303" s="107">
        <v>199.05</v>
      </c>
      <c r="AR303" s="107">
        <v>220.1</v>
      </c>
      <c r="AS303" s="107">
        <v>283.12</v>
      </c>
      <c r="AT303" s="107">
        <v>188</v>
      </c>
      <c r="AU303" s="107">
        <v>287</v>
      </c>
      <c r="AV303" s="107">
        <v>352</v>
      </c>
    </row>
    <row r="304" spans="1:48" ht="30" customHeight="1" outlineLevel="2">
      <c r="A304" s="116" t="s">
        <v>838</v>
      </c>
      <c r="B304" s="140" t="s">
        <v>839</v>
      </c>
      <c r="C304" s="134" t="s">
        <v>242</v>
      </c>
      <c r="E304" s="105">
        <f t="shared" si="123"/>
        <v>49.500000000000007</v>
      </c>
      <c r="F304" s="105">
        <f t="shared" si="124"/>
        <v>133.40140000000002</v>
      </c>
      <c r="G304" s="105">
        <f t="shared" si="125"/>
        <v>301.279</v>
      </c>
      <c r="H304" s="106"/>
      <c r="I304" s="105">
        <f t="shared" si="126"/>
        <v>104.50000000000001</v>
      </c>
      <c r="J304" s="105">
        <f t="shared" si="127"/>
        <v>266.62020000000001</v>
      </c>
      <c r="K304" s="105">
        <f t="shared" si="128"/>
        <v>681.93400000000008</v>
      </c>
      <c r="N304" s="107">
        <f t="shared" si="96"/>
        <v>301.279</v>
      </c>
      <c r="O304" s="107">
        <f t="shared" si="97"/>
        <v>423.995</v>
      </c>
      <c r="P304" s="107">
        <f t="shared" si="98"/>
        <v>681.93400000000008</v>
      </c>
      <c r="R304" s="107">
        <f t="shared" si="99"/>
        <v>101.02400000000002</v>
      </c>
      <c r="S304" s="107">
        <f t="shared" si="100"/>
        <v>111.52900000000001</v>
      </c>
      <c r="T304" s="107">
        <f t="shared" si="101"/>
        <v>139.43600000000001</v>
      </c>
      <c r="V304" s="107">
        <f t="shared" si="102"/>
        <v>79.431000000000012</v>
      </c>
      <c r="W304" s="107">
        <f t="shared" si="103"/>
        <v>99.737000000000009</v>
      </c>
      <c r="X304" s="107">
        <f t="shared" si="104"/>
        <v>143.12100000000004</v>
      </c>
      <c r="Z304" s="107">
        <f t="shared" si="105"/>
        <v>135.77300000000002</v>
      </c>
      <c r="AA304" s="107">
        <f t="shared" si="106"/>
        <v>147.46600000000001</v>
      </c>
      <c r="AB304" s="107">
        <f t="shared" si="107"/>
        <v>264.11</v>
      </c>
      <c r="AD304" s="107">
        <f t="shared" si="108"/>
        <v>49.500000000000007</v>
      </c>
      <c r="AE304" s="107">
        <f t="shared" si="109"/>
        <v>79.2</v>
      </c>
      <c r="AF304" s="107">
        <f t="shared" si="110"/>
        <v>104.50000000000001</v>
      </c>
      <c r="AH304" s="107">
        <v>273.89</v>
      </c>
      <c r="AI304" s="107">
        <v>385.45</v>
      </c>
      <c r="AJ304" s="107">
        <v>619.94000000000005</v>
      </c>
      <c r="AK304" s="107">
        <v>91.84</v>
      </c>
      <c r="AL304" s="107">
        <v>101.39</v>
      </c>
      <c r="AM304" s="107">
        <v>126.76</v>
      </c>
      <c r="AN304" s="107">
        <v>72.210000000000008</v>
      </c>
      <c r="AO304" s="107">
        <v>90.67</v>
      </c>
      <c r="AP304" s="107">
        <v>130.11000000000001</v>
      </c>
      <c r="AQ304" s="107">
        <v>123.43</v>
      </c>
      <c r="AR304" s="107">
        <v>134.06</v>
      </c>
      <c r="AS304" s="107">
        <v>240.1</v>
      </c>
      <c r="AT304" s="107">
        <v>45</v>
      </c>
      <c r="AU304" s="107">
        <v>72</v>
      </c>
      <c r="AV304" s="107">
        <v>95</v>
      </c>
    </row>
    <row r="305" spans="1:48" ht="30" customHeight="1" outlineLevel="2">
      <c r="A305" s="116" t="s">
        <v>840</v>
      </c>
      <c r="B305" s="140" t="s">
        <v>841</v>
      </c>
      <c r="C305" s="134" t="s">
        <v>242</v>
      </c>
      <c r="E305" s="105">
        <f t="shared" si="123"/>
        <v>453.20000000000005</v>
      </c>
      <c r="F305" s="105">
        <f t="shared" si="124"/>
        <v>1049.2350000000001</v>
      </c>
      <c r="G305" s="105">
        <f t="shared" si="125"/>
        <v>2273.8210000000004</v>
      </c>
      <c r="H305" s="106"/>
      <c r="I305" s="105">
        <f t="shared" si="126"/>
        <v>830.50000000000011</v>
      </c>
      <c r="J305" s="105">
        <f t="shared" si="127"/>
        <v>2000.1035999999999</v>
      </c>
      <c r="K305" s="105">
        <f t="shared" si="128"/>
        <v>5078.7330000000002</v>
      </c>
      <c r="N305" s="107">
        <f t="shared" si="96"/>
        <v>2273.8210000000004</v>
      </c>
      <c r="O305" s="107">
        <f t="shared" si="97"/>
        <v>3187.0520000000006</v>
      </c>
      <c r="P305" s="107">
        <f t="shared" si="98"/>
        <v>5078.7330000000002</v>
      </c>
      <c r="R305" s="107">
        <f t="shared" si="99"/>
        <v>731.19200000000012</v>
      </c>
      <c r="S305" s="107">
        <f t="shared" si="100"/>
        <v>930.75400000000002</v>
      </c>
      <c r="T305" s="107">
        <f t="shared" si="101"/>
        <v>1084.6880000000001</v>
      </c>
      <c r="V305" s="107">
        <f t="shared" si="102"/>
        <v>495.93500000000006</v>
      </c>
      <c r="W305" s="107">
        <f t="shared" si="103"/>
        <v>774.48800000000006</v>
      </c>
      <c r="X305" s="107">
        <f t="shared" si="104"/>
        <v>1054.0310000000002</v>
      </c>
      <c r="Z305" s="107">
        <f t="shared" si="105"/>
        <v>1292.027</v>
      </c>
      <c r="AA305" s="107">
        <f t="shared" si="106"/>
        <v>1709.0920000000001</v>
      </c>
      <c r="AB305" s="107">
        <f t="shared" si="107"/>
        <v>1952.566</v>
      </c>
      <c r="AD305" s="107">
        <f t="shared" si="108"/>
        <v>453.20000000000005</v>
      </c>
      <c r="AE305" s="107">
        <f t="shared" si="109"/>
        <v>685.30000000000007</v>
      </c>
      <c r="AF305" s="107">
        <f t="shared" si="110"/>
        <v>830.50000000000011</v>
      </c>
      <c r="AH305" s="107">
        <v>2067.11</v>
      </c>
      <c r="AI305" s="107">
        <v>2897.32</v>
      </c>
      <c r="AJ305" s="107">
        <v>4617.03</v>
      </c>
      <c r="AK305" s="107">
        <v>664.72</v>
      </c>
      <c r="AL305" s="107">
        <v>846.14</v>
      </c>
      <c r="AM305" s="107">
        <v>986.08</v>
      </c>
      <c r="AN305" s="107">
        <v>450.85</v>
      </c>
      <c r="AO305" s="107">
        <v>704.08</v>
      </c>
      <c r="AP305" s="107">
        <v>958.21</v>
      </c>
      <c r="AQ305" s="107">
        <v>1174.57</v>
      </c>
      <c r="AR305" s="107">
        <v>1553.72</v>
      </c>
      <c r="AS305" s="107">
        <v>1775.06</v>
      </c>
      <c r="AT305" s="107">
        <v>412</v>
      </c>
      <c r="AU305" s="107">
        <v>623</v>
      </c>
      <c r="AV305" s="107">
        <v>755</v>
      </c>
    </row>
    <row r="306" spans="1:48" ht="30" customHeight="1" outlineLevel="2">
      <c r="A306" s="102" t="s">
        <v>842</v>
      </c>
      <c r="B306" s="137" t="s">
        <v>843</v>
      </c>
      <c r="C306" s="136" t="s">
        <v>242</v>
      </c>
      <c r="E306" s="105">
        <f t="shared" si="123"/>
        <v>106.40300000000002</v>
      </c>
      <c r="F306" s="105">
        <f t="shared" si="124"/>
        <v>582.38620000000014</v>
      </c>
      <c r="G306" s="105">
        <f t="shared" si="125"/>
        <v>1225.2900000000002</v>
      </c>
      <c r="H306" s="106"/>
      <c r="I306" s="105">
        <f t="shared" si="126"/>
        <v>202.10300000000001</v>
      </c>
      <c r="J306" s="105">
        <f t="shared" si="127"/>
        <v>1099.4896000000001</v>
      </c>
      <c r="K306" s="105">
        <f t="shared" si="128"/>
        <v>2724.8430000000003</v>
      </c>
      <c r="N306" s="107">
        <f t="shared" si="96"/>
        <v>1225.2900000000002</v>
      </c>
      <c r="O306" s="107">
        <f t="shared" si="97"/>
        <v>1712.8650000000002</v>
      </c>
      <c r="P306" s="107">
        <f t="shared" si="98"/>
        <v>2724.8430000000003</v>
      </c>
      <c r="R306" s="107">
        <f t="shared" si="99"/>
        <v>585.99200000000008</v>
      </c>
      <c r="S306" s="107">
        <f t="shared" si="100"/>
        <v>741.99400000000003</v>
      </c>
      <c r="T306" s="107">
        <f t="shared" si="101"/>
        <v>866.88800000000015</v>
      </c>
      <c r="V306" s="107">
        <f t="shared" si="102"/>
        <v>106.40300000000002</v>
      </c>
      <c r="W306" s="107">
        <f t="shared" si="103"/>
        <v>143.429</v>
      </c>
      <c r="X306" s="107">
        <f t="shared" si="104"/>
        <v>202.10300000000001</v>
      </c>
      <c r="Z306" s="107">
        <f t="shared" si="105"/>
        <v>260.54600000000005</v>
      </c>
      <c r="AA306" s="107">
        <f t="shared" si="106"/>
        <v>289.43200000000002</v>
      </c>
      <c r="AB306" s="107">
        <f t="shared" si="107"/>
        <v>368.21400000000006</v>
      </c>
      <c r="AD306" s="107">
        <f t="shared" si="108"/>
        <v>733.7</v>
      </c>
      <c r="AE306" s="107">
        <f t="shared" si="109"/>
        <v>1106.6000000000001</v>
      </c>
      <c r="AF306" s="107">
        <f t="shared" si="110"/>
        <v>1335.4</v>
      </c>
      <c r="AH306" s="107">
        <v>1113.9000000000001</v>
      </c>
      <c r="AI306" s="107">
        <v>1557.15</v>
      </c>
      <c r="AJ306" s="107">
        <v>2477.13</v>
      </c>
      <c r="AK306" s="107">
        <v>532.72</v>
      </c>
      <c r="AL306" s="107">
        <v>674.54</v>
      </c>
      <c r="AM306" s="107">
        <v>788.08</v>
      </c>
      <c r="AN306" s="107">
        <v>96.73</v>
      </c>
      <c r="AO306" s="107">
        <v>130.38999999999999</v>
      </c>
      <c r="AP306" s="107">
        <v>183.73</v>
      </c>
      <c r="AQ306" s="107">
        <v>236.86</v>
      </c>
      <c r="AR306" s="107">
        <v>263.12</v>
      </c>
      <c r="AS306" s="107">
        <v>334.74</v>
      </c>
      <c r="AT306" s="107">
        <v>667</v>
      </c>
      <c r="AU306" s="107">
        <v>1006</v>
      </c>
      <c r="AV306" s="107">
        <v>1214</v>
      </c>
    </row>
    <row r="307" spans="1:48" ht="30" customHeight="1" outlineLevel="1">
      <c r="A307" s="109" t="s">
        <v>844</v>
      </c>
      <c r="B307" s="135" t="s">
        <v>845</v>
      </c>
      <c r="C307" s="111"/>
      <c r="N307" s="11" t="str">
        <f t="shared" si="96"/>
        <v/>
      </c>
      <c r="O307" s="11" t="str">
        <f t="shared" si="97"/>
        <v/>
      </c>
      <c r="P307" s="11" t="str">
        <f t="shared" si="98"/>
        <v/>
      </c>
      <c r="R307" s="11" t="str">
        <f t="shared" si="99"/>
        <v/>
      </c>
      <c r="S307" s="11" t="str">
        <f t="shared" si="100"/>
        <v/>
      </c>
      <c r="T307" s="11" t="str">
        <f t="shared" si="101"/>
        <v/>
      </c>
      <c r="V307" s="11" t="str">
        <f t="shared" si="102"/>
        <v/>
      </c>
      <c r="W307" s="11" t="str">
        <f t="shared" si="103"/>
        <v/>
      </c>
      <c r="X307" s="11" t="str">
        <f t="shared" si="104"/>
        <v/>
      </c>
      <c r="Z307" s="11" t="str">
        <f t="shared" si="105"/>
        <v/>
      </c>
      <c r="AA307" s="11" t="str">
        <f t="shared" si="106"/>
        <v/>
      </c>
      <c r="AB307" s="11" t="str">
        <f t="shared" si="107"/>
        <v/>
      </c>
      <c r="AD307" s="11" t="str">
        <f t="shared" si="108"/>
        <v/>
      </c>
      <c r="AE307" s="11" t="str">
        <f t="shared" si="109"/>
        <v/>
      </c>
      <c r="AF307" s="11" t="str">
        <f t="shared" si="110"/>
        <v/>
      </c>
    </row>
    <row r="308" spans="1:48" ht="30" customHeight="1" outlineLevel="2">
      <c r="A308" s="116" t="s">
        <v>846</v>
      </c>
      <c r="B308" s="140" t="s">
        <v>847</v>
      </c>
      <c r="C308" s="134" t="s">
        <v>242</v>
      </c>
      <c r="E308" s="105">
        <f t="shared" ref="E308:E315" si="129">MIN(N308,R308,V308,Z308,AD308)</f>
        <v>20.900000000000002</v>
      </c>
      <c r="F308" s="105">
        <f t="shared" ref="F308:F315" si="130">AVERAGE(N308,R308,V308,Z308,AD308)</f>
        <v>46.853400000000008</v>
      </c>
      <c r="G308" s="105">
        <f t="shared" ref="G308:G315" si="131">MAX(N308,R308,V308,Z308,AD308)</f>
        <v>97.954999999999998</v>
      </c>
      <c r="H308" s="106"/>
      <c r="I308" s="105">
        <f t="shared" ref="I308:I315" si="132">MIN(T308,X308,AB308,AF308,P308)</f>
        <v>42.196000000000005</v>
      </c>
      <c r="J308" s="105">
        <f t="shared" ref="J308:J315" si="133">AVERAGE(P308,T308,X308,AB308,AF308)</f>
        <v>88.294800000000009</v>
      </c>
      <c r="K308" s="105">
        <f t="shared" ref="K308:K315" si="134">MAX(P308,T308,X308,AB308,AF308)</f>
        <v>228.72300000000001</v>
      </c>
      <c r="N308" s="107">
        <f t="shared" si="96"/>
        <v>97.954999999999998</v>
      </c>
      <c r="O308" s="107">
        <f t="shared" si="97"/>
        <v>139.18300000000002</v>
      </c>
      <c r="P308" s="107">
        <f t="shared" si="98"/>
        <v>228.72300000000001</v>
      </c>
      <c r="R308" s="107">
        <f t="shared" si="99"/>
        <v>52.82200000000001</v>
      </c>
      <c r="S308" s="107">
        <f t="shared" si="100"/>
        <v>48.862000000000009</v>
      </c>
      <c r="T308" s="107">
        <f t="shared" si="101"/>
        <v>67.122000000000014</v>
      </c>
      <c r="V308" s="107">
        <f t="shared" si="102"/>
        <v>33.286000000000001</v>
      </c>
      <c r="W308" s="107">
        <f t="shared" si="103"/>
        <v>24.981000000000002</v>
      </c>
      <c r="X308" s="107">
        <f t="shared" si="104"/>
        <v>42.196000000000005</v>
      </c>
      <c r="Z308" s="107">
        <f t="shared" si="105"/>
        <v>29.304000000000002</v>
      </c>
      <c r="AA308" s="107">
        <f t="shared" si="106"/>
        <v>24.431000000000004</v>
      </c>
      <c r="AB308" s="107">
        <f t="shared" si="107"/>
        <v>50.633000000000003</v>
      </c>
      <c r="AD308" s="107">
        <f t="shared" si="108"/>
        <v>20.900000000000002</v>
      </c>
      <c r="AE308" s="107">
        <f t="shared" si="109"/>
        <v>37.400000000000006</v>
      </c>
      <c r="AF308" s="107">
        <f t="shared" si="110"/>
        <v>52.800000000000004</v>
      </c>
      <c r="AH308" s="107">
        <v>89.05</v>
      </c>
      <c r="AI308" s="107">
        <v>126.53</v>
      </c>
      <c r="AJ308" s="107">
        <v>207.93</v>
      </c>
      <c r="AK308" s="107">
        <v>48.02</v>
      </c>
      <c r="AL308" s="107">
        <v>44.42</v>
      </c>
      <c r="AM308" s="107">
        <v>61.02</v>
      </c>
      <c r="AN308" s="107">
        <v>30.259999999999998</v>
      </c>
      <c r="AO308" s="107">
        <v>22.71</v>
      </c>
      <c r="AP308" s="107">
        <v>38.36</v>
      </c>
      <c r="AQ308" s="107">
        <v>26.64</v>
      </c>
      <c r="AR308" s="107">
        <v>22.21</v>
      </c>
      <c r="AS308" s="107">
        <v>46.03</v>
      </c>
      <c r="AT308" s="107">
        <v>19</v>
      </c>
      <c r="AU308" s="107">
        <v>34</v>
      </c>
      <c r="AV308" s="107">
        <v>48</v>
      </c>
    </row>
    <row r="309" spans="1:48" ht="30" customHeight="1" outlineLevel="2">
      <c r="A309" s="116" t="s">
        <v>848</v>
      </c>
      <c r="B309" s="140" t="s">
        <v>849</v>
      </c>
      <c r="C309" s="134" t="s">
        <v>242</v>
      </c>
      <c r="E309" s="105">
        <f t="shared" si="129"/>
        <v>7.7000000000000011</v>
      </c>
      <c r="F309" s="105">
        <f t="shared" si="130"/>
        <v>27.075400000000002</v>
      </c>
      <c r="G309" s="105">
        <f t="shared" si="131"/>
        <v>52.118000000000009</v>
      </c>
      <c r="H309" s="106"/>
      <c r="I309" s="105">
        <f t="shared" si="132"/>
        <v>16.159000000000002</v>
      </c>
      <c r="J309" s="105">
        <f t="shared" si="133"/>
        <v>49.953200000000002</v>
      </c>
      <c r="K309" s="105">
        <f t="shared" si="134"/>
        <v>121.352</v>
      </c>
      <c r="N309" s="107">
        <f t="shared" si="96"/>
        <v>52.118000000000009</v>
      </c>
      <c r="O309" s="107">
        <f t="shared" si="97"/>
        <v>73.282000000000011</v>
      </c>
      <c r="P309" s="107">
        <f t="shared" si="98"/>
        <v>121.352</v>
      </c>
      <c r="R309" s="107">
        <f t="shared" si="99"/>
        <v>18.843</v>
      </c>
      <c r="S309" s="107">
        <f t="shared" si="100"/>
        <v>4.6970000000000001</v>
      </c>
      <c r="T309" s="107">
        <f t="shared" si="101"/>
        <v>16.159000000000002</v>
      </c>
      <c r="V309" s="107">
        <f t="shared" si="102"/>
        <v>29.084</v>
      </c>
      <c r="W309" s="107">
        <f t="shared" si="103"/>
        <v>18.183000000000003</v>
      </c>
      <c r="X309" s="107">
        <f t="shared" si="104"/>
        <v>33.022000000000006</v>
      </c>
      <c r="Z309" s="107">
        <f t="shared" si="105"/>
        <v>27.631999999999998</v>
      </c>
      <c r="AA309" s="107">
        <f t="shared" si="106"/>
        <v>24.431000000000004</v>
      </c>
      <c r="AB309" s="107">
        <f t="shared" si="107"/>
        <v>50.633000000000003</v>
      </c>
      <c r="AD309" s="107">
        <f t="shared" si="108"/>
        <v>7.7000000000000011</v>
      </c>
      <c r="AE309" s="107">
        <f t="shared" si="109"/>
        <v>17.600000000000001</v>
      </c>
      <c r="AF309" s="107">
        <f t="shared" si="110"/>
        <v>28.6</v>
      </c>
      <c r="AH309" s="107">
        <v>47.38</v>
      </c>
      <c r="AI309" s="107">
        <v>66.62</v>
      </c>
      <c r="AJ309" s="107">
        <v>110.32</v>
      </c>
      <c r="AK309" s="107">
        <v>17.13</v>
      </c>
      <c r="AL309" s="107">
        <v>4.2699999999999996</v>
      </c>
      <c r="AM309" s="107">
        <v>14.69</v>
      </c>
      <c r="AN309" s="107">
        <v>26.439999999999998</v>
      </c>
      <c r="AO309" s="107">
        <v>16.53</v>
      </c>
      <c r="AP309" s="107">
        <v>30.02</v>
      </c>
      <c r="AQ309" s="107">
        <v>25.119999999999997</v>
      </c>
      <c r="AR309" s="107">
        <v>22.21</v>
      </c>
      <c r="AS309" s="107">
        <v>46.03</v>
      </c>
      <c r="AT309" s="107">
        <v>7</v>
      </c>
      <c r="AU309" s="107">
        <v>16</v>
      </c>
      <c r="AV309" s="107">
        <v>26</v>
      </c>
    </row>
    <row r="310" spans="1:48" ht="30" customHeight="1" outlineLevel="2">
      <c r="A310" s="116" t="s">
        <v>850</v>
      </c>
      <c r="B310" s="140" t="s">
        <v>851</v>
      </c>
      <c r="C310" s="134" t="s">
        <v>242</v>
      </c>
      <c r="E310" s="105">
        <f t="shared" si="129"/>
        <v>13.200000000000001</v>
      </c>
      <c r="F310" s="105">
        <f t="shared" si="130"/>
        <v>29.2974</v>
      </c>
      <c r="G310" s="105">
        <f t="shared" si="131"/>
        <v>52.118000000000009</v>
      </c>
      <c r="H310" s="106"/>
      <c r="I310" s="105">
        <f t="shared" si="132"/>
        <v>20.085999999999999</v>
      </c>
      <c r="J310" s="105">
        <f t="shared" si="133"/>
        <v>54.029800000000002</v>
      </c>
      <c r="K310" s="105">
        <f t="shared" si="134"/>
        <v>121.352</v>
      </c>
      <c r="N310" s="107">
        <f t="shared" si="96"/>
        <v>52.118000000000009</v>
      </c>
      <c r="O310" s="107">
        <f t="shared" si="97"/>
        <v>73.282000000000011</v>
      </c>
      <c r="P310" s="107">
        <f t="shared" si="98"/>
        <v>121.352</v>
      </c>
      <c r="R310" s="107">
        <f t="shared" si="99"/>
        <v>21.450000000000003</v>
      </c>
      <c r="S310" s="107">
        <f t="shared" si="100"/>
        <v>8.0960000000000001</v>
      </c>
      <c r="T310" s="107">
        <f t="shared" si="101"/>
        <v>20.085999999999999</v>
      </c>
      <c r="V310" s="107">
        <f t="shared" si="102"/>
        <v>32.087000000000003</v>
      </c>
      <c r="W310" s="107">
        <f t="shared" si="103"/>
        <v>23.045000000000002</v>
      </c>
      <c r="X310" s="107">
        <f t="shared" si="104"/>
        <v>39.57800000000001</v>
      </c>
      <c r="Z310" s="107">
        <f t="shared" si="105"/>
        <v>27.631999999999998</v>
      </c>
      <c r="AA310" s="107">
        <f t="shared" si="106"/>
        <v>24.431000000000004</v>
      </c>
      <c r="AB310" s="107">
        <f t="shared" si="107"/>
        <v>50.633000000000003</v>
      </c>
      <c r="AD310" s="107">
        <f t="shared" si="108"/>
        <v>13.200000000000001</v>
      </c>
      <c r="AE310" s="107">
        <f t="shared" si="109"/>
        <v>25.3</v>
      </c>
      <c r="AF310" s="107">
        <f t="shared" si="110"/>
        <v>38.5</v>
      </c>
      <c r="AH310" s="107">
        <v>47.38</v>
      </c>
      <c r="AI310" s="107">
        <v>66.62</v>
      </c>
      <c r="AJ310" s="107">
        <v>110.32</v>
      </c>
      <c r="AK310" s="107">
        <v>19.5</v>
      </c>
      <c r="AL310" s="107">
        <v>7.3599999999999994</v>
      </c>
      <c r="AM310" s="107">
        <v>18.259999999999998</v>
      </c>
      <c r="AN310" s="107">
        <v>29.17</v>
      </c>
      <c r="AO310" s="107">
        <v>20.95</v>
      </c>
      <c r="AP310" s="107">
        <v>35.980000000000004</v>
      </c>
      <c r="AQ310" s="107">
        <v>25.119999999999997</v>
      </c>
      <c r="AR310" s="107">
        <v>22.21</v>
      </c>
      <c r="AS310" s="107">
        <v>46.03</v>
      </c>
      <c r="AT310" s="107">
        <v>12</v>
      </c>
      <c r="AU310" s="107">
        <v>23</v>
      </c>
      <c r="AV310" s="107">
        <v>35</v>
      </c>
    </row>
    <row r="311" spans="1:48" ht="30" customHeight="1" outlineLevel="2">
      <c r="A311" s="116" t="s">
        <v>852</v>
      </c>
      <c r="B311" s="140" t="s">
        <v>853</v>
      </c>
      <c r="C311" s="134" t="s">
        <v>242</v>
      </c>
      <c r="E311" s="105">
        <f t="shared" si="129"/>
        <v>14.3</v>
      </c>
      <c r="F311" s="105">
        <f t="shared" si="130"/>
        <v>32.232200000000006</v>
      </c>
      <c r="G311" s="105">
        <f t="shared" si="131"/>
        <v>52.118000000000009</v>
      </c>
      <c r="H311" s="106"/>
      <c r="I311" s="105">
        <f t="shared" si="132"/>
        <v>16.159000000000002</v>
      </c>
      <c r="J311" s="105">
        <f t="shared" si="133"/>
        <v>60.761799999999994</v>
      </c>
      <c r="K311" s="105">
        <f t="shared" si="134"/>
        <v>121.352</v>
      </c>
      <c r="N311" s="107">
        <f t="shared" si="96"/>
        <v>52.118000000000009</v>
      </c>
      <c r="O311" s="107">
        <f t="shared" si="97"/>
        <v>73.282000000000011</v>
      </c>
      <c r="P311" s="107">
        <f t="shared" si="98"/>
        <v>121.352</v>
      </c>
      <c r="R311" s="107">
        <f t="shared" si="99"/>
        <v>18.843</v>
      </c>
      <c r="S311" s="107">
        <f t="shared" si="100"/>
        <v>4.6970000000000001</v>
      </c>
      <c r="T311" s="107">
        <f t="shared" si="101"/>
        <v>16.159000000000002</v>
      </c>
      <c r="V311" s="107">
        <f t="shared" si="102"/>
        <v>48.268000000000001</v>
      </c>
      <c r="W311" s="107">
        <f t="shared" si="103"/>
        <v>49.258000000000003</v>
      </c>
      <c r="X311" s="107">
        <f t="shared" si="104"/>
        <v>74.965000000000018</v>
      </c>
      <c r="Z311" s="107">
        <f t="shared" si="105"/>
        <v>27.631999999999998</v>
      </c>
      <c r="AA311" s="107">
        <f t="shared" si="106"/>
        <v>24.431000000000004</v>
      </c>
      <c r="AB311" s="107">
        <f t="shared" si="107"/>
        <v>50.633000000000003</v>
      </c>
      <c r="AD311" s="107">
        <f t="shared" si="108"/>
        <v>14.3</v>
      </c>
      <c r="AE311" s="107">
        <f t="shared" si="109"/>
        <v>27.500000000000004</v>
      </c>
      <c r="AF311" s="107">
        <f t="shared" si="110"/>
        <v>40.700000000000003</v>
      </c>
      <c r="AH311" s="107">
        <v>47.38</v>
      </c>
      <c r="AI311" s="107">
        <v>66.62</v>
      </c>
      <c r="AJ311" s="107">
        <v>110.32</v>
      </c>
      <c r="AK311" s="107">
        <v>17.13</v>
      </c>
      <c r="AL311" s="107">
        <v>4.2699999999999996</v>
      </c>
      <c r="AM311" s="107">
        <v>14.69</v>
      </c>
      <c r="AN311" s="107">
        <v>43.879999999999995</v>
      </c>
      <c r="AO311" s="107">
        <v>44.78</v>
      </c>
      <c r="AP311" s="107">
        <v>68.150000000000006</v>
      </c>
      <c r="AQ311" s="107">
        <v>25.119999999999997</v>
      </c>
      <c r="AR311" s="107">
        <v>22.21</v>
      </c>
      <c r="AS311" s="107">
        <v>46.03</v>
      </c>
      <c r="AT311" s="107">
        <v>13</v>
      </c>
      <c r="AU311" s="107">
        <v>25</v>
      </c>
      <c r="AV311" s="107">
        <v>37</v>
      </c>
    </row>
    <row r="312" spans="1:48" ht="30" customHeight="1" outlineLevel="2">
      <c r="A312" s="116" t="s">
        <v>854</v>
      </c>
      <c r="B312" s="140" t="s">
        <v>855</v>
      </c>
      <c r="C312" s="134" t="s">
        <v>242</v>
      </c>
      <c r="E312" s="105">
        <f t="shared" si="129"/>
        <v>59.400000000000006</v>
      </c>
      <c r="F312" s="105">
        <f t="shared" si="130"/>
        <v>98.641400000000004</v>
      </c>
      <c r="G312" s="105">
        <f t="shared" si="131"/>
        <v>225.41200000000001</v>
      </c>
      <c r="H312" s="106"/>
      <c r="I312" s="105">
        <f t="shared" si="132"/>
        <v>82.808000000000007</v>
      </c>
      <c r="J312" s="105">
        <f t="shared" si="133"/>
        <v>206.45899999999997</v>
      </c>
      <c r="K312" s="105">
        <f t="shared" si="134"/>
        <v>512.83100000000002</v>
      </c>
      <c r="N312" s="107">
        <f t="shared" si="96"/>
        <v>225.41200000000001</v>
      </c>
      <c r="O312" s="107">
        <f t="shared" si="97"/>
        <v>317.72399999999999</v>
      </c>
      <c r="P312" s="107">
        <f t="shared" si="98"/>
        <v>512.83100000000002</v>
      </c>
      <c r="R312" s="107">
        <f t="shared" si="99"/>
        <v>63.272000000000006</v>
      </c>
      <c r="S312" s="107">
        <f t="shared" si="100"/>
        <v>62.458000000000006</v>
      </c>
      <c r="T312" s="107">
        <f t="shared" si="101"/>
        <v>82.808000000000007</v>
      </c>
      <c r="V312" s="107">
        <f t="shared" si="102"/>
        <v>84.216000000000008</v>
      </c>
      <c r="W312" s="107">
        <f t="shared" si="103"/>
        <v>107.50300000000001</v>
      </c>
      <c r="X312" s="107">
        <f t="shared" si="104"/>
        <v>153.60399999999998</v>
      </c>
      <c r="Z312" s="107">
        <f t="shared" si="105"/>
        <v>60.907000000000004</v>
      </c>
      <c r="AA312" s="107">
        <f t="shared" si="106"/>
        <v>119.075</v>
      </c>
      <c r="AB312" s="107">
        <f t="shared" si="107"/>
        <v>160.952</v>
      </c>
      <c r="AD312" s="107">
        <f t="shared" si="108"/>
        <v>59.400000000000006</v>
      </c>
      <c r="AE312" s="107">
        <f t="shared" si="109"/>
        <v>94.600000000000009</v>
      </c>
      <c r="AF312" s="107">
        <f t="shared" si="110"/>
        <v>122.10000000000001</v>
      </c>
      <c r="AH312" s="107">
        <v>204.92</v>
      </c>
      <c r="AI312" s="107">
        <v>288.83999999999997</v>
      </c>
      <c r="AJ312" s="107">
        <v>466.21</v>
      </c>
      <c r="AK312" s="107">
        <v>57.52</v>
      </c>
      <c r="AL312" s="107">
        <v>56.78</v>
      </c>
      <c r="AM312" s="107">
        <v>75.28</v>
      </c>
      <c r="AN312" s="107">
        <v>76.56</v>
      </c>
      <c r="AO312" s="107">
        <v>97.73</v>
      </c>
      <c r="AP312" s="107">
        <v>139.63999999999999</v>
      </c>
      <c r="AQ312" s="107">
        <v>55.37</v>
      </c>
      <c r="AR312" s="107">
        <v>108.25</v>
      </c>
      <c r="AS312" s="107">
        <v>146.32</v>
      </c>
      <c r="AT312" s="107">
        <v>54</v>
      </c>
      <c r="AU312" s="107">
        <v>86</v>
      </c>
      <c r="AV312" s="107">
        <v>111</v>
      </c>
    </row>
    <row r="313" spans="1:48" ht="30" customHeight="1" outlineLevel="2">
      <c r="A313" s="116" t="s">
        <v>856</v>
      </c>
      <c r="B313" s="140" t="s">
        <v>857</v>
      </c>
      <c r="C313" s="134" t="s">
        <v>242</v>
      </c>
      <c r="E313" s="105">
        <f t="shared" si="129"/>
        <v>50.655000000000001</v>
      </c>
      <c r="F313" s="105">
        <f t="shared" si="130"/>
        <v>152.23560000000003</v>
      </c>
      <c r="G313" s="105">
        <f t="shared" si="131"/>
        <v>301.279</v>
      </c>
      <c r="H313" s="106"/>
      <c r="I313" s="105">
        <f t="shared" si="132"/>
        <v>80.212000000000003</v>
      </c>
      <c r="J313" s="105">
        <f t="shared" si="133"/>
        <v>290.21960000000001</v>
      </c>
      <c r="K313" s="105">
        <f t="shared" si="134"/>
        <v>681.93400000000008</v>
      </c>
      <c r="N313" s="107">
        <f t="shared" si="96"/>
        <v>301.279</v>
      </c>
      <c r="O313" s="107">
        <f t="shared" si="97"/>
        <v>423.995</v>
      </c>
      <c r="P313" s="107">
        <f t="shared" si="98"/>
        <v>681.93400000000008</v>
      </c>
      <c r="R313" s="107">
        <f t="shared" si="99"/>
        <v>141.68000000000004</v>
      </c>
      <c r="S313" s="107">
        <f t="shared" si="100"/>
        <v>164.38400000000001</v>
      </c>
      <c r="T313" s="107">
        <f t="shared" si="101"/>
        <v>200.42000000000002</v>
      </c>
      <c r="V313" s="107">
        <f t="shared" si="102"/>
        <v>50.655000000000001</v>
      </c>
      <c r="W313" s="107">
        <f t="shared" si="103"/>
        <v>53.141000000000005</v>
      </c>
      <c r="X313" s="107">
        <f t="shared" si="104"/>
        <v>80.212000000000003</v>
      </c>
      <c r="Z313" s="107">
        <f t="shared" si="105"/>
        <v>177.36400000000003</v>
      </c>
      <c r="AA313" s="107">
        <f t="shared" si="106"/>
        <v>194.78800000000004</v>
      </c>
      <c r="AB313" s="107">
        <f t="shared" si="107"/>
        <v>311.43200000000002</v>
      </c>
      <c r="AD313" s="107">
        <f t="shared" si="108"/>
        <v>90.2</v>
      </c>
      <c r="AE313" s="107">
        <f t="shared" si="109"/>
        <v>140.80000000000001</v>
      </c>
      <c r="AF313" s="107">
        <f t="shared" si="110"/>
        <v>177.10000000000002</v>
      </c>
      <c r="AH313" s="107">
        <v>273.89</v>
      </c>
      <c r="AI313" s="107">
        <v>385.45</v>
      </c>
      <c r="AJ313" s="107">
        <v>619.94000000000005</v>
      </c>
      <c r="AK313" s="107">
        <v>128.80000000000001</v>
      </c>
      <c r="AL313" s="107">
        <v>149.44</v>
      </c>
      <c r="AM313" s="107">
        <v>182.2</v>
      </c>
      <c r="AN313" s="107">
        <v>46.05</v>
      </c>
      <c r="AO313" s="107">
        <v>48.31</v>
      </c>
      <c r="AP313" s="107">
        <v>72.92</v>
      </c>
      <c r="AQ313" s="107">
        <v>161.24</v>
      </c>
      <c r="AR313" s="107">
        <v>177.08</v>
      </c>
      <c r="AS313" s="107">
        <v>283.12</v>
      </c>
      <c r="AT313" s="107">
        <v>82</v>
      </c>
      <c r="AU313" s="107">
        <v>128</v>
      </c>
      <c r="AV313" s="107">
        <v>161</v>
      </c>
    </row>
    <row r="314" spans="1:48" ht="30" customHeight="1" outlineLevel="2">
      <c r="A314" s="116" t="s">
        <v>858</v>
      </c>
      <c r="B314" s="140" t="s">
        <v>859</v>
      </c>
      <c r="C314" s="134" t="s">
        <v>242</v>
      </c>
      <c r="E314" s="105">
        <f t="shared" si="129"/>
        <v>35.200000000000003</v>
      </c>
      <c r="F314" s="105">
        <f t="shared" si="130"/>
        <v>107.46560000000002</v>
      </c>
      <c r="G314" s="105">
        <f t="shared" si="131"/>
        <v>301.279</v>
      </c>
      <c r="H314" s="106"/>
      <c r="I314" s="105">
        <f t="shared" si="132"/>
        <v>71.918000000000006</v>
      </c>
      <c r="J314" s="105">
        <f t="shared" si="133"/>
        <v>216.32600000000002</v>
      </c>
      <c r="K314" s="105">
        <f t="shared" si="134"/>
        <v>681.93400000000008</v>
      </c>
      <c r="N314" s="107">
        <f t="shared" si="96"/>
        <v>301.279</v>
      </c>
      <c r="O314" s="107">
        <f t="shared" si="97"/>
        <v>423.995</v>
      </c>
      <c r="P314" s="107">
        <f t="shared" si="98"/>
        <v>681.93400000000008</v>
      </c>
      <c r="R314" s="107">
        <f t="shared" si="99"/>
        <v>56.012000000000008</v>
      </c>
      <c r="S314" s="107">
        <f t="shared" si="100"/>
        <v>53.02000000000001</v>
      </c>
      <c r="T314" s="107">
        <f t="shared" si="101"/>
        <v>71.918000000000006</v>
      </c>
      <c r="V314" s="107">
        <f t="shared" si="102"/>
        <v>50.655000000000001</v>
      </c>
      <c r="W314" s="107">
        <f t="shared" si="103"/>
        <v>53.141000000000005</v>
      </c>
      <c r="X314" s="107">
        <f t="shared" si="104"/>
        <v>80.212000000000003</v>
      </c>
      <c r="Z314" s="107">
        <f t="shared" si="105"/>
        <v>94.182000000000016</v>
      </c>
      <c r="AA314" s="107">
        <f t="shared" si="106"/>
        <v>100.14400000000002</v>
      </c>
      <c r="AB314" s="107">
        <f t="shared" si="107"/>
        <v>169.46600000000001</v>
      </c>
      <c r="AD314" s="107">
        <f t="shared" si="108"/>
        <v>35.200000000000003</v>
      </c>
      <c r="AE314" s="107">
        <f t="shared" si="109"/>
        <v>58.300000000000004</v>
      </c>
      <c r="AF314" s="107">
        <f t="shared" si="110"/>
        <v>78.100000000000009</v>
      </c>
      <c r="AH314" s="107">
        <v>273.89</v>
      </c>
      <c r="AI314" s="107">
        <v>385.45</v>
      </c>
      <c r="AJ314" s="107">
        <v>619.94000000000005</v>
      </c>
      <c r="AK314" s="107">
        <v>50.92</v>
      </c>
      <c r="AL314" s="107">
        <v>48.2</v>
      </c>
      <c r="AM314" s="107">
        <v>65.38</v>
      </c>
      <c r="AN314" s="107">
        <v>46.05</v>
      </c>
      <c r="AO314" s="107">
        <v>48.31</v>
      </c>
      <c r="AP314" s="107">
        <v>72.92</v>
      </c>
      <c r="AQ314" s="107">
        <v>85.62</v>
      </c>
      <c r="AR314" s="107">
        <v>91.04</v>
      </c>
      <c r="AS314" s="107">
        <v>154.06</v>
      </c>
      <c r="AT314" s="107">
        <v>32</v>
      </c>
      <c r="AU314" s="107">
        <v>53</v>
      </c>
      <c r="AV314" s="107">
        <v>71</v>
      </c>
    </row>
    <row r="315" spans="1:48" ht="30" customHeight="1" outlineLevel="2" thickBot="1">
      <c r="A315" s="102" t="s">
        <v>860</v>
      </c>
      <c r="B315" s="141" t="s">
        <v>861</v>
      </c>
      <c r="C315" s="136" t="s">
        <v>242</v>
      </c>
      <c r="E315" s="105">
        <f t="shared" si="129"/>
        <v>151.34900000000002</v>
      </c>
      <c r="F315" s="105">
        <f t="shared" si="130"/>
        <v>687.3592000000001</v>
      </c>
      <c r="G315" s="105">
        <f t="shared" si="131"/>
        <v>2273.8210000000004</v>
      </c>
      <c r="H315" s="106"/>
      <c r="I315" s="105">
        <f t="shared" si="132"/>
        <v>300.41000000000003</v>
      </c>
      <c r="J315" s="105">
        <f t="shared" si="133"/>
        <v>1398.6302000000001</v>
      </c>
      <c r="K315" s="105">
        <f t="shared" si="134"/>
        <v>5078.7330000000002</v>
      </c>
      <c r="N315" s="107">
        <f t="shared" si="96"/>
        <v>2273.8210000000004</v>
      </c>
      <c r="O315" s="107">
        <f t="shared" si="97"/>
        <v>3187.0520000000006</v>
      </c>
      <c r="P315" s="107">
        <f t="shared" si="98"/>
        <v>5078.7330000000002</v>
      </c>
      <c r="R315" s="107">
        <f t="shared" si="99"/>
        <v>371.09600000000006</v>
      </c>
      <c r="S315" s="107">
        <f t="shared" si="100"/>
        <v>462.62700000000001</v>
      </c>
      <c r="T315" s="107">
        <f t="shared" si="101"/>
        <v>544.5440000000001</v>
      </c>
      <c r="V315" s="107">
        <f t="shared" si="102"/>
        <v>151.34900000000002</v>
      </c>
      <c r="W315" s="107">
        <f t="shared" si="103"/>
        <v>216.24900000000002</v>
      </c>
      <c r="X315" s="107">
        <f t="shared" si="104"/>
        <v>300.41000000000003</v>
      </c>
      <c r="Z315" s="107">
        <f t="shared" si="105"/>
        <v>385.33000000000004</v>
      </c>
      <c r="AA315" s="107">
        <f t="shared" si="106"/>
        <v>431.39800000000002</v>
      </c>
      <c r="AB315" s="107">
        <f t="shared" si="107"/>
        <v>595.36400000000003</v>
      </c>
      <c r="AD315" s="107">
        <f t="shared" si="108"/>
        <v>255.20000000000002</v>
      </c>
      <c r="AE315" s="107">
        <f t="shared" si="109"/>
        <v>388.3</v>
      </c>
      <c r="AF315" s="107">
        <f t="shared" si="110"/>
        <v>474.1</v>
      </c>
      <c r="AH315" s="107">
        <v>2067.11</v>
      </c>
      <c r="AI315" s="107">
        <v>2897.32</v>
      </c>
      <c r="AJ315" s="107">
        <v>4617.03</v>
      </c>
      <c r="AK315" s="107">
        <v>337.36</v>
      </c>
      <c r="AL315" s="107">
        <v>420.57</v>
      </c>
      <c r="AM315" s="107">
        <v>495.04</v>
      </c>
      <c r="AN315" s="107">
        <v>137.59</v>
      </c>
      <c r="AO315" s="107">
        <v>196.59</v>
      </c>
      <c r="AP315" s="107">
        <v>273.10000000000002</v>
      </c>
      <c r="AQ315" s="107">
        <v>350.3</v>
      </c>
      <c r="AR315" s="107">
        <v>392.18</v>
      </c>
      <c r="AS315" s="107">
        <v>541.24</v>
      </c>
      <c r="AT315" s="107">
        <v>232</v>
      </c>
      <c r="AU315" s="107">
        <v>353</v>
      </c>
      <c r="AV315" s="107">
        <v>431</v>
      </c>
    </row>
    <row r="316" spans="1:48" ht="30" customHeight="1" thickBot="1">
      <c r="A316" s="96" t="s">
        <v>862</v>
      </c>
      <c r="B316" s="115" t="s">
        <v>863</v>
      </c>
      <c r="C316" s="98"/>
      <c r="N316" s="11" t="str">
        <f t="shared" si="96"/>
        <v/>
      </c>
      <c r="O316" s="11" t="str">
        <f t="shared" si="97"/>
        <v/>
      </c>
      <c r="P316" s="11" t="str">
        <f t="shared" si="98"/>
        <v/>
      </c>
      <c r="R316" s="11" t="str">
        <f t="shared" si="99"/>
        <v/>
      </c>
      <c r="S316" s="11" t="str">
        <f t="shared" si="100"/>
        <v/>
      </c>
      <c r="T316" s="11" t="str">
        <f t="shared" si="101"/>
        <v/>
      </c>
      <c r="V316" s="11" t="str">
        <f t="shared" si="102"/>
        <v/>
      </c>
      <c r="W316" s="11" t="str">
        <f t="shared" si="103"/>
        <v/>
      </c>
      <c r="X316" s="11" t="str">
        <f t="shared" si="104"/>
        <v/>
      </c>
      <c r="Z316" s="11" t="str">
        <f t="shared" si="105"/>
        <v/>
      </c>
      <c r="AA316" s="11" t="str">
        <f t="shared" si="106"/>
        <v/>
      </c>
      <c r="AB316" s="11" t="str">
        <f t="shared" si="107"/>
        <v/>
      </c>
      <c r="AD316" s="11" t="str">
        <f t="shared" si="108"/>
        <v/>
      </c>
      <c r="AE316" s="11" t="str">
        <f t="shared" si="109"/>
        <v/>
      </c>
      <c r="AF316" s="11" t="str">
        <f t="shared" si="110"/>
        <v/>
      </c>
    </row>
    <row r="317" spans="1:48" ht="30" customHeight="1" outlineLevel="1">
      <c r="A317" s="132" t="s">
        <v>864</v>
      </c>
      <c r="B317" s="133" t="s">
        <v>865</v>
      </c>
      <c r="C317" s="101"/>
      <c r="N317" s="11" t="str">
        <f t="shared" si="96"/>
        <v/>
      </c>
      <c r="O317" s="11" t="str">
        <f t="shared" si="97"/>
        <v/>
      </c>
      <c r="P317" s="11" t="str">
        <f t="shared" si="98"/>
        <v/>
      </c>
      <c r="R317" s="11" t="str">
        <f t="shared" si="99"/>
        <v/>
      </c>
      <c r="S317" s="11" t="str">
        <f t="shared" si="100"/>
        <v/>
      </c>
      <c r="T317" s="11" t="str">
        <f t="shared" si="101"/>
        <v/>
      </c>
      <c r="V317" s="11" t="str">
        <f t="shared" si="102"/>
        <v/>
      </c>
      <c r="W317" s="11" t="str">
        <f t="shared" si="103"/>
        <v/>
      </c>
      <c r="X317" s="11" t="str">
        <f t="shared" si="104"/>
        <v/>
      </c>
      <c r="Z317" s="11" t="str">
        <f t="shared" si="105"/>
        <v/>
      </c>
      <c r="AA317" s="11" t="str">
        <f t="shared" si="106"/>
        <v/>
      </c>
      <c r="AB317" s="11" t="str">
        <f t="shared" si="107"/>
        <v/>
      </c>
      <c r="AD317" s="11" t="str">
        <f t="shared" si="108"/>
        <v/>
      </c>
      <c r="AE317" s="11" t="str">
        <f t="shared" si="109"/>
        <v/>
      </c>
      <c r="AF317" s="11" t="str">
        <f t="shared" si="110"/>
        <v/>
      </c>
    </row>
    <row r="318" spans="1:48" ht="30" customHeight="1" outlineLevel="2">
      <c r="A318" s="116" t="s">
        <v>866</v>
      </c>
      <c r="B318" s="140" t="s">
        <v>867</v>
      </c>
      <c r="C318" s="134" t="s">
        <v>868</v>
      </c>
      <c r="E318" s="105">
        <f t="shared" ref="E318:E323" si="135">MIN(N318,R318,V318,Z318,AD318)</f>
        <v>11.583</v>
      </c>
      <c r="F318" s="105">
        <f t="shared" ref="F318:F323" si="136">AVERAGE(N318,R318,V318,Z318,AD318)</f>
        <v>21.586400000000001</v>
      </c>
      <c r="G318" s="105">
        <f t="shared" ref="G318:G323" si="137">MAX(N318,R318,V318,Z318,AD318)</f>
        <v>32.087000000000003</v>
      </c>
      <c r="H318" s="106"/>
      <c r="I318" s="105">
        <f t="shared" ref="I318:I323" si="138">MIN(T318,X318,AB318,AF318,P318)</f>
        <v>21.285000000000004</v>
      </c>
      <c r="J318" s="105">
        <f t="shared" ref="J318:J323" si="139">AVERAGE(P318,T318,X318,AB318,AF318)</f>
        <v>37.908200000000008</v>
      </c>
      <c r="K318" s="105">
        <f t="shared" ref="K318:K323" si="140">MAX(P318,T318,X318,AB318,AF318)</f>
        <v>48.400000000000006</v>
      </c>
      <c r="N318" s="107">
        <f t="shared" si="96"/>
        <v>11.583</v>
      </c>
      <c r="O318" s="107">
        <f t="shared" si="97"/>
        <v>18.161000000000005</v>
      </c>
      <c r="P318" s="107">
        <f t="shared" si="98"/>
        <v>32.461000000000006</v>
      </c>
      <c r="R318" s="107">
        <f t="shared" si="99"/>
        <v>22.253000000000004</v>
      </c>
      <c r="S318" s="107">
        <f t="shared" si="100"/>
        <v>9.1300000000000008</v>
      </c>
      <c r="T318" s="107">
        <f t="shared" si="101"/>
        <v>21.285000000000004</v>
      </c>
      <c r="V318" s="107">
        <f t="shared" si="102"/>
        <v>32.087000000000003</v>
      </c>
      <c r="W318" s="107">
        <f t="shared" si="103"/>
        <v>23.045000000000002</v>
      </c>
      <c r="X318" s="107">
        <f t="shared" si="104"/>
        <v>39.57800000000001</v>
      </c>
      <c r="Z318" s="107">
        <f t="shared" si="105"/>
        <v>23.309000000000001</v>
      </c>
      <c r="AA318" s="107">
        <f t="shared" si="106"/>
        <v>22.737000000000005</v>
      </c>
      <c r="AB318" s="107">
        <f t="shared" si="107"/>
        <v>47.817</v>
      </c>
      <c r="AD318" s="107">
        <f t="shared" si="108"/>
        <v>18.700000000000003</v>
      </c>
      <c r="AE318" s="107">
        <f t="shared" si="109"/>
        <v>33.550000000000004</v>
      </c>
      <c r="AF318" s="107">
        <f t="shared" si="110"/>
        <v>48.400000000000006</v>
      </c>
      <c r="AH318" s="107">
        <v>10.53</v>
      </c>
      <c r="AI318" s="107">
        <v>16.510000000000002</v>
      </c>
      <c r="AJ318" s="107">
        <v>29.51</v>
      </c>
      <c r="AK318" s="107">
        <v>20.23</v>
      </c>
      <c r="AL318" s="107">
        <v>8.3000000000000007</v>
      </c>
      <c r="AM318" s="107">
        <v>19.350000000000001</v>
      </c>
      <c r="AN318" s="107">
        <v>29.17</v>
      </c>
      <c r="AO318" s="107">
        <v>20.95</v>
      </c>
      <c r="AP318" s="107">
        <v>35.980000000000004</v>
      </c>
      <c r="AQ318" s="107">
        <v>21.189999999999998</v>
      </c>
      <c r="AR318" s="107">
        <v>20.67</v>
      </c>
      <c r="AS318" s="107">
        <v>43.47</v>
      </c>
      <c r="AT318" s="107">
        <v>17</v>
      </c>
      <c r="AU318" s="107">
        <v>30.5</v>
      </c>
      <c r="AV318" s="107">
        <v>44</v>
      </c>
    </row>
    <row r="319" spans="1:48" ht="30" customHeight="1" outlineLevel="2">
      <c r="A319" s="116" t="s">
        <v>869</v>
      </c>
      <c r="B319" s="140" t="s">
        <v>870</v>
      </c>
      <c r="C319" s="134" t="s">
        <v>868</v>
      </c>
      <c r="E319" s="105">
        <f t="shared" si="135"/>
        <v>7.7000000000000011</v>
      </c>
      <c r="F319" s="105">
        <f t="shared" si="136"/>
        <v>17.782599999999999</v>
      </c>
      <c r="G319" s="105">
        <f t="shared" si="137"/>
        <v>29.084</v>
      </c>
      <c r="H319" s="106"/>
      <c r="I319" s="105">
        <f t="shared" si="138"/>
        <v>17.908000000000001</v>
      </c>
      <c r="J319" s="105">
        <f t="shared" si="139"/>
        <v>30.883600000000001</v>
      </c>
      <c r="K319" s="105">
        <f t="shared" si="140"/>
        <v>47.817</v>
      </c>
      <c r="N319" s="107">
        <f t="shared" si="96"/>
        <v>8.822000000000001</v>
      </c>
      <c r="O319" s="107">
        <f t="shared" si="97"/>
        <v>14.311000000000002</v>
      </c>
      <c r="P319" s="107">
        <f t="shared" si="98"/>
        <v>27.071000000000002</v>
      </c>
      <c r="R319" s="107">
        <f t="shared" si="99"/>
        <v>19.998000000000001</v>
      </c>
      <c r="S319" s="107">
        <f t="shared" si="100"/>
        <v>6.2040000000000015</v>
      </c>
      <c r="T319" s="107">
        <f t="shared" si="101"/>
        <v>17.908000000000001</v>
      </c>
      <c r="V319" s="107">
        <f t="shared" si="102"/>
        <v>29.084</v>
      </c>
      <c r="W319" s="107">
        <f t="shared" si="103"/>
        <v>18.183000000000003</v>
      </c>
      <c r="X319" s="107">
        <f t="shared" si="104"/>
        <v>33.022000000000006</v>
      </c>
      <c r="Z319" s="107">
        <f t="shared" si="105"/>
        <v>23.309000000000001</v>
      </c>
      <c r="AA319" s="107">
        <f t="shared" si="106"/>
        <v>22.737000000000005</v>
      </c>
      <c r="AB319" s="107">
        <f t="shared" si="107"/>
        <v>47.817</v>
      </c>
      <c r="AD319" s="107">
        <f t="shared" si="108"/>
        <v>7.7000000000000011</v>
      </c>
      <c r="AE319" s="107">
        <f t="shared" si="109"/>
        <v>17.05</v>
      </c>
      <c r="AF319" s="107">
        <f t="shared" si="110"/>
        <v>28.6</v>
      </c>
      <c r="AH319" s="107">
        <v>8.02</v>
      </c>
      <c r="AI319" s="107">
        <v>13.01</v>
      </c>
      <c r="AJ319" s="107">
        <v>24.61</v>
      </c>
      <c r="AK319" s="107">
        <v>18.18</v>
      </c>
      <c r="AL319" s="107">
        <v>5.6400000000000006</v>
      </c>
      <c r="AM319" s="107">
        <v>16.28</v>
      </c>
      <c r="AN319" s="107">
        <v>26.439999999999998</v>
      </c>
      <c r="AO319" s="107">
        <v>16.53</v>
      </c>
      <c r="AP319" s="107">
        <v>30.02</v>
      </c>
      <c r="AQ319" s="107">
        <v>21.189999999999998</v>
      </c>
      <c r="AR319" s="107">
        <v>20.67</v>
      </c>
      <c r="AS319" s="107">
        <v>43.47</v>
      </c>
      <c r="AT319" s="107">
        <v>7</v>
      </c>
      <c r="AU319" s="107">
        <v>15.5</v>
      </c>
      <c r="AV319" s="107">
        <v>26</v>
      </c>
    </row>
    <row r="320" spans="1:48" ht="30" customHeight="1" outlineLevel="2">
      <c r="A320" s="116" t="s">
        <v>871</v>
      </c>
      <c r="B320" s="140" t="s">
        <v>872</v>
      </c>
      <c r="C320" s="134" t="s">
        <v>242</v>
      </c>
      <c r="E320" s="105">
        <f t="shared" si="135"/>
        <v>33.506</v>
      </c>
      <c r="F320" s="105">
        <f t="shared" si="136"/>
        <v>72.848600000000005</v>
      </c>
      <c r="G320" s="105">
        <f t="shared" si="137"/>
        <v>118.10700000000001</v>
      </c>
      <c r="H320" s="106"/>
      <c r="I320" s="105">
        <f t="shared" si="138"/>
        <v>38.158999999999999</v>
      </c>
      <c r="J320" s="105">
        <f t="shared" si="139"/>
        <v>131.6678</v>
      </c>
      <c r="K320" s="105">
        <f t="shared" si="140"/>
        <v>204.226</v>
      </c>
      <c r="N320" s="107">
        <f t="shared" si="96"/>
        <v>52.899000000000008</v>
      </c>
      <c r="O320" s="107">
        <f t="shared" si="97"/>
        <v>75.911000000000016</v>
      </c>
      <c r="P320" s="107">
        <f t="shared" si="98"/>
        <v>113.322</v>
      </c>
      <c r="R320" s="107">
        <f t="shared" si="99"/>
        <v>33.506</v>
      </c>
      <c r="S320" s="107">
        <f t="shared" si="100"/>
        <v>23.760000000000005</v>
      </c>
      <c r="T320" s="107">
        <f t="shared" si="101"/>
        <v>38.158999999999999</v>
      </c>
      <c r="V320" s="107">
        <f t="shared" si="102"/>
        <v>79.431000000000012</v>
      </c>
      <c r="W320" s="107">
        <f t="shared" si="103"/>
        <v>99.748000000000019</v>
      </c>
      <c r="X320" s="107">
        <f t="shared" si="104"/>
        <v>143.13200000000001</v>
      </c>
      <c r="Z320" s="107">
        <f t="shared" si="105"/>
        <v>118.10700000000001</v>
      </c>
      <c r="AA320" s="107">
        <f t="shared" si="106"/>
        <v>155.452</v>
      </c>
      <c r="AB320" s="107">
        <f t="shared" si="107"/>
        <v>204.226</v>
      </c>
      <c r="AD320" s="107">
        <f t="shared" si="108"/>
        <v>80.300000000000011</v>
      </c>
      <c r="AE320" s="107">
        <f t="shared" si="109"/>
        <v>126.50000000000001</v>
      </c>
      <c r="AF320" s="107">
        <f t="shared" si="110"/>
        <v>159.5</v>
      </c>
      <c r="AH320" s="107">
        <v>48.09</v>
      </c>
      <c r="AI320" s="107">
        <v>69.010000000000005</v>
      </c>
      <c r="AJ320" s="107">
        <v>103.02</v>
      </c>
      <c r="AK320" s="107">
        <v>30.46</v>
      </c>
      <c r="AL320" s="107">
        <v>21.6</v>
      </c>
      <c r="AM320" s="107">
        <v>34.69</v>
      </c>
      <c r="AN320" s="107">
        <v>72.210000000000008</v>
      </c>
      <c r="AO320" s="107">
        <v>90.68</v>
      </c>
      <c r="AP320" s="107">
        <v>130.12</v>
      </c>
      <c r="AQ320" s="107">
        <v>107.37</v>
      </c>
      <c r="AR320" s="107">
        <v>141.32</v>
      </c>
      <c r="AS320" s="107">
        <v>185.66</v>
      </c>
      <c r="AT320" s="107">
        <v>73</v>
      </c>
      <c r="AU320" s="107">
        <v>115</v>
      </c>
      <c r="AV320" s="107">
        <v>145</v>
      </c>
    </row>
    <row r="321" spans="1:48" ht="30" customHeight="1" outlineLevel="2">
      <c r="A321" s="116" t="s">
        <v>873</v>
      </c>
      <c r="B321" s="140" t="s">
        <v>874</v>
      </c>
      <c r="C321" s="134" t="s">
        <v>242</v>
      </c>
      <c r="E321" s="105">
        <f t="shared" si="135"/>
        <v>56.012000000000008</v>
      </c>
      <c r="F321" s="105">
        <f t="shared" si="136"/>
        <v>150.02680000000004</v>
      </c>
      <c r="G321" s="105">
        <f t="shared" si="137"/>
        <v>424.02800000000008</v>
      </c>
      <c r="H321" s="106"/>
      <c r="I321" s="105">
        <f t="shared" si="138"/>
        <v>71.918000000000006</v>
      </c>
      <c r="J321" s="105">
        <f t="shared" si="139"/>
        <v>299.43760000000003</v>
      </c>
      <c r="K321" s="105">
        <f t="shared" si="140"/>
        <v>896.75300000000004</v>
      </c>
      <c r="N321" s="107">
        <f t="shared" si="96"/>
        <v>107.99800000000002</v>
      </c>
      <c r="O321" s="107">
        <f t="shared" si="97"/>
        <v>152.92200000000003</v>
      </c>
      <c r="P321" s="107">
        <f t="shared" si="98"/>
        <v>221.13300000000001</v>
      </c>
      <c r="R321" s="107">
        <f t="shared" si="99"/>
        <v>56.012000000000008</v>
      </c>
      <c r="S321" s="107">
        <f t="shared" si="100"/>
        <v>53.02000000000001</v>
      </c>
      <c r="T321" s="107">
        <f t="shared" si="101"/>
        <v>71.918000000000006</v>
      </c>
      <c r="V321" s="107">
        <f t="shared" si="102"/>
        <v>424.02800000000008</v>
      </c>
      <c r="W321" s="107">
        <f t="shared" si="103"/>
        <v>657.98699999999997</v>
      </c>
      <c r="X321" s="107">
        <f t="shared" si="104"/>
        <v>896.75300000000004</v>
      </c>
      <c r="Z321" s="107">
        <f t="shared" si="105"/>
        <v>58.696000000000005</v>
      </c>
      <c r="AA321" s="107">
        <f t="shared" si="106"/>
        <v>71.126000000000005</v>
      </c>
      <c r="AB321" s="107">
        <f t="shared" si="107"/>
        <v>106.084</v>
      </c>
      <c r="AD321" s="107">
        <f t="shared" si="108"/>
        <v>103.4</v>
      </c>
      <c r="AE321" s="107">
        <f t="shared" si="109"/>
        <v>160.60000000000002</v>
      </c>
      <c r="AF321" s="107">
        <f t="shared" si="110"/>
        <v>201.3</v>
      </c>
      <c r="AH321" s="107">
        <v>98.18</v>
      </c>
      <c r="AI321" s="107">
        <v>139.02000000000001</v>
      </c>
      <c r="AJ321" s="107">
        <v>201.03</v>
      </c>
      <c r="AK321" s="107">
        <v>50.92</v>
      </c>
      <c r="AL321" s="107">
        <v>48.2</v>
      </c>
      <c r="AM321" s="107">
        <v>65.38</v>
      </c>
      <c r="AN321" s="107">
        <v>385.48</v>
      </c>
      <c r="AO321" s="107">
        <v>598.16999999999996</v>
      </c>
      <c r="AP321" s="107">
        <v>815.23</v>
      </c>
      <c r="AQ321" s="107">
        <v>53.36</v>
      </c>
      <c r="AR321" s="107">
        <v>64.66</v>
      </c>
      <c r="AS321" s="107">
        <v>96.44</v>
      </c>
      <c r="AT321" s="107">
        <v>94</v>
      </c>
      <c r="AU321" s="107">
        <v>146</v>
      </c>
      <c r="AV321" s="107">
        <v>183</v>
      </c>
    </row>
    <row r="322" spans="1:48" ht="30" customHeight="1" outlineLevel="2">
      <c r="A322" s="116" t="s">
        <v>875</v>
      </c>
      <c r="B322" s="140" t="s">
        <v>876</v>
      </c>
      <c r="C322" s="134" t="s">
        <v>242</v>
      </c>
      <c r="E322" s="105">
        <f t="shared" si="135"/>
        <v>35.45300000000001</v>
      </c>
      <c r="F322" s="105">
        <f t="shared" si="136"/>
        <v>321.61579999999998</v>
      </c>
      <c r="G322" s="105">
        <f t="shared" si="137"/>
        <v>735.66899999999998</v>
      </c>
      <c r="H322" s="106"/>
      <c r="I322" s="105">
        <f t="shared" si="138"/>
        <v>67.331000000000003</v>
      </c>
      <c r="J322" s="105">
        <f t="shared" si="139"/>
        <v>635.57780000000014</v>
      </c>
      <c r="K322" s="105">
        <f t="shared" si="140"/>
        <v>1578.3130000000001</v>
      </c>
      <c r="N322" s="107">
        <f t="shared" si="96"/>
        <v>289.245</v>
      </c>
      <c r="O322" s="107">
        <f t="shared" si="97"/>
        <v>399.90500000000003</v>
      </c>
      <c r="P322" s="107">
        <f t="shared" si="98"/>
        <v>560.52700000000004</v>
      </c>
      <c r="R322" s="107">
        <f t="shared" si="99"/>
        <v>56.012000000000008</v>
      </c>
      <c r="S322" s="107">
        <f t="shared" si="100"/>
        <v>53.02000000000001</v>
      </c>
      <c r="T322" s="107">
        <f t="shared" si="101"/>
        <v>71.918000000000006</v>
      </c>
      <c r="V322" s="107">
        <f t="shared" si="102"/>
        <v>735.66899999999998</v>
      </c>
      <c r="W322" s="107">
        <f t="shared" si="103"/>
        <v>1162.8540000000003</v>
      </c>
      <c r="X322" s="107">
        <f t="shared" si="104"/>
        <v>1578.3130000000001</v>
      </c>
      <c r="Z322" s="107">
        <f t="shared" si="105"/>
        <v>35.45300000000001</v>
      </c>
      <c r="AA322" s="107">
        <f t="shared" si="106"/>
        <v>39.413000000000004</v>
      </c>
      <c r="AB322" s="107">
        <f t="shared" si="107"/>
        <v>67.331000000000003</v>
      </c>
      <c r="AD322" s="107">
        <f t="shared" si="108"/>
        <v>491.70000000000005</v>
      </c>
      <c r="AE322" s="107">
        <f t="shared" si="109"/>
        <v>743.6</v>
      </c>
      <c r="AF322" s="107">
        <f t="shared" si="110"/>
        <v>899.80000000000007</v>
      </c>
      <c r="AH322" s="107">
        <v>262.95</v>
      </c>
      <c r="AI322" s="107">
        <v>363.55</v>
      </c>
      <c r="AJ322" s="107">
        <v>509.57</v>
      </c>
      <c r="AK322" s="107">
        <v>50.92</v>
      </c>
      <c r="AL322" s="107">
        <v>48.2</v>
      </c>
      <c r="AM322" s="107">
        <v>65.38</v>
      </c>
      <c r="AN322" s="107">
        <v>668.79</v>
      </c>
      <c r="AO322" s="107">
        <v>1057.1400000000001</v>
      </c>
      <c r="AP322" s="107">
        <v>1434.83</v>
      </c>
      <c r="AQ322" s="107">
        <v>32.230000000000004</v>
      </c>
      <c r="AR322" s="107">
        <v>35.83</v>
      </c>
      <c r="AS322" s="107">
        <v>61.21</v>
      </c>
      <c r="AT322" s="107">
        <v>447</v>
      </c>
      <c r="AU322" s="107">
        <v>676</v>
      </c>
      <c r="AV322" s="107">
        <v>818</v>
      </c>
    </row>
    <row r="323" spans="1:48" ht="30" customHeight="1" outlineLevel="2">
      <c r="A323" s="116" t="s">
        <v>877</v>
      </c>
      <c r="B323" s="140" t="s">
        <v>878</v>
      </c>
      <c r="C323" s="134" t="s">
        <v>242</v>
      </c>
      <c r="E323" s="105">
        <f t="shared" si="135"/>
        <v>45.947000000000003</v>
      </c>
      <c r="F323" s="105">
        <f t="shared" si="136"/>
        <v>74.969399999999993</v>
      </c>
      <c r="G323" s="105">
        <f t="shared" si="137"/>
        <v>103.4</v>
      </c>
      <c r="H323" s="106"/>
      <c r="I323" s="105">
        <f t="shared" si="138"/>
        <v>61.919000000000004</v>
      </c>
      <c r="J323" s="105">
        <f t="shared" si="139"/>
        <v>134.9744</v>
      </c>
      <c r="K323" s="105">
        <f t="shared" si="140"/>
        <v>201.3</v>
      </c>
      <c r="N323" s="107">
        <f t="shared" si="96"/>
        <v>88.440000000000012</v>
      </c>
      <c r="O323" s="107">
        <f t="shared" si="97"/>
        <v>122.40800000000002</v>
      </c>
      <c r="P323" s="107">
        <f t="shared" si="98"/>
        <v>175.20800000000003</v>
      </c>
      <c r="R323" s="107">
        <f t="shared" si="99"/>
        <v>51.634</v>
      </c>
      <c r="S323" s="107">
        <f t="shared" si="100"/>
        <v>45.265000000000001</v>
      </c>
      <c r="T323" s="107">
        <f t="shared" si="101"/>
        <v>61.919000000000004</v>
      </c>
      <c r="V323" s="107">
        <f t="shared" si="102"/>
        <v>85.426000000000002</v>
      </c>
      <c r="W323" s="107">
        <f t="shared" si="103"/>
        <v>109.46100000000001</v>
      </c>
      <c r="X323" s="107">
        <f t="shared" si="104"/>
        <v>156.244</v>
      </c>
      <c r="Z323" s="107">
        <f t="shared" si="105"/>
        <v>45.947000000000003</v>
      </c>
      <c r="AA323" s="107">
        <f t="shared" si="106"/>
        <v>53.944000000000003</v>
      </c>
      <c r="AB323" s="107">
        <f t="shared" si="107"/>
        <v>80.201000000000008</v>
      </c>
      <c r="AD323" s="107">
        <f t="shared" si="108"/>
        <v>103.4</v>
      </c>
      <c r="AE323" s="107">
        <f t="shared" si="109"/>
        <v>160.60000000000002</v>
      </c>
      <c r="AF323" s="107">
        <f t="shared" si="110"/>
        <v>201.3</v>
      </c>
      <c r="AH323" s="107">
        <v>80.400000000000006</v>
      </c>
      <c r="AI323" s="107">
        <v>111.28</v>
      </c>
      <c r="AJ323" s="107">
        <v>159.28</v>
      </c>
      <c r="AK323" s="107">
        <v>46.94</v>
      </c>
      <c r="AL323" s="107">
        <v>41.15</v>
      </c>
      <c r="AM323" s="107">
        <v>56.29</v>
      </c>
      <c r="AN323" s="107">
        <v>77.66</v>
      </c>
      <c r="AO323" s="107">
        <v>99.51</v>
      </c>
      <c r="AP323" s="107">
        <v>142.04</v>
      </c>
      <c r="AQ323" s="107">
        <v>41.769999999999996</v>
      </c>
      <c r="AR323" s="107">
        <v>49.04</v>
      </c>
      <c r="AS323" s="107">
        <v>72.91</v>
      </c>
      <c r="AT323" s="107">
        <v>94</v>
      </c>
      <c r="AU323" s="107">
        <v>146</v>
      </c>
      <c r="AV323" s="107">
        <v>183</v>
      </c>
    </row>
    <row r="324" spans="1:48" ht="30" customHeight="1" outlineLevel="1">
      <c r="A324" s="109" t="s">
        <v>879</v>
      </c>
      <c r="B324" s="135" t="s">
        <v>880</v>
      </c>
      <c r="C324" s="111"/>
      <c r="N324" s="11" t="str">
        <f t="shared" ref="N324:N387" si="141" xml:space="preserve"> IF(ISBLANK(AH324),"",_k_EIFFAGE * AH324)</f>
        <v/>
      </c>
      <c r="O324" s="11" t="str">
        <f t="shared" ref="O324:O387" si="142" xml:space="preserve"> IF(ISBLANK(AI324),"",_k_EIFFAGE * AI324)</f>
        <v/>
      </c>
      <c r="P324" s="11" t="str">
        <f t="shared" ref="P324:P387" si="143" xml:space="preserve"> IF(ISBLANK(AJ324),"",_k_EIFFAGE * AJ324)</f>
        <v/>
      </c>
      <c r="R324" s="11" t="str">
        <f t="shared" ref="R324:R387" si="144" xml:space="preserve"> IF(ISBLANK(AK324),"",_k_ERI * AK324)</f>
        <v/>
      </c>
      <c r="S324" s="11" t="str">
        <f t="shared" ref="S324:S387" si="145" xml:space="preserve"> IF(ISBLANK(AL324),"",_k_ERI * AL324)</f>
        <v/>
      </c>
      <c r="T324" s="11" t="str">
        <f t="shared" ref="T324:T387" si="146" xml:space="preserve"> IF(ISBLANK(AM324),"",_k_ERI * AM324)</f>
        <v/>
      </c>
      <c r="V324" s="11" t="str">
        <f t="shared" ref="V324:V387" si="147" xml:space="preserve"> IF(ISBLANK(AN324),"",_k_INEO * AN324)</f>
        <v/>
      </c>
      <c r="W324" s="11" t="str">
        <f t="shared" ref="W324:W387" si="148" xml:space="preserve"> IF(ISBLANK(AO324),"",_k_INEO * AO324)</f>
        <v/>
      </c>
      <c r="X324" s="11" t="str">
        <f t="shared" ref="X324:X387" si="149" xml:space="preserve"> IF(ISBLANK(AP324),"",_k_INEO * AP324)</f>
        <v/>
      </c>
      <c r="Z324" s="11" t="str">
        <f t="shared" ref="Z324:Z387" si="150" xml:space="preserve"> IF(ISBLANK(AQ324),"",_k_SDEL * AQ324)</f>
        <v/>
      </c>
      <c r="AA324" s="11" t="str">
        <f t="shared" ref="AA324:AA387" si="151" xml:space="preserve"> IF(ISBLANK(AR324),"",_k_SDEL * AR324)</f>
        <v/>
      </c>
      <c r="AB324" s="11" t="str">
        <f t="shared" ref="AB324:AB387" si="152" xml:space="preserve"> IF(ISBLANK(AS324),"",_k_SDEL * AS324)</f>
        <v/>
      </c>
      <c r="AD324" s="11" t="str">
        <f t="shared" ref="AD324:AD387" si="153" xml:space="preserve"> IF(ISBLANK(AT324),"",_k_SOGETREL * AT324)</f>
        <v/>
      </c>
      <c r="AE324" s="11" t="str">
        <f t="shared" ref="AE324:AE387" si="154" xml:space="preserve"> IF(ISBLANK(AU324),"",_k_SOGETREL * AU324)</f>
        <v/>
      </c>
      <c r="AF324" s="11" t="str">
        <f t="shared" ref="AF324:AF387" si="155" xml:space="preserve"> IF(ISBLANK(AV324),"",_k_SOGETREL * AV324)</f>
        <v/>
      </c>
    </row>
    <row r="325" spans="1:48" ht="30" customHeight="1" outlineLevel="2">
      <c r="A325" s="116" t="s">
        <v>881</v>
      </c>
      <c r="B325" s="140" t="s">
        <v>882</v>
      </c>
      <c r="C325" s="134" t="s">
        <v>242</v>
      </c>
      <c r="E325" s="105">
        <f>MIN(N325,R325,V325,Z325,AD325)</f>
        <v>321.14500000000004</v>
      </c>
      <c r="F325" s="105">
        <f>AVERAGE(N325,R325,V325,Z325,AD325)</f>
        <v>410.29560000000009</v>
      </c>
      <c r="G325" s="105">
        <f>MAX(N325,R325,V325,Z325,AD325)</f>
        <v>571.84600000000012</v>
      </c>
      <c r="H325" s="106"/>
      <c r="I325" s="105">
        <f>MIN(T325,X325,AB325,AF325,P325)</f>
        <v>544.5440000000001</v>
      </c>
      <c r="J325" s="105">
        <f>AVERAGE(P325,T325,X325,AB325,AF325)</f>
        <v>817.38139999999999</v>
      </c>
      <c r="K325" s="105">
        <f>MAX(P325,T325,X325,AB325,AF325)</f>
        <v>1220.0430000000001</v>
      </c>
      <c r="N325" s="107">
        <f t="shared" si="141"/>
        <v>321.14500000000004</v>
      </c>
      <c r="O325" s="107">
        <f t="shared" si="142"/>
        <v>431.80500000000006</v>
      </c>
      <c r="P325" s="107">
        <f t="shared" si="143"/>
        <v>592.42700000000013</v>
      </c>
      <c r="R325" s="107">
        <f t="shared" si="144"/>
        <v>371.09600000000006</v>
      </c>
      <c r="S325" s="107">
        <f t="shared" si="145"/>
        <v>462.62700000000001</v>
      </c>
      <c r="T325" s="107">
        <f t="shared" si="146"/>
        <v>544.5440000000001</v>
      </c>
      <c r="V325" s="107">
        <f t="shared" si="147"/>
        <v>571.84600000000012</v>
      </c>
      <c r="W325" s="107">
        <f t="shared" si="148"/>
        <v>897.46800000000007</v>
      </c>
      <c r="X325" s="107">
        <f t="shared" si="149"/>
        <v>1220.0430000000001</v>
      </c>
      <c r="Z325" s="107">
        <f t="shared" si="150"/>
        <v>366.09100000000001</v>
      </c>
      <c r="AA325" s="107">
        <f t="shared" si="151"/>
        <v>502.62300000000005</v>
      </c>
      <c r="AB325" s="107">
        <f t="shared" si="152"/>
        <v>613.39300000000003</v>
      </c>
      <c r="AD325" s="107">
        <f t="shared" si="153"/>
        <v>421.3</v>
      </c>
      <c r="AE325" s="107">
        <f t="shared" si="154"/>
        <v>638</v>
      </c>
      <c r="AF325" s="107">
        <f t="shared" si="155"/>
        <v>1116.5</v>
      </c>
      <c r="AH325" s="107">
        <v>291.95</v>
      </c>
      <c r="AI325" s="107">
        <v>392.55</v>
      </c>
      <c r="AJ325" s="107">
        <v>538.57000000000005</v>
      </c>
      <c r="AK325" s="107">
        <v>337.36</v>
      </c>
      <c r="AL325" s="107">
        <v>420.57</v>
      </c>
      <c r="AM325" s="107">
        <v>495.04</v>
      </c>
      <c r="AN325" s="107">
        <v>519.86</v>
      </c>
      <c r="AO325" s="107">
        <v>815.88</v>
      </c>
      <c r="AP325" s="107">
        <v>1109.1300000000001</v>
      </c>
      <c r="AQ325" s="107">
        <v>332.81</v>
      </c>
      <c r="AR325" s="107">
        <v>456.93</v>
      </c>
      <c r="AS325" s="107">
        <v>557.63</v>
      </c>
      <c r="AT325" s="107">
        <v>383</v>
      </c>
      <c r="AU325" s="107">
        <v>580</v>
      </c>
      <c r="AV325" s="107">
        <v>1015</v>
      </c>
    </row>
    <row r="326" spans="1:48" ht="30" customHeight="1" outlineLevel="2" thickBot="1">
      <c r="A326" s="116" t="s">
        <v>883</v>
      </c>
      <c r="B326" s="141" t="s">
        <v>884</v>
      </c>
      <c r="C326" s="136" t="s">
        <v>242</v>
      </c>
      <c r="E326" s="105">
        <f>MIN(N326,R326,V326,Z326,AD326)</f>
        <v>155.85900000000001</v>
      </c>
      <c r="F326" s="105">
        <f>AVERAGE(N326,R326,V326,Z326,AD326)</f>
        <v>257.47700000000003</v>
      </c>
      <c r="G326" s="105">
        <f>MAX(N326,R326,V326,Z326,AD326)</f>
        <v>336.6</v>
      </c>
      <c r="H326" s="106"/>
      <c r="I326" s="105">
        <f>MIN(T326,X326,AB326,AF326,P326)</f>
        <v>268.99400000000003</v>
      </c>
      <c r="J326" s="105">
        <f>AVERAGE(P326,T326,X326,AB326,AF326)</f>
        <v>518.47620000000006</v>
      </c>
      <c r="K326" s="105">
        <f>MAX(P326,T326,X326,AB326,AF326)</f>
        <v>895.40000000000009</v>
      </c>
      <c r="N326" s="107">
        <f t="shared" si="141"/>
        <v>155.85900000000001</v>
      </c>
      <c r="O326" s="107">
        <f t="shared" si="142"/>
        <v>200.78300000000002</v>
      </c>
      <c r="P326" s="107">
        <f t="shared" si="143"/>
        <v>268.99400000000003</v>
      </c>
      <c r="R326" s="107">
        <f t="shared" si="144"/>
        <v>191.04800000000003</v>
      </c>
      <c r="S326" s="107">
        <f t="shared" si="145"/>
        <v>228.55800000000002</v>
      </c>
      <c r="T326" s="107">
        <f t="shared" si="146"/>
        <v>274.47200000000004</v>
      </c>
      <c r="V326" s="107">
        <f t="shared" si="147"/>
        <v>332.13400000000001</v>
      </c>
      <c r="W326" s="107">
        <f t="shared" si="148"/>
        <v>509.12400000000002</v>
      </c>
      <c r="X326" s="107">
        <f t="shared" si="149"/>
        <v>695.78300000000002</v>
      </c>
      <c r="Z326" s="107">
        <f t="shared" si="150"/>
        <v>271.74400000000003</v>
      </c>
      <c r="AA326" s="107">
        <f t="shared" si="151"/>
        <v>370.54600000000005</v>
      </c>
      <c r="AB326" s="107">
        <f t="shared" si="152"/>
        <v>457.73200000000003</v>
      </c>
      <c r="AD326" s="107">
        <f t="shared" si="153"/>
        <v>336.6</v>
      </c>
      <c r="AE326" s="107">
        <f t="shared" si="154"/>
        <v>510.40000000000003</v>
      </c>
      <c r="AF326" s="107">
        <f t="shared" si="155"/>
        <v>895.40000000000009</v>
      </c>
      <c r="AH326" s="107">
        <v>141.69</v>
      </c>
      <c r="AI326" s="107">
        <v>182.53</v>
      </c>
      <c r="AJ326" s="107">
        <v>244.54</v>
      </c>
      <c r="AK326" s="107">
        <v>173.68</v>
      </c>
      <c r="AL326" s="107">
        <v>207.78</v>
      </c>
      <c r="AM326" s="107">
        <v>249.52</v>
      </c>
      <c r="AN326" s="107">
        <v>301.94</v>
      </c>
      <c r="AO326" s="107">
        <v>462.84</v>
      </c>
      <c r="AP326" s="107">
        <v>632.53</v>
      </c>
      <c r="AQ326" s="107">
        <v>247.04</v>
      </c>
      <c r="AR326" s="107">
        <v>336.86</v>
      </c>
      <c r="AS326" s="107">
        <v>416.12</v>
      </c>
      <c r="AT326" s="107">
        <v>306</v>
      </c>
      <c r="AU326" s="107">
        <v>464</v>
      </c>
      <c r="AV326" s="107">
        <v>814</v>
      </c>
    </row>
    <row r="327" spans="1:48" ht="30" customHeight="1" thickBot="1">
      <c r="A327" s="96" t="s">
        <v>885</v>
      </c>
      <c r="B327" s="115" t="s">
        <v>886</v>
      </c>
      <c r="C327" s="98"/>
      <c r="N327" s="11" t="str">
        <f t="shared" si="141"/>
        <v/>
      </c>
      <c r="O327" s="11" t="str">
        <f t="shared" si="142"/>
        <v/>
      </c>
      <c r="P327" s="11" t="str">
        <f t="shared" si="143"/>
        <v/>
      </c>
      <c r="R327" s="11" t="str">
        <f t="shared" si="144"/>
        <v/>
      </c>
      <c r="S327" s="11" t="str">
        <f t="shared" si="145"/>
        <v/>
      </c>
      <c r="T327" s="11" t="str">
        <f t="shared" si="146"/>
        <v/>
      </c>
      <c r="V327" s="11" t="str">
        <f t="shared" si="147"/>
        <v/>
      </c>
      <c r="W327" s="11" t="str">
        <f t="shared" si="148"/>
        <v/>
      </c>
      <c r="X327" s="11" t="str">
        <f t="shared" si="149"/>
        <v/>
      </c>
      <c r="Z327" s="11" t="str">
        <f t="shared" si="150"/>
        <v/>
      </c>
      <c r="AA327" s="11" t="str">
        <f t="shared" si="151"/>
        <v/>
      </c>
      <c r="AB327" s="11" t="str">
        <f t="shared" si="152"/>
        <v/>
      </c>
      <c r="AD327" s="11" t="str">
        <f t="shared" si="153"/>
        <v/>
      </c>
      <c r="AE327" s="11" t="str">
        <f t="shared" si="154"/>
        <v/>
      </c>
      <c r="AF327" s="11" t="str">
        <f t="shared" si="155"/>
        <v/>
      </c>
    </row>
    <row r="328" spans="1:48" ht="30" customHeight="1" outlineLevel="1">
      <c r="A328" s="132" t="s">
        <v>887</v>
      </c>
      <c r="B328" s="133" t="s">
        <v>888</v>
      </c>
      <c r="C328" s="101"/>
      <c r="N328" s="11" t="str">
        <f t="shared" si="141"/>
        <v/>
      </c>
      <c r="O328" s="11" t="str">
        <f t="shared" si="142"/>
        <v/>
      </c>
      <c r="P328" s="11" t="str">
        <f t="shared" si="143"/>
        <v/>
      </c>
      <c r="R328" s="11" t="str">
        <f t="shared" si="144"/>
        <v/>
      </c>
      <c r="S328" s="11" t="str">
        <f t="shared" si="145"/>
        <v/>
      </c>
      <c r="T328" s="11" t="str">
        <f t="shared" si="146"/>
        <v/>
      </c>
      <c r="V328" s="11" t="str">
        <f t="shared" si="147"/>
        <v/>
      </c>
      <c r="W328" s="11" t="str">
        <f t="shared" si="148"/>
        <v/>
      </c>
      <c r="X328" s="11" t="str">
        <f t="shared" si="149"/>
        <v/>
      </c>
      <c r="Z328" s="11" t="str">
        <f t="shared" si="150"/>
        <v/>
      </c>
      <c r="AA328" s="11" t="str">
        <f t="shared" si="151"/>
        <v/>
      </c>
      <c r="AB328" s="11" t="str">
        <f t="shared" si="152"/>
        <v/>
      </c>
      <c r="AD328" s="11" t="str">
        <f t="shared" si="153"/>
        <v/>
      </c>
      <c r="AE328" s="11" t="str">
        <f t="shared" si="154"/>
        <v/>
      </c>
      <c r="AF328" s="11" t="str">
        <f t="shared" si="155"/>
        <v/>
      </c>
    </row>
    <row r="329" spans="1:48" ht="30" customHeight="1" outlineLevel="2">
      <c r="A329" s="116" t="s">
        <v>889</v>
      </c>
      <c r="B329" s="140" t="s">
        <v>890</v>
      </c>
      <c r="C329" s="134" t="s">
        <v>242</v>
      </c>
      <c r="E329" s="105">
        <f>MIN(N329,R329,V329,Z329,AD329)</f>
        <v>33.506</v>
      </c>
      <c r="F329" s="105">
        <f>AVERAGE(N329,R329,V329,Z329,AD329)</f>
        <v>64.174000000000007</v>
      </c>
      <c r="G329" s="105">
        <f>MAX(N329,R329,V329,Z329,AD329)</f>
        <v>107.34900000000002</v>
      </c>
      <c r="H329" s="106"/>
      <c r="I329" s="105">
        <f>MIN(T329,X329,AB329,AF329,P329)</f>
        <v>38.158999999999999</v>
      </c>
      <c r="J329" s="105">
        <f>AVERAGE(P329,T329,X329,AB329,AF329)</f>
        <v>116.32940000000001</v>
      </c>
      <c r="K329" s="105">
        <f>MAX(P329,T329,X329,AB329,AF329)</f>
        <v>186.483</v>
      </c>
      <c r="N329" s="107">
        <f t="shared" si="141"/>
        <v>56.1</v>
      </c>
      <c r="O329" s="107">
        <f t="shared" si="142"/>
        <v>79.112000000000009</v>
      </c>
      <c r="P329" s="107">
        <f t="shared" si="143"/>
        <v>116.52300000000001</v>
      </c>
      <c r="R329" s="107">
        <f t="shared" si="144"/>
        <v>33.506</v>
      </c>
      <c r="S329" s="107">
        <f t="shared" si="145"/>
        <v>17.908000000000001</v>
      </c>
      <c r="T329" s="107">
        <f t="shared" si="146"/>
        <v>38.158999999999999</v>
      </c>
      <c r="V329" s="107">
        <f t="shared" si="147"/>
        <v>85.415000000000006</v>
      </c>
      <c r="W329" s="107">
        <f t="shared" si="148"/>
        <v>109.45</v>
      </c>
      <c r="X329" s="107">
        <f t="shared" si="149"/>
        <v>156.22200000000004</v>
      </c>
      <c r="Z329" s="107">
        <f t="shared" si="150"/>
        <v>107.34900000000002</v>
      </c>
      <c r="AA329" s="107">
        <f t="shared" si="151"/>
        <v>140.393</v>
      </c>
      <c r="AB329" s="107">
        <f t="shared" si="152"/>
        <v>186.483</v>
      </c>
      <c r="AD329" s="107">
        <f t="shared" si="153"/>
        <v>38.5</v>
      </c>
      <c r="AE329" s="107">
        <f t="shared" si="154"/>
        <v>63.250000000000007</v>
      </c>
      <c r="AF329" s="107">
        <f t="shared" si="155"/>
        <v>84.26</v>
      </c>
      <c r="AH329" s="107">
        <v>51</v>
      </c>
      <c r="AI329" s="107">
        <v>71.92</v>
      </c>
      <c r="AJ329" s="107">
        <v>105.93</v>
      </c>
      <c r="AK329" s="107">
        <v>30.46</v>
      </c>
      <c r="AL329" s="107">
        <v>16.28</v>
      </c>
      <c r="AM329" s="107">
        <v>34.69</v>
      </c>
      <c r="AN329" s="107">
        <v>77.650000000000006</v>
      </c>
      <c r="AO329" s="107">
        <v>99.5</v>
      </c>
      <c r="AP329" s="107">
        <v>142.02000000000001</v>
      </c>
      <c r="AQ329" s="107">
        <v>97.59</v>
      </c>
      <c r="AR329" s="107">
        <v>127.63</v>
      </c>
      <c r="AS329" s="107">
        <v>169.53</v>
      </c>
      <c r="AT329" s="107">
        <v>35</v>
      </c>
      <c r="AU329" s="107">
        <v>57.5</v>
      </c>
      <c r="AV329" s="107">
        <v>76.599999999999994</v>
      </c>
    </row>
    <row r="330" spans="1:48" ht="30" customHeight="1" outlineLevel="2">
      <c r="A330" s="116" t="s">
        <v>891</v>
      </c>
      <c r="B330" s="140" t="s">
        <v>892</v>
      </c>
      <c r="C330" s="134" t="s">
        <v>242</v>
      </c>
      <c r="E330" s="105">
        <f>MIN(N330,R330,V330,Z330,AD330)</f>
        <v>28.556000000000004</v>
      </c>
      <c r="F330" s="105">
        <f>AVERAGE(N330,R330,V330,Z330,AD330)</f>
        <v>47.997400000000006</v>
      </c>
      <c r="G330" s="105">
        <f>MAX(N330,R330,V330,Z330,AD330)</f>
        <v>98.45</v>
      </c>
      <c r="H330" s="106"/>
      <c r="I330" s="105">
        <f>MIN(T330,X330,AB330,AF330,P330)</f>
        <v>38.158999999999999</v>
      </c>
      <c r="J330" s="105">
        <f>AVERAGE(P330,T330,X330,AB330,AF330)</f>
        <v>83.595600000000019</v>
      </c>
      <c r="K330" s="105">
        <f>MAX(P330,T330,X330,AB330,AF330)</f>
        <v>171.78700000000001</v>
      </c>
      <c r="N330" s="107">
        <f t="shared" si="141"/>
        <v>28.556000000000004</v>
      </c>
      <c r="O330" s="107">
        <f t="shared" si="142"/>
        <v>40.612000000000002</v>
      </c>
      <c r="P330" s="107">
        <f t="shared" si="143"/>
        <v>62.612000000000009</v>
      </c>
      <c r="R330" s="107">
        <f t="shared" si="144"/>
        <v>33.506</v>
      </c>
      <c r="S330" s="107">
        <f t="shared" si="145"/>
        <v>17.908000000000001</v>
      </c>
      <c r="T330" s="107">
        <f t="shared" si="146"/>
        <v>38.158999999999999</v>
      </c>
      <c r="V330" s="107">
        <f t="shared" si="147"/>
        <v>46.475000000000001</v>
      </c>
      <c r="W330" s="107">
        <f t="shared" si="148"/>
        <v>46.365000000000002</v>
      </c>
      <c r="X330" s="107">
        <f t="shared" si="149"/>
        <v>71.06</v>
      </c>
      <c r="Z330" s="107">
        <f t="shared" si="150"/>
        <v>98.45</v>
      </c>
      <c r="AA330" s="107">
        <f t="shared" si="151"/>
        <v>127.93</v>
      </c>
      <c r="AB330" s="107">
        <f t="shared" si="152"/>
        <v>171.78700000000001</v>
      </c>
      <c r="AD330" s="107">
        <f t="shared" si="153"/>
        <v>33</v>
      </c>
      <c r="AE330" s="107">
        <f t="shared" si="154"/>
        <v>55.000000000000007</v>
      </c>
      <c r="AF330" s="107">
        <f t="shared" si="155"/>
        <v>74.36</v>
      </c>
      <c r="AH330" s="107">
        <v>25.96</v>
      </c>
      <c r="AI330" s="107">
        <v>36.92</v>
      </c>
      <c r="AJ330" s="107">
        <v>56.92</v>
      </c>
      <c r="AK330" s="107">
        <v>30.46</v>
      </c>
      <c r="AL330" s="107">
        <v>16.28</v>
      </c>
      <c r="AM330" s="107">
        <v>34.69</v>
      </c>
      <c r="AN330" s="107">
        <v>42.25</v>
      </c>
      <c r="AO330" s="107">
        <v>42.15</v>
      </c>
      <c r="AP330" s="107">
        <v>64.599999999999994</v>
      </c>
      <c r="AQ330" s="107">
        <v>89.5</v>
      </c>
      <c r="AR330" s="107">
        <v>116.3</v>
      </c>
      <c r="AS330" s="107">
        <v>156.16999999999999</v>
      </c>
      <c r="AT330" s="107">
        <v>30</v>
      </c>
      <c r="AU330" s="107">
        <v>50</v>
      </c>
      <c r="AV330" s="107">
        <v>67.599999999999994</v>
      </c>
    </row>
    <row r="331" spans="1:48" ht="30" customHeight="1" outlineLevel="2" thickBot="1">
      <c r="A331" s="102" t="s">
        <v>893</v>
      </c>
      <c r="B331" s="141" t="s">
        <v>894</v>
      </c>
      <c r="C331" s="136" t="s">
        <v>242</v>
      </c>
      <c r="E331" s="105">
        <f>MIN(N331,R331,V331,Z331,AD331)</f>
        <v>101.02400000000002</v>
      </c>
      <c r="F331" s="105">
        <f>AVERAGE(N331,R331,V331,Z331,AD331)</f>
        <v>292.14900000000006</v>
      </c>
      <c r="G331" s="105">
        <f>MAX(N331,R331,V331,Z331,AD331)</f>
        <v>553.30000000000007</v>
      </c>
      <c r="H331" s="106"/>
      <c r="I331" s="105">
        <f>MIN(T331,X331,AB331,AF331,P331)</f>
        <v>139.43600000000001</v>
      </c>
      <c r="J331" s="105">
        <f>AVERAGE(P331,T331,X331,AB331,AF331)</f>
        <v>556.75620000000004</v>
      </c>
      <c r="K331" s="105">
        <f>MAX(P331,T331,X331,AB331,AF331)</f>
        <v>1054.0530000000001</v>
      </c>
      <c r="N331" s="107">
        <f t="shared" si="141"/>
        <v>166.29800000000003</v>
      </c>
      <c r="O331" s="107">
        <f t="shared" si="142"/>
        <v>233.13400000000001</v>
      </c>
      <c r="P331" s="107">
        <f t="shared" si="143"/>
        <v>332.14500000000004</v>
      </c>
      <c r="R331" s="107">
        <f t="shared" si="144"/>
        <v>101.02400000000002</v>
      </c>
      <c r="S331" s="107">
        <f t="shared" si="145"/>
        <v>88.121000000000009</v>
      </c>
      <c r="T331" s="107">
        <f t="shared" si="146"/>
        <v>139.43600000000001</v>
      </c>
      <c r="V331" s="107">
        <f t="shared" si="147"/>
        <v>495.94600000000008</v>
      </c>
      <c r="W331" s="107">
        <f t="shared" si="148"/>
        <v>774.5100000000001</v>
      </c>
      <c r="X331" s="107">
        <f t="shared" si="149"/>
        <v>1054.0530000000001</v>
      </c>
      <c r="Z331" s="107">
        <f t="shared" si="150"/>
        <v>144.17699999999999</v>
      </c>
      <c r="AA331" s="107">
        <f t="shared" si="151"/>
        <v>191.95000000000002</v>
      </c>
      <c r="AB331" s="107">
        <f t="shared" si="152"/>
        <v>247.24700000000004</v>
      </c>
      <c r="AD331" s="107">
        <f t="shared" si="153"/>
        <v>553.30000000000007</v>
      </c>
      <c r="AE331" s="107">
        <f t="shared" si="154"/>
        <v>835.45</v>
      </c>
      <c r="AF331" s="107">
        <f t="shared" si="155"/>
        <v>1010.9000000000001</v>
      </c>
      <c r="AH331" s="107">
        <v>151.18</v>
      </c>
      <c r="AI331" s="107">
        <v>211.94</v>
      </c>
      <c r="AJ331" s="107">
        <v>301.95</v>
      </c>
      <c r="AK331" s="107">
        <v>91.84</v>
      </c>
      <c r="AL331" s="107">
        <v>80.11</v>
      </c>
      <c r="AM331" s="107">
        <v>126.76</v>
      </c>
      <c r="AN331" s="107">
        <v>450.86</v>
      </c>
      <c r="AO331" s="107">
        <v>704.1</v>
      </c>
      <c r="AP331" s="107">
        <v>958.23</v>
      </c>
      <c r="AQ331" s="107">
        <v>131.07</v>
      </c>
      <c r="AR331" s="107">
        <v>174.5</v>
      </c>
      <c r="AS331" s="107">
        <v>224.77</v>
      </c>
      <c r="AT331" s="107">
        <v>503</v>
      </c>
      <c r="AU331" s="107">
        <v>759.5</v>
      </c>
      <c r="AV331" s="107">
        <v>919</v>
      </c>
    </row>
    <row r="332" spans="1:48" ht="30" customHeight="1" thickBot="1">
      <c r="A332" s="96" t="s">
        <v>895</v>
      </c>
      <c r="B332" s="115" t="s">
        <v>896</v>
      </c>
      <c r="C332" s="98"/>
      <c r="N332" s="11" t="str">
        <f t="shared" si="141"/>
        <v/>
      </c>
      <c r="O332" s="11" t="str">
        <f t="shared" si="142"/>
        <v/>
      </c>
      <c r="P332" s="11" t="str">
        <f t="shared" si="143"/>
        <v/>
      </c>
      <c r="R332" s="11" t="str">
        <f t="shared" si="144"/>
        <v/>
      </c>
      <c r="S332" s="11" t="str">
        <f t="shared" si="145"/>
        <v/>
      </c>
      <c r="T332" s="11" t="str">
        <f t="shared" si="146"/>
        <v/>
      </c>
      <c r="V332" s="11" t="str">
        <f t="shared" si="147"/>
        <v/>
      </c>
      <c r="W332" s="11" t="str">
        <f t="shared" si="148"/>
        <v/>
      </c>
      <c r="X332" s="11" t="str">
        <f t="shared" si="149"/>
        <v/>
      </c>
      <c r="Z332" s="11" t="str">
        <f t="shared" si="150"/>
        <v/>
      </c>
      <c r="AA332" s="11" t="str">
        <f t="shared" si="151"/>
        <v/>
      </c>
      <c r="AB332" s="11" t="str">
        <f t="shared" si="152"/>
        <v/>
      </c>
      <c r="AD332" s="11" t="str">
        <f t="shared" si="153"/>
        <v/>
      </c>
      <c r="AE332" s="11" t="str">
        <f t="shared" si="154"/>
        <v/>
      </c>
      <c r="AF332" s="11" t="str">
        <f t="shared" si="155"/>
        <v/>
      </c>
    </row>
    <row r="333" spans="1:48" ht="30" customHeight="1" outlineLevel="1">
      <c r="A333" s="132" t="s">
        <v>897</v>
      </c>
      <c r="B333" s="133" t="s">
        <v>898</v>
      </c>
      <c r="C333" s="101"/>
      <c r="N333" s="11" t="str">
        <f t="shared" si="141"/>
        <v/>
      </c>
      <c r="O333" s="11" t="str">
        <f t="shared" si="142"/>
        <v/>
      </c>
      <c r="P333" s="11" t="str">
        <f t="shared" si="143"/>
        <v/>
      </c>
      <c r="R333" s="11" t="str">
        <f t="shared" si="144"/>
        <v/>
      </c>
      <c r="S333" s="11" t="str">
        <f t="shared" si="145"/>
        <v/>
      </c>
      <c r="T333" s="11" t="str">
        <f t="shared" si="146"/>
        <v/>
      </c>
      <c r="V333" s="11" t="str">
        <f t="shared" si="147"/>
        <v/>
      </c>
      <c r="W333" s="11" t="str">
        <f t="shared" si="148"/>
        <v/>
      </c>
      <c r="X333" s="11" t="str">
        <f t="shared" si="149"/>
        <v/>
      </c>
      <c r="Z333" s="11" t="str">
        <f t="shared" si="150"/>
        <v/>
      </c>
      <c r="AA333" s="11" t="str">
        <f t="shared" si="151"/>
        <v/>
      </c>
      <c r="AB333" s="11" t="str">
        <f t="shared" si="152"/>
        <v/>
      </c>
      <c r="AD333" s="11" t="str">
        <f t="shared" si="153"/>
        <v/>
      </c>
      <c r="AE333" s="11" t="str">
        <f t="shared" si="154"/>
        <v/>
      </c>
      <c r="AF333" s="11" t="str">
        <f t="shared" si="155"/>
        <v/>
      </c>
    </row>
    <row r="334" spans="1:48" ht="30" customHeight="1" outlineLevel="2">
      <c r="A334" s="116" t="s">
        <v>899</v>
      </c>
      <c r="B334" s="140" t="s">
        <v>900</v>
      </c>
      <c r="C334" s="134" t="s">
        <v>40</v>
      </c>
      <c r="E334" s="105">
        <f>MIN(N334,R334,V334,Z334,AD334)</f>
        <v>438.58100000000002</v>
      </c>
      <c r="F334" s="105">
        <f>AVERAGE(N334,R334,V334,Z334,AD334)</f>
        <v>634.49540000000002</v>
      </c>
      <c r="G334" s="105">
        <f>MAX(N334,R334,V334,Z334,AD334)</f>
        <v>1091.2880000000002</v>
      </c>
      <c r="H334" s="106"/>
      <c r="I334" s="105">
        <f>MIN(T334,X334,AB334,AF334,P334)</f>
        <v>867.99900000000014</v>
      </c>
      <c r="J334" s="105">
        <f>AVERAGE(P334,T334,X334,AB334,AF334)</f>
        <v>1115.8466000000001</v>
      </c>
      <c r="K334" s="105">
        <f>MAX(P334,T334,X334,AB334,AF334)</f>
        <v>1624.8320000000001</v>
      </c>
      <c r="N334" s="107">
        <f t="shared" si="141"/>
        <v>438.58100000000002</v>
      </c>
      <c r="O334" s="107">
        <f t="shared" si="142"/>
        <v>614.96600000000001</v>
      </c>
      <c r="P334" s="107">
        <f t="shared" si="143"/>
        <v>867.99900000000014</v>
      </c>
      <c r="R334" s="107">
        <f t="shared" si="144"/>
        <v>1091.2880000000002</v>
      </c>
      <c r="S334" s="107">
        <f t="shared" si="145"/>
        <v>1398.8700000000001</v>
      </c>
      <c r="T334" s="107">
        <f t="shared" si="146"/>
        <v>1624.8320000000001</v>
      </c>
      <c r="V334" s="107">
        <f t="shared" si="147"/>
        <v>555.87400000000002</v>
      </c>
      <c r="W334" s="107">
        <f t="shared" si="148"/>
        <v>871.58500000000015</v>
      </c>
      <c r="X334" s="107">
        <f t="shared" si="149"/>
        <v>1185.107</v>
      </c>
      <c r="Z334" s="107">
        <f t="shared" si="150"/>
        <v>524.63400000000001</v>
      </c>
      <c r="AA334" s="107">
        <f t="shared" si="151"/>
        <v>724.5920000000001</v>
      </c>
      <c r="AB334" s="107">
        <f t="shared" si="152"/>
        <v>874.99500000000012</v>
      </c>
      <c r="AD334" s="107">
        <f t="shared" si="153"/>
        <v>562.1</v>
      </c>
      <c r="AE334" s="107">
        <f t="shared" si="154"/>
        <v>849.2</v>
      </c>
      <c r="AF334" s="107">
        <f t="shared" si="155"/>
        <v>1026.3000000000002</v>
      </c>
      <c r="AH334" s="107">
        <v>398.71</v>
      </c>
      <c r="AI334" s="107">
        <v>559.05999999999995</v>
      </c>
      <c r="AJ334" s="107">
        <v>789.09</v>
      </c>
      <c r="AK334" s="107">
        <v>992.08</v>
      </c>
      <c r="AL334" s="107">
        <v>1271.7</v>
      </c>
      <c r="AM334" s="107">
        <v>1477.12</v>
      </c>
      <c r="AN334" s="107">
        <v>505.34</v>
      </c>
      <c r="AO334" s="107">
        <v>792.35</v>
      </c>
      <c r="AP334" s="107">
        <v>1077.3699999999999</v>
      </c>
      <c r="AQ334" s="107">
        <v>476.94</v>
      </c>
      <c r="AR334" s="107">
        <v>658.72</v>
      </c>
      <c r="AS334" s="107">
        <v>795.45</v>
      </c>
      <c r="AT334" s="107">
        <v>511</v>
      </c>
      <c r="AU334" s="107">
        <v>772</v>
      </c>
      <c r="AV334" s="107">
        <v>933</v>
      </c>
    </row>
    <row r="335" spans="1:48" ht="30" customHeight="1" outlineLevel="2">
      <c r="A335" s="116" t="s">
        <v>901</v>
      </c>
      <c r="B335" s="140" t="s">
        <v>902</v>
      </c>
      <c r="C335" s="134" t="s">
        <v>40</v>
      </c>
      <c r="E335" s="105">
        <f>MIN(N335,R335,V335,Z335,AD335)</f>
        <v>744.76599999999996</v>
      </c>
      <c r="F335" s="105">
        <f>AVERAGE(N335,R335,V335,Z335,AD335)</f>
        <v>1085.4360000000001</v>
      </c>
      <c r="G335" s="105">
        <f>MAX(N335,R335,V335,Z335,AD335)</f>
        <v>1811.48</v>
      </c>
      <c r="H335" s="106"/>
      <c r="I335" s="105">
        <f>MIN(T335,X335,AB335,AF335,P335)</f>
        <v>1238.2150000000001</v>
      </c>
      <c r="J335" s="105">
        <f>AVERAGE(P335,T335,X335,AB335,AF335)</f>
        <v>1920.6968000000004</v>
      </c>
      <c r="K335" s="105">
        <f>MAX(P335,T335,X335,AB335,AF335)</f>
        <v>2705.12</v>
      </c>
      <c r="N335" s="107">
        <f t="shared" si="141"/>
        <v>769.15300000000013</v>
      </c>
      <c r="O335" s="107">
        <f t="shared" si="142"/>
        <v>1077.0210000000002</v>
      </c>
      <c r="P335" s="107">
        <f t="shared" si="143"/>
        <v>1514.8650000000002</v>
      </c>
      <c r="R335" s="107">
        <f t="shared" si="144"/>
        <v>1811.48</v>
      </c>
      <c r="S335" s="107">
        <f t="shared" si="145"/>
        <v>2335.1240000000003</v>
      </c>
      <c r="T335" s="107">
        <f t="shared" si="146"/>
        <v>2705.12</v>
      </c>
      <c r="V335" s="107">
        <f t="shared" si="147"/>
        <v>975.38100000000009</v>
      </c>
      <c r="W335" s="107">
        <f t="shared" si="148"/>
        <v>1551.1870000000001</v>
      </c>
      <c r="X335" s="107">
        <f t="shared" si="149"/>
        <v>2102.5840000000003</v>
      </c>
      <c r="Z335" s="107">
        <f t="shared" si="150"/>
        <v>744.76599999999996</v>
      </c>
      <c r="AA335" s="107">
        <f t="shared" si="151"/>
        <v>1032.768</v>
      </c>
      <c r="AB335" s="107">
        <f t="shared" si="152"/>
        <v>1238.2150000000001</v>
      </c>
      <c r="AD335" s="107">
        <f t="shared" si="153"/>
        <v>1126.4000000000001</v>
      </c>
      <c r="AE335" s="107">
        <f t="shared" si="154"/>
        <v>1695.1000000000001</v>
      </c>
      <c r="AF335" s="107">
        <f t="shared" si="155"/>
        <v>2042.7000000000003</v>
      </c>
      <c r="AH335" s="107">
        <v>699.23</v>
      </c>
      <c r="AI335" s="107">
        <v>979.11</v>
      </c>
      <c r="AJ335" s="107">
        <v>1377.15</v>
      </c>
      <c r="AK335" s="107">
        <v>1646.8</v>
      </c>
      <c r="AL335" s="107">
        <v>2122.84</v>
      </c>
      <c r="AM335" s="107">
        <v>2459.1999999999998</v>
      </c>
      <c r="AN335" s="107">
        <v>886.71</v>
      </c>
      <c r="AO335" s="107">
        <v>1410.17</v>
      </c>
      <c r="AP335" s="107">
        <v>1911.44</v>
      </c>
      <c r="AQ335" s="107">
        <v>677.06</v>
      </c>
      <c r="AR335" s="107">
        <v>938.88</v>
      </c>
      <c r="AS335" s="107">
        <v>1125.6500000000001</v>
      </c>
      <c r="AT335" s="107">
        <v>1024</v>
      </c>
      <c r="AU335" s="107">
        <v>1541</v>
      </c>
      <c r="AV335" s="107">
        <v>1857</v>
      </c>
    </row>
    <row r="336" spans="1:48" ht="30" customHeight="1" outlineLevel="1">
      <c r="A336" s="109" t="s">
        <v>903</v>
      </c>
      <c r="B336" s="135" t="s">
        <v>904</v>
      </c>
      <c r="C336" s="111"/>
      <c r="N336" s="11" t="str">
        <f t="shared" si="141"/>
        <v/>
      </c>
      <c r="O336" s="11" t="str">
        <f t="shared" si="142"/>
        <v/>
      </c>
      <c r="P336" s="11" t="str">
        <f t="shared" si="143"/>
        <v/>
      </c>
      <c r="R336" s="11" t="str">
        <f t="shared" si="144"/>
        <v/>
      </c>
      <c r="S336" s="11" t="str">
        <f t="shared" si="145"/>
        <v/>
      </c>
      <c r="T336" s="11" t="str">
        <f t="shared" si="146"/>
        <v/>
      </c>
      <c r="V336" s="11" t="str">
        <f t="shared" si="147"/>
        <v/>
      </c>
      <c r="W336" s="11" t="str">
        <f t="shared" si="148"/>
        <v/>
      </c>
      <c r="X336" s="11" t="str">
        <f t="shared" si="149"/>
        <v/>
      </c>
      <c r="Z336" s="11" t="str">
        <f t="shared" si="150"/>
        <v/>
      </c>
      <c r="AA336" s="11" t="str">
        <f t="shared" si="151"/>
        <v/>
      </c>
      <c r="AB336" s="11" t="str">
        <f t="shared" si="152"/>
        <v/>
      </c>
      <c r="AD336" s="11" t="str">
        <f t="shared" si="153"/>
        <v/>
      </c>
      <c r="AE336" s="11" t="str">
        <f t="shared" si="154"/>
        <v/>
      </c>
      <c r="AF336" s="11" t="str">
        <f t="shared" si="155"/>
        <v/>
      </c>
    </row>
    <row r="337" spans="1:48" ht="30" customHeight="1" outlineLevel="2">
      <c r="A337" s="116" t="s">
        <v>905</v>
      </c>
      <c r="B337" s="140" t="s">
        <v>906</v>
      </c>
      <c r="C337" s="134" t="s">
        <v>242</v>
      </c>
      <c r="E337" s="105">
        <f>MIN(N337,R337,V337,Z337,AD337)</f>
        <v>191.04800000000003</v>
      </c>
      <c r="F337" s="105">
        <f>AVERAGE(N337,R337,V337,Z337,AD337)</f>
        <v>875.89920000000006</v>
      </c>
      <c r="G337" s="105">
        <f>MAX(N337,R337,V337,Z337,AD337)</f>
        <v>2694.9120000000003</v>
      </c>
      <c r="H337" s="106"/>
      <c r="I337" s="105">
        <f>MIN(T337,X337,AB337,AF337,P337)</f>
        <v>274.47200000000004</v>
      </c>
      <c r="J337" s="105">
        <f>AVERAGE(P337,T337,X337,AB337,AF337)</f>
        <v>1382.7638000000002</v>
      </c>
      <c r="K337" s="105">
        <f>MAX(P337,T337,X337,AB337,AF337)</f>
        <v>3756.9070000000002</v>
      </c>
      <c r="N337" s="107">
        <f t="shared" si="141"/>
        <v>2694.9120000000003</v>
      </c>
      <c r="O337" s="107">
        <f t="shared" si="142"/>
        <v>3134.241</v>
      </c>
      <c r="P337" s="107">
        <f t="shared" si="143"/>
        <v>3756.9070000000002</v>
      </c>
      <c r="R337" s="107">
        <f t="shared" si="144"/>
        <v>191.04800000000003</v>
      </c>
      <c r="S337" s="107">
        <f t="shared" si="145"/>
        <v>228.55800000000002</v>
      </c>
      <c r="T337" s="107">
        <f t="shared" si="146"/>
        <v>274.47200000000004</v>
      </c>
      <c r="V337" s="107">
        <f t="shared" si="147"/>
        <v>635.73400000000015</v>
      </c>
      <c r="W337" s="107">
        <f t="shared" si="148"/>
        <v>1000.9560000000001</v>
      </c>
      <c r="X337" s="107">
        <f t="shared" si="149"/>
        <v>1359.7540000000001</v>
      </c>
      <c r="Z337" s="107">
        <f t="shared" si="150"/>
        <v>304.50200000000001</v>
      </c>
      <c r="AA337" s="107">
        <f t="shared" si="151"/>
        <v>416.40500000000003</v>
      </c>
      <c r="AB337" s="107">
        <f t="shared" si="152"/>
        <v>511.78600000000006</v>
      </c>
      <c r="AD337" s="107">
        <f t="shared" si="153"/>
        <v>553.30000000000007</v>
      </c>
      <c r="AE337" s="107">
        <f t="shared" si="154"/>
        <v>836.00000000000011</v>
      </c>
      <c r="AF337" s="107">
        <f t="shared" si="155"/>
        <v>1010.9000000000001</v>
      </c>
      <c r="AH337" s="107">
        <v>2449.92</v>
      </c>
      <c r="AI337" s="107">
        <v>2849.31</v>
      </c>
      <c r="AJ337" s="107">
        <v>3415.37</v>
      </c>
      <c r="AK337" s="107">
        <v>173.68</v>
      </c>
      <c r="AL337" s="107">
        <v>207.78</v>
      </c>
      <c r="AM337" s="107">
        <v>249.52</v>
      </c>
      <c r="AN337" s="107">
        <v>577.94000000000005</v>
      </c>
      <c r="AO337" s="107">
        <v>909.96</v>
      </c>
      <c r="AP337" s="107">
        <v>1236.1400000000001</v>
      </c>
      <c r="AQ337" s="107">
        <v>276.82</v>
      </c>
      <c r="AR337" s="107">
        <v>378.55</v>
      </c>
      <c r="AS337" s="107">
        <v>465.26</v>
      </c>
      <c r="AT337" s="107">
        <v>503</v>
      </c>
      <c r="AU337" s="107">
        <v>760</v>
      </c>
      <c r="AV337" s="107">
        <v>919</v>
      </c>
    </row>
    <row r="338" spans="1:48" ht="30" customHeight="1" outlineLevel="2" thickBot="1">
      <c r="A338" s="116" t="s">
        <v>907</v>
      </c>
      <c r="B338" s="141" t="s">
        <v>908</v>
      </c>
      <c r="C338" s="136" t="s">
        <v>242</v>
      </c>
      <c r="E338" s="105">
        <f>MIN(N338,R338,V338,Z338,AD338)</f>
        <v>371.09600000000006</v>
      </c>
      <c r="F338" s="105">
        <f>AVERAGE(N338,R338,V338,Z338,AD338)</f>
        <v>1385.8020000000001</v>
      </c>
      <c r="G338" s="105">
        <f>MAX(N338,R338,V338,Z338,AD338)</f>
        <v>3521.3530000000005</v>
      </c>
      <c r="H338" s="106"/>
      <c r="I338" s="105">
        <f>MIN(T338,X338,AB338,AF338,P338)</f>
        <v>544.5440000000001</v>
      </c>
      <c r="J338" s="105">
        <f>AVERAGE(P338,T338,X338,AB338,AF338)</f>
        <v>2360.6528000000003</v>
      </c>
      <c r="K338" s="105">
        <f>MAX(P338,T338,X338,AB338,AF338)</f>
        <v>5374.072000000001</v>
      </c>
      <c r="N338" s="107">
        <f t="shared" si="141"/>
        <v>3521.3530000000005</v>
      </c>
      <c r="O338" s="107">
        <f t="shared" si="142"/>
        <v>4289.3620000000001</v>
      </c>
      <c r="P338" s="107">
        <f t="shared" si="143"/>
        <v>5374.072000000001</v>
      </c>
      <c r="R338" s="107">
        <f t="shared" si="144"/>
        <v>371.09600000000006</v>
      </c>
      <c r="S338" s="107">
        <f t="shared" si="145"/>
        <v>462.62700000000001</v>
      </c>
      <c r="T338" s="107">
        <f t="shared" si="146"/>
        <v>544.5440000000001</v>
      </c>
      <c r="V338" s="107">
        <f t="shared" si="147"/>
        <v>1330.846</v>
      </c>
      <c r="W338" s="107">
        <f t="shared" si="148"/>
        <v>2127.0480000000002</v>
      </c>
      <c r="X338" s="107">
        <f t="shared" si="149"/>
        <v>2879.9760000000001</v>
      </c>
      <c r="Z338" s="107">
        <f t="shared" si="150"/>
        <v>598.01499999999999</v>
      </c>
      <c r="AA338" s="107">
        <f t="shared" si="151"/>
        <v>827.32100000000003</v>
      </c>
      <c r="AB338" s="107">
        <f t="shared" si="152"/>
        <v>996.07200000000012</v>
      </c>
      <c r="AD338" s="107">
        <f t="shared" si="153"/>
        <v>1107.7</v>
      </c>
      <c r="AE338" s="107">
        <f t="shared" si="154"/>
        <v>1667.6000000000001</v>
      </c>
      <c r="AF338" s="107">
        <f t="shared" si="155"/>
        <v>2008.6000000000001</v>
      </c>
      <c r="AH338" s="107">
        <v>3201.23</v>
      </c>
      <c r="AI338" s="107">
        <v>3899.42</v>
      </c>
      <c r="AJ338" s="107">
        <v>4885.5200000000004</v>
      </c>
      <c r="AK338" s="107">
        <v>337.36</v>
      </c>
      <c r="AL338" s="107">
        <v>420.57</v>
      </c>
      <c r="AM338" s="107">
        <v>495.04</v>
      </c>
      <c r="AN338" s="107">
        <v>1209.8599999999999</v>
      </c>
      <c r="AO338" s="107">
        <v>1933.68</v>
      </c>
      <c r="AP338" s="107">
        <v>2618.16</v>
      </c>
      <c r="AQ338" s="107">
        <v>543.65</v>
      </c>
      <c r="AR338" s="107">
        <v>752.11</v>
      </c>
      <c r="AS338" s="107">
        <v>905.52</v>
      </c>
      <c r="AT338" s="107">
        <v>1007</v>
      </c>
      <c r="AU338" s="107">
        <v>1516</v>
      </c>
      <c r="AV338" s="107">
        <v>1826</v>
      </c>
    </row>
    <row r="339" spans="1:48" ht="30" customHeight="1" thickBot="1">
      <c r="A339" s="96" t="s">
        <v>909</v>
      </c>
      <c r="B339" s="115" t="s">
        <v>910</v>
      </c>
      <c r="C339" s="98"/>
      <c r="N339" s="11" t="str">
        <f t="shared" si="141"/>
        <v/>
      </c>
      <c r="O339" s="11" t="str">
        <f t="shared" si="142"/>
        <v/>
      </c>
      <c r="P339" s="11" t="str">
        <f t="shared" si="143"/>
        <v/>
      </c>
      <c r="R339" s="11" t="str">
        <f t="shared" si="144"/>
        <v/>
      </c>
      <c r="S339" s="11" t="str">
        <f t="shared" si="145"/>
        <v/>
      </c>
      <c r="T339" s="11" t="str">
        <f t="shared" si="146"/>
        <v/>
      </c>
      <c r="V339" s="11" t="str">
        <f t="shared" si="147"/>
        <v/>
      </c>
      <c r="W339" s="11" t="str">
        <f t="shared" si="148"/>
        <v/>
      </c>
      <c r="X339" s="11" t="str">
        <f t="shared" si="149"/>
        <v/>
      </c>
      <c r="Z339" s="11" t="str">
        <f t="shared" si="150"/>
        <v/>
      </c>
      <c r="AA339" s="11" t="str">
        <f t="shared" si="151"/>
        <v/>
      </c>
      <c r="AB339" s="11" t="str">
        <f t="shared" si="152"/>
        <v/>
      </c>
      <c r="AD339" s="11" t="str">
        <f t="shared" si="153"/>
        <v/>
      </c>
      <c r="AE339" s="11" t="str">
        <f t="shared" si="154"/>
        <v/>
      </c>
      <c r="AF339" s="11" t="str">
        <f t="shared" si="155"/>
        <v/>
      </c>
    </row>
    <row r="340" spans="1:48" ht="30" customHeight="1" outlineLevel="1">
      <c r="A340" s="132" t="s">
        <v>911</v>
      </c>
      <c r="B340" s="133" t="s">
        <v>912</v>
      </c>
      <c r="C340" s="101"/>
      <c r="N340" s="11" t="str">
        <f t="shared" si="141"/>
        <v/>
      </c>
      <c r="O340" s="11" t="str">
        <f t="shared" si="142"/>
        <v/>
      </c>
      <c r="P340" s="11" t="str">
        <f t="shared" si="143"/>
        <v/>
      </c>
      <c r="R340" s="11" t="str">
        <f t="shared" si="144"/>
        <v/>
      </c>
      <c r="S340" s="11" t="str">
        <f t="shared" si="145"/>
        <v/>
      </c>
      <c r="T340" s="11" t="str">
        <f t="shared" si="146"/>
        <v/>
      </c>
      <c r="V340" s="11" t="str">
        <f t="shared" si="147"/>
        <v/>
      </c>
      <c r="W340" s="11" t="str">
        <f t="shared" si="148"/>
        <v/>
      </c>
      <c r="X340" s="11" t="str">
        <f t="shared" si="149"/>
        <v/>
      </c>
      <c r="Z340" s="11" t="str">
        <f t="shared" si="150"/>
        <v/>
      </c>
      <c r="AA340" s="11" t="str">
        <f t="shared" si="151"/>
        <v/>
      </c>
      <c r="AB340" s="11" t="str">
        <f t="shared" si="152"/>
        <v/>
      </c>
      <c r="AD340" s="11" t="str">
        <f t="shared" si="153"/>
        <v/>
      </c>
      <c r="AE340" s="11" t="str">
        <f t="shared" si="154"/>
        <v/>
      </c>
      <c r="AF340" s="11" t="str">
        <f t="shared" si="155"/>
        <v/>
      </c>
    </row>
    <row r="341" spans="1:48" ht="30" customHeight="1" outlineLevel="2">
      <c r="A341" s="116" t="s">
        <v>913</v>
      </c>
      <c r="B341" s="140" t="s">
        <v>914</v>
      </c>
      <c r="C341" s="142" t="s">
        <v>242</v>
      </c>
      <c r="E341" s="105">
        <f>MIN(N341,R341,V341,Z341,AD341)</f>
        <v>139.90900000000002</v>
      </c>
      <c r="F341" s="105">
        <f>AVERAGE(N341,R341,V341,Z341,AD341)</f>
        <v>275.34540000000004</v>
      </c>
      <c r="G341" s="105">
        <f>MAX(N341,R341,V341,Z341,AD341)</f>
        <v>470.8</v>
      </c>
      <c r="H341" s="106"/>
      <c r="I341" s="105">
        <f>MIN(T341,X341,AB341,AF341,P341)</f>
        <v>4.4000000000000004</v>
      </c>
      <c r="J341" s="105">
        <f>AVERAGE(P341,T341,X341,AB341,AF341)</f>
        <v>10.780000000000001</v>
      </c>
      <c r="K341" s="105">
        <f>MAX(P341,T341,X341,AB341,AF341)</f>
        <v>27.500000000000004</v>
      </c>
      <c r="N341" s="107">
        <f t="shared" si="141"/>
        <v>139.90900000000002</v>
      </c>
      <c r="O341" s="107">
        <f t="shared" si="142"/>
        <v>-1.1000000000000001</v>
      </c>
      <c r="P341" s="107">
        <f t="shared" si="143"/>
        <v>5.5</v>
      </c>
      <c r="R341" s="107">
        <f t="shared" si="144"/>
        <v>385.74800000000005</v>
      </c>
      <c r="S341" s="107">
        <f t="shared" si="145"/>
        <v>-5.5</v>
      </c>
      <c r="T341" s="107">
        <f t="shared" si="146"/>
        <v>4.4000000000000004</v>
      </c>
      <c r="V341" s="107">
        <f t="shared" si="147"/>
        <v>153.054</v>
      </c>
      <c r="W341" s="107">
        <f t="shared" si="148"/>
        <v>-2.2000000000000002</v>
      </c>
      <c r="X341" s="107">
        <f t="shared" si="149"/>
        <v>5.5</v>
      </c>
      <c r="Z341" s="107">
        <f t="shared" si="150"/>
        <v>227.21600000000001</v>
      </c>
      <c r="AA341" s="107">
        <f t="shared" si="151"/>
        <v>5.5</v>
      </c>
      <c r="AB341" s="107">
        <f t="shared" si="152"/>
        <v>27.500000000000004</v>
      </c>
      <c r="AD341" s="107">
        <f t="shared" si="153"/>
        <v>470.8</v>
      </c>
      <c r="AE341" s="107">
        <f t="shared" si="154"/>
        <v>2.2000000000000002</v>
      </c>
      <c r="AF341" s="107">
        <f t="shared" si="155"/>
        <v>11</v>
      </c>
      <c r="AH341" s="107">
        <v>127.19</v>
      </c>
      <c r="AI341" s="107">
        <v>-1</v>
      </c>
      <c r="AJ341" s="107">
        <v>5</v>
      </c>
      <c r="AK341" s="107">
        <v>350.68</v>
      </c>
      <c r="AL341" s="107">
        <v>-5</v>
      </c>
      <c r="AM341" s="107">
        <v>4</v>
      </c>
      <c r="AN341" s="107">
        <v>139.13999999999999</v>
      </c>
      <c r="AO341" s="107">
        <v>-2</v>
      </c>
      <c r="AP341" s="107">
        <v>5</v>
      </c>
      <c r="AQ341" s="107">
        <v>206.56</v>
      </c>
      <c r="AR341" s="107">
        <v>5</v>
      </c>
      <c r="AS341" s="107">
        <v>25</v>
      </c>
      <c r="AT341" s="107">
        <v>428</v>
      </c>
      <c r="AU341" s="107">
        <v>2</v>
      </c>
      <c r="AV341" s="107">
        <v>10</v>
      </c>
    </row>
    <row r="342" spans="1:48" ht="30" customHeight="1" outlineLevel="2">
      <c r="A342" s="116" t="s">
        <v>915</v>
      </c>
      <c r="B342" s="140" t="s">
        <v>916</v>
      </c>
      <c r="C342" s="142" t="s">
        <v>242</v>
      </c>
      <c r="E342" s="105">
        <f>MIN(N342,R342,V342,Z342,AD342)</f>
        <v>-2.2000000000000002</v>
      </c>
      <c r="F342" s="105">
        <f>AVERAGE(N342,R342,V342,Z342,AD342)</f>
        <v>6.8199999999999985</v>
      </c>
      <c r="G342" s="105">
        <f>MAX(N342,R342,V342,Z342,AD342)</f>
        <v>16.5</v>
      </c>
      <c r="H342" s="106"/>
      <c r="I342" s="105">
        <f>MIN(T342,X342,AB342,AF342,P342)</f>
        <v>253.04400000000001</v>
      </c>
      <c r="J342" s="105">
        <f>AVERAGE(P342,T342,X342,AB342,AF342)</f>
        <v>453.28360000000004</v>
      </c>
      <c r="K342" s="105">
        <f>MAX(P342,T342,X342,AB342,AF342)</f>
        <v>855.80000000000007</v>
      </c>
      <c r="N342" s="107">
        <f t="shared" si="141"/>
        <v>-2.2000000000000002</v>
      </c>
      <c r="O342" s="107">
        <f t="shared" si="142"/>
        <v>184.83300000000003</v>
      </c>
      <c r="P342" s="107">
        <f t="shared" si="143"/>
        <v>253.04400000000001</v>
      </c>
      <c r="R342" s="107">
        <f t="shared" si="144"/>
        <v>11</v>
      </c>
      <c r="S342" s="107">
        <f t="shared" si="145"/>
        <v>423.25799999999998</v>
      </c>
      <c r="T342" s="107">
        <f t="shared" si="146"/>
        <v>469.17200000000003</v>
      </c>
      <c r="V342" s="107">
        <f t="shared" si="147"/>
        <v>16.5</v>
      </c>
      <c r="W342" s="107">
        <f t="shared" si="148"/>
        <v>219.02100000000004</v>
      </c>
      <c r="X342" s="107">
        <f t="shared" si="149"/>
        <v>304.15000000000003</v>
      </c>
      <c r="Z342" s="107">
        <f t="shared" si="150"/>
        <v>11</v>
      </c>
      <c r="AA342" s="107">
        <f t="shared" si="151"/>
        <v>308.19800000000004</v>
      </c>
      <c r="AB342" s="107">
        <f t="shared" si="152"/>
        <v>384.25200000000001</v>
      </c>
      <c r="AD342" s="107">
        <f t="shared" si="153"/>
        <v>-2.2000000000000002</v>
      </c>
      <c r="AE342" s="107">
        <f t="shared" si="154"/>
        <v>711.7</v>
      </c>
      <c r="AF342" s="107">
        <f t="shared" si="155"/>
        <v>855.80000000000007</v>
      </c>
      <c r="AH342" s="107">
        <v>-2</v>
      </c>
      <c r="AI342" s="107">
        <v>168.03</v>
      </c>
      <c r="AJ342" s="107">
        <v>230.04</v>
      </c>
      <c r="AK342" s="107">
        <v>10</v>
      </c>
      <c r="AL342" s="107">
        <v>384.78</v>
      </c>
      <c r="AM342" s="107">
        <v>426.52</v>
      </c>
      <c r="AN342" s="107">
        <v>15</v>
      </c>
      <c r="AO342" s="107">
        <v>199.11</v>
      </c>
      <c r="AP342" s="107">
        <v>276.5</v>
      </c>
      <c r="AQ342" s="107">
        <v>10</v>
      </c>
      <c r="AR342" s="107">
        <v>280.18</v>
      </c>
      <c r="AS342" s="107">
        <v>349.32</v>
      </c>
      <c r="AT342" s="107">
        <v>-2</v>
      </c>
      <c r="AU342" s="107">
        <v>647</v>
      </c>
      <c r="AV342" s="107">
        <v>778</v>
      </c>
    </row>
    <row r="343" spans="1:48" ht="30" customHeight="1" outlineLevel="1">
      <c r="A343" s="109" t="s">
        <v>917</v>
      </c>
      <c r="B343" s="135" t="s">
        <v>918</v>
      </c>
      <c r="C343" s="111"/>
      <c r="N343" s="11" t="str">
        <f t="shared" si="141"/>
        <v/>
      </c>
      <c r="O343" s="11" t="str">
        <f t="shared" si="142"/>
        <v/>
      </c>
      <c r="P343" s="11" t="str">
        <f t="shared" si="143"/>
        <v/>
      </c>
      <c r="R343" s="11" t="str">
        <f t="shared" si="144"/>
        <v/>
      </c>
      <c r="S343" s="11" t="str">
        <f t="shared" si="145"/>
        <v/>
      </c>
      <c r="T343" s="11" t="str">
        <f t="shared" si="146"/>
        <v/>
      </c>
      <c r="V343" s="11" t="str">
        <f t="shared" si="147"/>
        <v/>
      </c>
      <c r="W343" s="11" t="str">
        <f t="shared" si="148"/>
        <v/>
      </c>
      <c r="X343" s="11" t="str">
        <f t="shared" si="149"/>
        <v/>
      </c>
      <c r="Z343" s="11" t="str">
        <f t="shared" si="150"/>
        <v/>
      </c>
      <c r="AA343" s="11" t="str">
        <f t="shared" si="151"/>
        <v/>
      </c>
      <c r="AB343" s="11" t="str">
        <f t="shared" si="152"/>
        <v/>
      </c>
      <c r="AD343" s="11" t="str">
        <f t="shared" si="153"/>
        <v/>
      </c>
      <c r="AE343" s="11" t="str">
        <f t="shared" si="154"/>
        <v/>
      </c>
      <c r="AF343" s="11" t="str">
        <f t="shared" si="155"/>
        <v/>
      </c>
    </row>
    <row r="344" spans="1:48" ht="30" customHeight="1" outlineLevel="2">
      <c r="A344" s="102" t="s">
        <v>919</v>
      </c>
      <c r="B344" s="141" t="s">
        <v>920</v>
      </c>
      <c r="C344" s="143" t="s">
        <v>242</v>
      </c>
      <c r="E344" s="105">
        <f>MIN(N344,R344,V344,Z344,AD344)</f>
        <v>353.1</v>
      </c>
      <c r="F344" s="105">
        <f>AVERAGE(N344,R344,V344,Z344,AD344)</f>
        <v>697.7102000000001</v>
      </c>
      <c r="G344" s="105">
        <f>MAX(N344,R344,V344,Z344,AD344)</f>
        <v>1170.3560000000002</v>
      </c>
      <c r="H344" s="106"/>
      <c r="I344" s="105">
        <f>MIN(T344,X344,AB344,AF344,P344)</f>
        <v>4.4000000000000004</v>
      </c>
      <c r="J344" s="105">
        <f>AVERAGE(P344,T344,X344,AB344,AF344)</f>
        <v>10.780000000000001</v>
      </c>
      <c r="K344" s="105">
        <f>MAX(P344,T344,X344,AB344,AF344)</f>
        <v>27.500000000000004</v>
      </c>
      <c r="N344" s="107">
        <f t="shared" si="141"/>
        <v>393.536</v>
      </c>
      <c r="O344" s="107">
        <f t="shared" si="142"/>
        <v>-1.1000000000000001</v>
      </c>
      <c r="P344" s="107">
        <f t="shared" si="143"/>
        <v>5.5</v>
      </c>
      <c r="R344" s="107">
        <f t="shared" si="144"/>
        <v>890.29600000000005</v>
      </c>
      <c r="S344" s="107">
        <f t="shared" si="145"/>
        <v>-5.5</v>
      </c>
      <c r="T344" s="107">
        <f t="shared" si="146"/>
        <v>4.4000000000000004</v>
      </c>
      <c r="V344" s="107">
        <f t="shared" si="147"/>
        <v>681.26300000000015</v>
      </c>
      <c r="W344" s="107">
        <f t="shared" si="148"/>
        <v>-2.2000000000000002</v>
      </c>
      <c r="X344" s="107">
        <f t="shared" si="149"/>
        <v>5.5</v>
      </c>
      <c r="Z344" s="107">
        <f t="shared" si="150"/>
        <v>1170.3560000000002</v>
      </c>
      <c r="AA344" s="107">
        <f t="shared" si="151"/>
        <v>5.5</v>
      </c>
      <c r="AB344" s="107">
        <f t="shared" si="152"/>
        <v>27.500000000000004</v>
      </c>
      <c r="AD344" s="107">
        <f t="shared" si="153"/>
        <v>353.1</v>
      </c>
      <c r="AE344" s="107">
        <f t="shared" si="154"/>
        <v>2.2000000000000002</v>
      </c>
      <c r="AF344" s="107">
        <f t="shared" si="155"/>
        <v>11</v>
      </c>
      <c r="AH344" s="107">
        <v>357.76</v>
      </c>
      <c r="AI344" s="107">
        <v>-1</v>
      </c>
      <c r="AJ344" s="107">
        <v>5</v>
      </c>
      <c r="AK344" s="107">
        <v>809.36</v>
      </c>
      <c r="AL344" s="107">
        <v>-5</v>
      </c>
      <c r="AM344" s="107">
        <v>4</v>
      </c>
      <c r="AN344" s="107">
        <v>619.33000000000004</v>
      </c>
      <c r="AO344" s="107">
        <v>-2</v>
      </c>
      <c r="AP344" s="107">
        <v>5</v>
      </c>
      <c r="AQ344" s="107">
        <v>1063.96</v>
      </c>
      <c r="AR344" s="107">
        <v>5</v>
      </c>
      <c r="AS344" s="107">
        <v>25</v>
      </c>
      <c r="AT344" s="107">
        <v>321</v>
      </c>
      <c r="AU344" s="107">
        <v>2</v>
      </c>
      <c r="AV344" s="107">
        <v>10</v>
      </c>
    </row>
    <row r="345" spans="1:48" ht="30" customHeight="1" outlineLevel="2">
      <c r="A345" s="102" t="s">
        <v>921</v>
      </c>
      <c r="B345" s="141" t="s">
        <v>922</v>
      </c>
      <c r="C345" s="143" t="s">
        <v>242</v>
      </c>
      <c r="E345" s="105">
        <f>MIN(N345,R345,V345,Z345,AD345)</f>
        <v>1728.6940000000002</v>
      </c>
      <c r="F345" s="105">
        <f>AVERAGE(N345,R345,V345,Z345,AD345)</f>
        <v>2829.761</v>
      </c>
      <c r="G345" s="105">
        <f>MAX(N345,R345,V345,Z345,AD345)</f>
        <v>4212.7800000000007</v>
      </c>
      <c r="H345" s="106"/>
      <c r="I345" s="105">
        <f>MIN(T345,X345,AB345,AF345,P345)</f>
        <v>4.4000000000000004</v>
      </c>
      <c r="J345" s="105">
        <f>AVERAGE(P345,T345,X345,AB345,AF345)</f>
        <v>10.780000000000001</v>
      </c>
      <c r="K345" s="105">
        <f>MAX(P345,T345,X345,AB345,AF345)</f>
        <v>27.500000000000004</v>
      </c>
      <c r="N345" s="107">
        <f t="shared" si="141"/>
        <v>1728.6940000000002</v>
      </c>
      <c r="O345" s="107">
        <f t="shared" si="142"/>
        <v>-1.1000000000000001</v>
      </c>
      <c r="P345" s="107">
        <f t="shared" si="143"/>
        <v>5.5</v>
      </c>
      <c r="R345" s="107">
        <f t="shared" si="144"/>
        <v>4212.7800000000007</v>
      </c>
      <c r="S345" s="107">
        <f t="shared" si="145"/>
        <v>-5.5</v>
      </c>
      <c r="T345" s="107">
        <f t="shared" si="146"/>
        <v>4.4000000000000004</v>
      </c>
      <c r="V345" s="107">
        <f t="shared" si="147"/>
        <v>1792.56</v>
      </c>
      <c r="W345" s="107">
        <f t="shared" si="148"/>
        <v>-2.2000000000000002</v>
      </c>
      <c r="X345" s="107">
        <f t="shared" si="149"/>
        <v>5.5</v>
      </c>
      <c r="Z345" s="107">
        <f t="shared" si="150"/>
        <v>2599.9710000000005</v>
      </c>
      <c r="AA345" s="107">
        <f t="shared" si="151"/>
        <v>5.5</v>
      </c>
      <c r="AB345" s="107">
        <f t="shared" si="152"/>
        <v>27.500000000000004</v>
      </c>
      <c r="AD345" s="107">
        <f t="shared" si="153"/>
        <v>3814.8</v>
      </c>
      <c r="AE345" s="107">
        <f t="shared" si="154"/>
        <v>2.2000000000000002</v>
      </c>
      <c r="AF345" s="107">
        <f t="shared" si="155"/>
        <v>11</v>
      </c>
      <c r="AH345" s="107">
        <v>1571.54</v>
      </c>
      <c r="AI345" s="107">
        <v>-1</v>
      </c>
      <c r="AJ345" s="107">
        <v>5</v>
      </c>
      <c r="AK345" s="107">
        <v>3829.8</v>
      </c>
      <c r="AL345" s="107">
        <v>-5</v>
      </c>
      <c r="AM345" s="107">
        <v>4</v>
      </c>
      <c r="AN345" s="107">
        <v>1629.6</v>
      </c>
      <c r="AO345" s="107">
        <v>-2</v>
      </c>
      <c r="AP345" s="107">
        <v>5</v>
      </c>
      <c r="AQ345" s="107">
        <v>2363.61</v>
      </c>
      <c r="AR345" s="107">
        <v>5</v>
      </c>
      <c r="AS345" s="107">
        <v>25</v>
      </c>
      <c r="AT345" s="107">
        <v>3468</v>
      </c>
      <c r="AU345" s="107">
        <v>2</v>
      </c>
      <c r="AV345" s="107">
        <v>10</v>
      </c>
    </row>
    <row r="346" spans="1:48" ht="30" customHeight="1" outlineLevel="2" thickBot="1">
      <c r="A346" s="102" t="s">
        <v>923</v>
      </c>
      <c r="B346" s="141" t="s">
        <v>924</v>
      </c>
      <c r="C346" s="143" t="s">
        <v>242</v>
      </c>
      <c r="E346" s="105">
        <f>MIN(N346,R346,V346,Z346,AD346)</f>
        <v>134.20000000000002</v>
      </c>
      <c r="F346" s="105">
        <f>AVERAGE(N346,R346,V346,Z346,AD346)</f>
        <v>250.87260000000001</v>
      </c>
      <c r="G346" s="105">
        <f>MAX(N346,R346,V346,Z346,AD346)</f>
        <v>441.54</v>
      </c>
      <c r="H346" s="106"/>
      <c r="I346" s="105">
        <f>MIN(T346,X346,AB346,AF346,P346)</f>
        <v>4.4000000000000004</v>
      </c>
      <c r="J346" s="105">
        <f>AVERAGE(P346,T346,X346,AB346,AF346)</f>
        <v>10.780000000000001</v>
      </c>
      <c r="K346" s="105">
        <f>MAX(P346,T346,X346,AB346,AF346)</f>
        <v>27.500000000000004</v>
      </c>
      <c r="N346" s="107">
        <f t="shared" si="141"/>
        <v>187.75900000000001</v>
      </c>
      <c r="O346" s="107">
        <f t="shared" si="142"/>
        <v>-1.1000000000000001</v>
      </c>
      <c r="P346" s="107">
        <f t="shared" si="143"/>
        <v>5.5</v>
      </c>
      <c r="R346" s="107">
        <f t="shared" si="144"/>
        <v>204.86400000000003</v>
      </c>
      <c r="S346" s="107">
        <f t="shared" si="145"/>
        <v>-5.5</v>
      </c>
      <c r="T346" s="107">
        <f t="shared" si="146"/>
        <v>4.4000000000000004</v>
      </c>
      <c r="V346" s="107">
        <f t="shared" si="147"/>
        <v>441.54</v>
      </c>
      <c r="W346" s="107">
        <f t="shared" si="148"/>
        <v>-2.2000000000000002</v>
      </c>
      <c r="X346" s="107">
        <f t="shared" si="149"/>
        <v>5.5</v>
      </c>
      <c r="Z346" s="107">
        <f t="shared" si="150"/>
        <v>286</v>
      </c>
      <c r="AA346" s="107">
        <f t="shared" si="151"/>
        <v>5.5</v>
      </c>
      <c r="AB346" s="107">
        <f t="shared" si="152"/>
        <v>27.500000000000004</v>
      </c>
      <c r="AD346" s="107">
        <f t="shared" si="153"/>
        <v>134.20000000000002</v>
      </c>
      <c r="AE346" s="107">
        <f t="shared" si="154"/>
        <v>2.2000000000000002</v>
      </c>
      <c r="AF346" s="107">
        <f t="shared" si="155"/>
        <v>11</v>
      </c>
      <c r="AH346" s="107">
        <v>170.69</v>
      </c>
      <c r="AI346" s="107">
        <v>-1</v>
      </c>
      <c r="AJ346" s="107">
        <v>5</v>
      </c>
      <c r="AK346" s="107">
        <v>186.24</v>
      </c>
      <c r="AL346" s="107">
        <v>-5</v>
      </c>
      <c r="AM346" s="107">
        <v>4</v>
      </c>
      <c r="AN346" s="107">
        <v>401.4</v>
      </c>
      <c r="AO346" s="107">
        <v>-2</v>
      </c>
      <c r="AP346" s="107">
        <v>5</v>
      </c>
      <c r="AQ346" s="107">
        <v>260</v>
      </c>
      <c r="AR346" s="107">
        <v>5</v>
      </c>
      <c r="AS346" s="107">
        <v>25</v>
      </c>
      <c r="AT346" s="107">
        <v>122</v>
      </c>
      <c r="AU346" s="107">
        <v>2</v>
      </c>
      <c r="AV346" s="107">
        <v>10</v>
      </c>
    </row>
    <row r="347" spans="1:48" ht="30" customHeight="1" thickBot="1">
      <c r="A347" s="96" t="s">
        <v>925</v>
      </c>
      <c r="B347" s="115" t="s">
        <v>926</v>
      </c>
      <c r="C347" s="98"/>
      <c r="N347" s="11" t="str">
        <f t="shared" si="141"/>
        <v/>
      </c>
      <c r="O347" s="11" t="str">
        <f t="shared" si="142"/>
        <v/>
      </c>
      <c r="P347" s="11" t="str">
        <f t="shared" si="143"/>
        <v/>
      </c>
      <c r="R347" s="11" t="str">
        <f t="shared" si="144"/>
        <v/>
      </c>
      <c r="S347" s="11" t="str">
        <f t="shared" si="145"/>
        <v/>
      </c>
      <c r="T347" s="11" t="str">
        <f t="shared" si="146"/>
        <v/>
      </c>
      <c r="V347" s="11" t="str">
        <f t="shared" si="147"/>
        <v/>
      </c>
      <c r="W347" s="11" t="str">
        <f t="shared" si="148"/>
        <v/>
      </c>
      <c r="X347" s="11" t="str">
        <f t="shared" si="149"/>
        <v/>
      </c>
      <c r="Z347" s="11" t="str">
        <f t="shared" si="150"/>
        <v/>
      </c>
      <c r="AA347" s="11" t="str">
        <f t="shared" si="151"/>
        <v/>
      </c>
      <c r="AB347" s="11" t="str">
        <f t="shared" si="152"/>
        <v/>
      </c>
      <c r="AD347" s="11" t="str">
        <f t="shared" si="153"/>
        <v/>
      </c>
      <c r="AE347" s="11" t="str">
        <f t="shared" si="154"/>
        <v/>
      </c>
      <c r="AF347" s="11" t="str">
        <f t="shared" si="155"/>
        <v/>
      </c>
    </row>
    <row r="348" spans="1:48" ht="30" customHeight="1" outlineLevel="1">
      <c r="A348" s="132" t="s">
        <v>927</v>
      </c>
      <c r="B348" s="133" t="s">
        <v>928</v>
      </c>
      <c r="C348" s="101"/>
      <c r="N348" s="11" t="str">
        <f t="shared" si="141"/>
        <v/>
      </c>
      <c r="O348" s="11" t="str">
        <f t="shared" si="142"/>
        <v/>
      </c>
      <c r="P348" s="11" t="str">
        <f t="shared" si="143"/>
        <v/>
      </c>
      <c r="R348" s="11" t="str">
        <f t="shared" si="144"/>
        <v/>
      </c>
      <c r="S348" s="11" t="str">
        <f t="shared" si="145"/>
        <v/>
      </c>
      <c r="T348" s="11" t="str">
        <f t="shared" si="146"/>
        <v/>
      </c>
      <c r="V348" s="11" t="str">
        <f t="shared" si="147"/>
        <v/>
      </c>
      <c r="W348" s="11" t="str">
        <f t="shared" si="148"/>
        <v/>
      </c>
      <c r="X348" s="11" t="str">
        <f t="shared" si="149"/>
        <v/>
      </c>
      <c r="Z348" s="11" t="str">
        <f t="shared" si="150"/>
        <v/>
      </c>
      <c r="AA348" s="11" t="str">
        <f t="shared" si="151"/>
        <v/>
      </c>
      <c r="AB348" s="11" t="str">
        <f t="shared" si="152"/>
        <v/>
      </c>
      <c r="AD348" s="11" t="str">
        <f t="shared" si="153"/>
        <v/>
      </c>
      <c r="AE348" s="11" t="str">
        <f t="shared" si="154"/>
        <v/>
      </c>
      <c r="AF348" s="11" t="str">
        <f t="shared" si="155"/>
        <v/>
      </c>
    </row>
    <row r="349" spans="1:48" ht="30" customHeight="1" outlineLevel="2">
      <c r="A349" s="125" t="s">
        <v>929</v>
      </c>
      <c r="B349" s="117" t="s">
        <v>930</v>
      </c>
      <c r="C349" s="134" t="s">
        <v>242</v>
      </c>
      <c r="E349" s="105">
        <f t="shared" ref="E349:E354" si="156">MIN(N349,R349,V349,Z349,AD349)</f>
        <v>828.26700000000005</v>
      </c>
      <c r="F349" s="105">
        <f t="shared" ref="F349:F354" si="157">AVERAGE(N349,R349,V349,Z349,AD349)</f>
        <v>1047.3715999999999</v>
      </c>
      <c r="G349" s="105">
        <f t="shared" ref="G349:G354" si="158">MAX(N349,R349,V349,Z349,AD349)</f>
        <v>1469.6660000000002</v>
      </c>
      <c r="H349" s="106"/>
      <c r="I349" s="105">
        <f t="shared" ref="I349:I354" si="159">MIN(T349,X349,AB349,AF349,P349)</f>
        <v>893.2</v>
      </c>
      <c r="J349" s="105">
        <f t="shared" ref="J349:J354" si="160">AVERAGE(P349,T349,X349,AB349,AF349)</f>
        <v>1515.7559999999999</v>
      </c>
      <c r="K349" s="105">
        <f t="shared" ref="K349:K354" si="161">MAX(P349,T349,X349,AB349,AF349)</f>
        <v>2039.6420000000003</v>
      </c>
      <c r="N349" s="107">
        <f t="shared" si="141"/>
        <v>1469.6660000000002</v>
      </c>
      <c r="O349" s="107">
        <f t="shared" si="142"/>
        <v>1580.3260000000002</v>
      </c>
      <c r="P349" s="107">
        <f t="shared" si="143"/>
        <v>1740.9480000000003</v>
      </c>
      <c r="R349" s="107">
        <f t="shared" si="144"/>
        <v>1027.4000000000001</v>
      </c>
      <c r="S349" s="107">
        <f t="shared" si="145"/>
        <v>1104.4110000000001</v>
      </c>
      <c r="T349" s="107">
        <f t="shared" si="146"/>
        <v>1529.0000000000002</v>
      </c>
      <c r="V349" s="107">
        <f t="shared" si="147"/>
        <v>946.60500000000002</v>
      </c>
      <c r="W349" s="107">
        <f t="shared" si="148"/>
        <v>1504.5690000000002</v>
      </c>
      <c r="X349" s="107">
        <f t="shared" si="149"/>
        <v>2039.6420000000003</v>
      </c>
      <c r="Z349" s="107">
        <f t="shared" si="150"/>
        <v>828.26700000000005</v>
      </c>
      <c r="AA349" s="107">
        <f t="shared" si="151"/>
        <v>1005.73</v>
      </c>
      <c r="AB349" s="107">
        <f t="shared" si="152"/>
        <v>1375.9900000000002</v>
      </c>
      <c r="AD349" s="107">
        <f t="shared" si="153"/>
        <v>964.92000000000007</v>
      </c>
      <c r="AE349" s="107">
        <f t="shared" si="154"/>
        <v>1395.9</v>
      </c>
      <c r="AF349" s="107">
        <f t="shared" si="155"/>
        <v>893.2</v>
      </c>
      <c r="AH349" s="107">
        <v>1336.06</v>
      </c>
      <c r="AI349" s="107">
        <v>1436.66</v>
      </c>
      <c r="AJ349" s="107">
        <v>1582.68</v>
      </c>
      <c r="AK349" s="107">
        <v>934</v>
      </c>
      <c r="AL349" s="107">
        <v>1004.01</v>
      </c>
      <c r="AM349" s="107">
        <v>1390</v>
      </c>
      <c r="AN349" s="107">
        <v>860.55</v>
      </c>
      <c r="AO349" s="107">
        <v>1367.79</v>
      </c>
      <c r="AP349" s="107">
        <v>1854.22</v>
      </c>
      <c r="AQ349" s="107">
        <v>752.97</v>
      </c>
      <c r="AR349" s="107">
        <v>914.3</v>
      </c>
      <c r="AS349" s="107">
        <v>1250.9000000000001</v>
      </c>
      <c r="AT349" s="107">
        <v>877.2</v>
      </c>
      <c r="AU349" s="107">
        <v>1269</v>
      </c>
      <c r="AV349" s="107">
        <v>812</v>
      </c>
    </row>
    <row r="350" spans="1:48" ht="30" customHeight="1" outlineLevel="2">
      <c r="A350" s="125" t="s">
        <v>931</v>
      </c>
      <c r="B350" s="117" t="s">
        <v>932</v>
      </c>
      <c r="C350" s="134" t="s">
        <v>242</v>
      </c>
      <c r="E350" s="105">
        <f t="shared" si="156"/>
        <v>940.28</v>
      </c>
      <c r="F350" s="105">
        <f t="shared" si="157"/>
        <v>1596.4432000000002</v>
      </c>
      <c r="G350" s="105">
        <f t="shared" si="158"/>
        <v>2160.4</v>
      </c>
      <c r="H350" s="106"/>
      <c r="I350" s="105">
        <f t="shared" si="159"/>
        <v>1398.3200000000002</v>
      </c>
      <c r="J350" s="105">
        <f t="shared" si="160"/>
        <v>2573.1552000000001</v>
      </c>
      <c r="K350" s="105">
        <f t="shared" si="161"/>
        <v>3549.4910000000004</v>
      </c>
      <c r="N350" s="107">
        <f t="shared" si="141"/>
        <v>2085.9630000000002</v>
      </c>
      <c r="O350" s="107">
        <f t="shared" si="142"/>
        <v>2251.4030000000002</v>
      </c>
      <c r="P350" s="107">
        <f t="shared" si="143"/>
        <v>2489.0250000000001</v>
      </c>
      <c r="R350" s="107">
        <f t="shared" si="144"/>
        <v>940.28</v>
      </c>
      <c r="S350" s="107">
        <f t="shared" si="145"/>
        <v>1009.272</v>
      </c>
      <c r="T350" s="107">
        <f t="shared" si="146"/>
        <v>1398.3200000000002</v>
      </c>
      <c r="V350" s="107">
        <f t="shared" si="147"/>
        <v>1636.9760000000001</v>
      </c>
      <c r="W350" s="107">
        <f t="shared" si="148"/>
        <v>2622.9720000000002</v>
      </c>
      <c r="X350" s="107">
        <f t="shared" si="149"/>
        <v>3549.4910000000004</v>
      </c>
      <c r="Z350" s="107">
        <f t="shared" si="150"/>
        <v>1158.597</v>
      </c>
      <c r="AA350" s="107">
        <f t="shared" si="151"/>
        <v>1527.9770000000001</v>
      </c>
      <c r="AB350" s="107">
        <f t="shared" si="152"/>
        <v>1921.0400000000002</v>
      </c>
      <c r="AD350" s="107">
        <f t="shared" si="153"/>
        <v>2160.4</v>
      </c>
      <c r="AE350" s="107">
        <f t="shared" si="154"/>
        <v>3118.5000000000005</v>
      </c>
      <c r="AF350" s="107">
        <f t="shared" si="155"/>
        <v>3507.9</v>
      </c>
      <c r="AH350" s="107">
        <v>1896.33</v>
      </c>
      <c r="AI350" s="107">
        <v>2046.73</v>
      </c>
      <c r="AJ350" s="107">
        <v>2262.75</v>
      </c>
      <c r="AK350" s="107">
        <v>854.8</v>
      </c>
      <c r="AL350" s="107">
        <v>917.52</v>
      </c>
      <c r="AM350" s="107">
        <v>1271.2</v>
      </c>
      <c r="AN350" s="107">
        <v>1488.16</v>
      </c>
      <c r="AO350" s="107">
        <v>2384.52</v>
      </c>
      <c r="AP350" s="107">
        <v>3226.81</v>
      </c>
      <c r="AQ350" s="107">
        <v>1053.27</v>
      </c>
      <c r="AR350" s="107">
        <v>1389.07</v>
      </c>
      <c r="AS350" s="107">
        <v>1746.4</v>
      </c>
      <c r="AT350" s="107">
        <v>1964</v>
      </c>
      <c r="AU350" s="107">
        <v>2835</v>
      </c>
      <c r="AV350" s="107">
        <v>3189</v>
      </c>
    </row>
    <row r="351" spans="1:48" ht="30" customHeight="1" outlineLevel="2">
      <c r="A351" s="125" t="s">
        <v>933</v>
      </c>
      <c r="B351" s="117" t="s">
        <v>934</v>
      </c>
      <c r="C351" s="134" t="s">
        <v>242</v>
      </c>
      <c r="E351" s="105">
        <f t="shared" si="156"/>
        <v>1683.7040000000002</v>
      </c>
      <c r="F351" s="105">
        <f t="shared" si="157"/>
        <v>1950.7158000000004</v>
      </c>
      <c r="G351" s="105">
        <f t="shared" si="158"/>
        <v>2160.4</v>
      </c>
      <c r="H351" s="106"/>
      <c r="I351" s="105">
        <f t="shared" si="159"/>
        <v>2489.0250000000001</v>
      </c>
      <c r="J351" s="105">
        <f t="shared" si="160"/>
        <v>3186.8914</v>
      </c>
      <c r="K351" s="105">
        <f t="shared" si="161"/>
        <v>4598.0110000000004</v>
      </c>
      <c r="N351" s="107">
        <f t="shared" si="141"/>
        <v>2085.9630000000002</v>
      </c>
      <c r="O351" s="107">
        <f t="shared" si="142"/>
        <v>2251.4030000000002</v>
      </c>
      <c r="P351" s="107">
        <f t="shared" si="143"/>
        <v>2489.0250000000001</v>
      </c>
      <c r="R351" s="107">
        <f t="shared" si="144"/>
        <v>1683.7040000000002</v>
      </c>
      <c r="S351" s="107">
        <f t="shared" si="145"/>
        <v>1821.0940000000001</v>
      </c>
      <c r="T351" s="107">
        <f t="shared" si="146"/>
        <v>2513.4560000000001</v>
      </c>
      <c r="V351" s="107">
        <f t="shared" si="147"/>
        <v>2116.4110000000001</v>
      </c>
      <c r="W351" s="107">
        <f t="shared" si="148"/>
        <v>3399.6600000000003</v>
      </c>
      <c r="X351" s="107">
        <f t="shared" si="149"/>
        <v>4598.0110000000004</v>
      </c>
      <c r="Z351" s="107">
        <f t="shared" si="150"/>
        <v>1707.1010000000003</v>
      </c>
      <c r="AA351" s="107">
        <f t="shared" si="151"/>
        <v>2264.3830000000003</v>
      </c>
      <c r="AB351" s="107">
        <f t="shared" si="152"/>
        <v>2826.0650000000005</v>
      </c>
      <c r="AD351" s="107">
        <f t="shared" si="153"/>
        <v>2160.4</v>
      </c>
      <c r="AE351" s="107">
        <f t="shared" si="154"/>
        <v>3118.5000000000005</v>
      </c>
      <c r="AF351" s="107">
        <f t="shared" si="155"/>
        <v>3507.9</v>
      </c>
      <c r="AH351" s="107">
        <v>1896.33</v>
      </c>
      <c r="AI351" s="107">
        <v>2046.73</v>
      </c>
      <c r="AJ351" s="107">
        <v>2262.75</v>
      </c>
      <c r="AK351" s="107">
        <v>1530.64</v>
      </c>
      <c r="AL351" s="107">
        <v>1655.54</v>
      </c>
      <c r="AM351" s="107">
        <v>2284.96</v>
      </c>
      <c r="AN351" s="107">
        <v>1924.01</v>
      </c>
      <c r="AO351" s="107">
        <v>3090.6</v>
      </c>
      <c r="AP351" s="107">
        <v>4180.01</v>
      </c>
      <c r="AQ351" s="107">
        <v>1551.91</v>
      </c>
      <c r="AR351" s="107">
        <v>2058.5300000000002</v>
      </c>
      <c r="AS351" s="107">
        <v>2569.15</v>
      </c>
      <c r="AT351" s="107">
        <v>1964</v>
      </c>
      <c r="AU351" s="107">
        <v>2835</v>
      </c>
      <c r="AV351" s="107">
        <v>3189</v>
      </c>
    </row>
    <row r="352" spans="1:48" ht="30" customHeight="1" outlineLevel="2">
      <c r="A352" s="125" t="s">
        <v>935</v>
      </c>
      <c r="B352" s="117" t="s">
        <v>936</v>
      </c>
      <c r="C352" s="134" t="s">
        <v>242</v>
      </c>
      <c r="E352" s="105">
        <f t="shared" si="156"/>
        <v>847.35200000000009</v>
      </c>
      <c r="F352" s="105">
        <f t="shared" si="157"/>
        <v>1267.8402000000001</v>
      </c>
      <c r="G352" s="105">
        <f t="shared" si="158"/>
        <v>1636.9760000000001</v>
      </c>
      <c r="H352" s="106"/>
      <c r="I352" s="105">
        <f t="shared" si="159"/>
        <v>1258.9280000000001</v>
      </c>
      <c r="J352" s="105">
        <f t="shared" si="160"/>
        <v>2078.7096000000001</v>
      </c>
      <c r="K352" s="105">
        <f t="shared" si="161"/>
        <v>3549.4910000000004</v>
      </c>
      <c r="N352" s="107">
        <f t="shared" si="141"/>
        <v>1469.6660000000002</v>
      </c>
      <c r="O352" s="107">
        <f t="shared" si="142"/>
        <v>1580.3260000000002</v>
      </c>
      <c r="P352" s="107">
        <f t="shared" si="143"/>
        <v>1740.9480000000003</v>
      </c>
      <c r="R352" s="107">
        <f t="shared" si="144"/>
        <v>847.35200000000009</v>
      </c>
      <c r="S352" s="107">
        <f t="shared" si="145"/>
        <v>907.79700000000003</v>
      </c>
      <c r="T352" s="107">
        <f t="shared" si="146"/>
        <v>1258.9280000000001</v>
      </c>
      <c r="V352" s="107">
        <f t="shared" si="147"/>
        <v>1636.9760000000001</v>
      </c>
      <c r="W352" s="107">
        <f t="shared" si="148"/>
        <v>2622.9720000000002</v>
      </c>
      <c r="X352" s="107">
        <f t="shared" si="149"/>
        <v>3549.4910000000004</v>
      </c>
      <c r="Z352" s="107">
        <f t="shared" si="150"/>
        <v>1192.807</v>
      </c>
      <c r="AA352" s="107">
        <f t="shared" si="151"/>
        <v>1660.0319999999999</v>
      </c>
      <c r="AB352" s="107">
        <f t="shared" si="152"/>
        <v>1977.4810000000002</v>
      </c>
      <c r="AD352" s="107">
        <f t="shared" si="153"/>
        <v>1192.4000000000001</v>
      </c>
      <c r="AE352" s="107">
        <f t="shared" si="154"/>
        <v>1730.3000000000002</v>
      </c>
      <c r="AF352" s="107">
        <f t="shared" si="155"/>
        <v>1866.7</v>
      </c>
      <c r="AH352" s="107">
        <v>1336.06</v>
      </c>
      <c r="AI352" s="107">
        <v>1436.66</v>
      </c>
      <c r="AJ352" s="107">
        <v>1582.68</v>
      </c>
      <c r="AK352" s="107">
        <v>770.32</v>
      </c>
      <c r="AL352" s="107">
        <v>825.27</v>
      </c>
      <c r="AM352" s="107">
        <v>1144.48</v>
      </c>
      <c r="AN352" s="107">
        <v>1488.16</v>
      </c>
      <c r="AO352" s="107">
        <v>2384.52</v>
      </c>
      <c r="AP352" s="107">
        <v>3226.81</v>
      </c>
      <c r="AQ352" s="107">
        <v>1084.3699999999999</v>
      </c>
      <c r="AR352" s="107">
        <v>1509.12</v>
      </c>
      <c r="AS352" s="107">
        <v>1797.71</v>
      </c>
      <c r="AT352" s="107">
        <v>1084</v>
      </c>
      <c r="AU352" s="107">
        <v>1573</v>
      </c>
      <c r="AV352" s="107">
        <v>1697</v>
      </c>
    </row>
    <row r="353" spans="1:48" ht="30" customHeight="1" outlineLevel="2">
      <c r="A353" s="125" t="s">
        <v>937</v>
      </c>
      <c r="B353" s="117" t="s">
        <v>938</v>
      </c>
      <c r="C353" s="134" t="s">
        <v>242</v>
      </c>
      <c r="E353" s="105">
        <f t="shared" si="156"/>
        <v>228.8</v>
      </c>
      <c r="F353" s="105">
        <f t="shared" si="157"/>
        <v>1307.9351999999999</v>
      </c>
      <c r="G353" s="105">
        <f t="shared" si="158"/>
        <v>2160.4</v>
      </c>
      <c r="H353" s="106"/>
      <c r="I353" s="105">
        <f t="shared" si="159"/>
        <v>331.1</v>
      </c>
      <c r="J353" s="105">
        <f t="shared" si="160"/>
        <v>2172.2249999999999</v>
      </c>
      <c r="K353" s="105">
        <f t="shared" si="161"/>
        <v>3549.4910000000004</v>
      </c>
      <c r="N353" s="107">
        <f t="shared" si="141"/>
        <v>1469.6660000000002</v>
      </c>
      <c r="O353" s="107">
        <f t="shared" si="142"/>
        <v>1580.3260000000002</v>
      </c>
      <c r="P353" s="107">
        <f t="shared" si="143"/>
        <v>1740.9480000000003</v>
      </c>
      <c r="R353" s="107">
        <f t="shared" si="144"/>
        <v>228.8</v>
      </c>
      <c r="S353" s="107">
        <f t="shared" si="145"/>
        <v>232.34200000000001</v>
      </c>
      <c r="T353" s="107">
        <f t="shared" si="146"/>
        <v>331.1</v>
      </c>
      <c r="V353" s="107">
        <f t="shared" si="147"/>
        <v>1636.9760000000001</v>
      </c>
      <c r="W353" s="107">
        <f t="shared" si="148"/>
        <v>2622.9720000000002</v>
      </c>
      <c r="X353" s="107">
        <f t="shared" si="149"/>
        <v>3549.4910000000004</v>
      </c>
      <c r="Z353" s="107">
        <f t="shared" si="150"/>
        <v>1043.8340000000001</v>
      </c>
      <c r="AA353" s="107">
        <f t="shared" si="151"/>
        <v>1451.4720000000002</v>
      </c>
      <c r="AB353" s="107">
        <f t="shared" si="152"/>
        <v>1731.6860000000001</v>
      </c>
      <c r="AD353" s="107">
        <f t="shared" si="153"/>
        <v>2160.4</v>
      </c>
      <c r="AE353" s="107">
        <f t="shared" si="154"/>
        <v>3118.5000000000005</v>
      </c>
      <c r="AF353" s="107">
        <f t="shared" si="155"/>
        <v>3507.9</v>
      </c>
      <c r="AH353" s="107">
        <v>1336.06</v>
      </c>
      <c r="AI353" s="107">
        <v>1436.66</v>
      </c>
      <c r="AJ353" s="107">
        <v>1582.68</v>
      </c>
      <c r="AK353" s="107">
        <v>208</v>
      </c>
      <c r="AL353" s="107">
        <v>211.22</v>
      </c>
      <c r="AM353" s="107">
        <v>301</v>
      </c>
      <c r="AN353" s="107">
        <v>1488.16</v>
      </c>
      <c r="AO353" s="107">
        <v>2384.52</v>
      </c>
      <c r="AP353" s="107">
        <v>3226.81</v>
      </c>
      <c r="AQ353" s="107">
        <v>948.94</v>
      </c>
      <c r="AR353" s="107">
        <v>1319.52</v>
      </c>
      <c r="AS353" s="107">
        <v>1574.26</v>
      </c>
      <c r="AT353" s="107">
        <v>1964</v>
      </c>
      <c r="AU353" s="107">
        <v>2835</v>
      </c>
      <c r="AV353" s="107">
        <v>3189</v>
      </c>
    </row>
    <row r="354" spans="1:48" ht="30" customHeight="1" outlineLevel="2">
      <c r="A354" s="125" t="s">
        <v>939</v>
      </c>
      <c r="B354" s="117" t="s">
        <v>940</v>
      </c>
      <c r="C354" s="134" t="s">
        <v>242</v>
      </c>
      <c r="E354" s="105">
        <f t="shared" si="156"/>
        <v>228.8</v>
      </c>
      <c r="F354" s="105">
        <f t="shared" si="157"/>
        <v>1529.9262000000003</v>
      </c>
      <c r="G354" s="105">
        <f t="shared" si="158"/>
        <v>2160.4</v>
      </c>
      <c r="H354" s="106"/>
      <c r="I354" s="105">
        <f t="shared" si="159"/>
        <v>331.1</v>
      </c>
      <c r="J354" s="105">
        <f t="shared" si="160"/>
        <v>2484.7460000000001</v>
      </c>
      <c r="K354" s="105">
        <f t="shared" si="161"/>
        <v>3549.4910000000004</v>
      </c>
      <c r="N354" s="107">
        <f t="shared" si="141"/>
        <v>2085.9630000000002</v>
      </c>
      <c r="O354" s="107">
        <f t="shared" si="142"/>
        <v>2251.4030000000002</v>
      </c>
      <c r="P354" s="107">
        <f t="shared" si="143"/>
        <v>2489.0250000000001</v>
      </c>
      <c r="R354" s="107">
        <f t="shared" si="144"/>
        <v>228.8</v>
      </c>
      <c r="S354" s="107">
        <f t="shared" si="145"/>
        <v>232.34200000000001</v>
      </c>
      <c r="T354" s="107">
        <f t="shared" si="146"/>
        <v>331.1</v>
      </c>
      <c r="V354" s="107">
        <f t="shared" si="147"/>
        <v>1636.9760000000001</v>
      </c>
      <c r="W354" s="107">
        <f t="shared" si="148"/>
        <v>2622.9720000000002</v>
      </c>
      <c r="X354" s="107">
        <f t="shared" si="149"/>
        <v>3549.4910000000004</v>
      </c>
      <c r="Z354" s="107">
        <f t="shared" si="150"/>
        <v>1537.4920000000002</v>
      </c>
      <c r="AA354" s="107">
        <f t="shared" si="151"/>
        <v>2142.5909999999999</v>
      </c>
      <c r="AB354" s="107">
        <f t="shared" si="152"/>
        <v>2546.2139999999999</v>
      </c>
      <c r="AD354" s="107">
        <f t="shared" si="153"/>
        <v>2160.4</v>
      </c>
      <c r="AE354" s="107">
        <f t="shared" si="154"/>
        <v>3118.5000000000005</v>
      </c>
      <c r="AF354" s="107">
        <f t="shared" si="155"/>
        <v>3507.9</v>
      </c>
      <c r="AH354" s="107">
        <v>1896.33</v>
      </c>
      <c r="AI354" s="107">
        <v>2046.73</v>
      </c>
      <c r="AJ354" s="107">
        <v>2262.75</v>
      </c>
      <c r="AK354" s="107">
        <v>208</v>
      </c>
      <c r="AL354" s="107">
        <v>211.22</v>
      </c>
      <c r="AM354" s="107">
        <v>301</v>
      </c>
      <c r="AN354" s="107">
        <v>1488.16</v>
      </c>
      <c r="AO354" s="107">
        <v>2384.52</v>
      </c>
      <c r="AP354" s="107">
        <v>3226.81</v>
      </c>
      <c r="AQ354" s="107">
        <v>1397.72</v>
      </c>
      <c r="AR354" s="107">
        <v>1947.81</v>
      </c>
      <c r="AS354" s="107">
        <v>2314.7399999999998</v>
      </c>
      <c r="AT354" s="107">
        <v>1964</v>
      </c>
      <c r="AU354" s="107">
        <v>2835</v>
      </c>
      <c r="AV354" s="107">
        <v>3189</v>
      </c>
    </row>
    <row r="355" spans="1:48" ht="30" customHeight="1" outlineLevel="1">
      <c r="A355" s="109" t="s">
        <v>941</v>
      </c>
      <c r="B355" s="135" t="s">
        <v>942</v>
      </c>
      <c r="C355" s="111"/>
      <c r="N355" s="11" t="str">
        <f t="shared" si="141"/>
        <v/>
      </c>
      <c r="O355" s="11" t="str">
        <f t="shared" si="142"/>
        <v/>
      </c>
      <c r="P355" s="11" t="str">
        <f t="shared" si="143"/>
        <v/>
      </c>
      <c r="R355" s="11" t="str">
        <f t="shared" si="144"/>
        <v/>
      </c>
      <c r="S355" s="11" t="str">
        <f t="shared" si="145"/>
        <v/>
      </c>
      <c r="T355" s="11" t="str">
        <f t="shared" si="146"/>
        <v/>
      </c>
      <c r="V355" s="11" t="str">
        <f t="shared" si="147"/>
        <v/>
      </c>
      <c r="W355" s="11" t="str">
        <f t="shared" si="148"/>
        <v/>
      </c>
      <c r="X355" s="11" t="str">
        <f t="shared" si="149"/>
        <v/>
      </c>
      <c r="Z355" s="11" t="str">
        <f t="shared" si="150"/>
        <v/>
      </c>
      <c r="AA355" s="11" t="str">
        <f t="shared" si="151"/>
        <v/>
      </c>
      <c r="AB355" s="11" t="str">
        <f t="shared" si="152"/>
        <v/>
      </c>
      <c r="AD355" s="11" t="str">
        <f t="shared" si="153"/>
        <v/>
      </c>
      <c r="AE355" s="11" t="str">
        <f t="shared" si="154"/>
        <v/>
      </c>
      <c r="AF355" s="11" t="str">
        <f t="shared" si="155"/>
        <v/>
      </c>
    </row>
    <row r="356" spans="1:48" ht="30" customHeight="1" outlineLevel="2">
      <c r="A356" s="102" t="s">
        <v>943</v>
      </c>
      <c r="B356" s="144" t="s">
        <v>944</v>
      </c>
      <c r="C356" s="134" t="s">
        <v>242</v>
      </c>
      <c r="E356" s="105">
        <f>MIN(N356,R356,V356,Z356,AD356)</f>
        <v>398.20000000000005</v>
      </c>
      <c r="F356" s="105">
        <f>AVERAGE(N356,R356,V356,Z356,AD356)</f>
        <v>1049.1184000000001</v>
      </c>
      <c r="G356" s="105">
        <f>MAX(N356,R356,V356,Z356,AD356)</f>
        <v>2137.9160000000002</v>
      </c>
      <c r="H356" s="106"/>
      <c r="I356" s="105">
        <f>MIN(T356,X356,AB356,AF356,P356)</f>
        <v>4.4000000000000004</v>
      </c>
      <c r="J356" s="105">
        <f>AVERAGE(P356,T356,X356,AB356,AF356)</f>
        <v>10.780000000000001</v>
      </c>
      <c r="K356" s="105">
        <f>MAX(P356,T356,X356,AB356,AF356)</f>
        <v>27.500000000000004</v>
      </c>
      <c r="N356" s="107">
        <f t="shared" si="141"/>
        <v>1579.864</v>
      </c>
      <c r="O356" s="107">
        <f t="shared" si="142"/>
        <v>-1.1000000000000001</v>
      </c>
      <c r="P356" s="107">
        <f t="shared" si="143"/>
        <v>5.5</v>
      </c>
      <c r="R356" s="107">
        <f t="shared" si="144"/>
        <v>519.20000000000005</v>
      </c>
      <c r="S356" s="107">
        <f t="shared" si="145"/>
        <v>-5.5</v>
      </c>
      <c r="T356" s="107">
        <f t="shared" si="146"/>
        <v>4.4000000000000004</v>
      </c>
      <c r="V356" s="107">
        <f t="shared" si="147"/>
        <v>2137.9160000000002</v>
      </c>
      <c r="W356" s="107">
        <f t="shared" si="148"/>
        <v>-2.2000000000000002</v>
      </c>
      <c r="X356" s="107">
        <f t="shared" si="149"/>
        <v>5.5</v>
      </c>
      <c r="Z356" s="107">
        <f t="shared" si="150"/>
        <v>610.41200000000003</v>
      </c>
      <c r="AA356" s="107">
        <f t="shared" si="151"/>
        <v>5.5</v>
      </c>
      <c r="AB356" s="107">
        <f t="shared" si="152"/>
        <v>27.500000000000004</v>
      </c>
      <c r="AD356" s="107">
        <f t="shared" si="153"/>
        <v>398.20000000000005</v>
      </c>
      <c r="AE356" s="107">
        <f t="shared" si="154"/>
        <v>2.2000000000000002</v>
      </c>
      <c r="AF356" s="107">
        <f t="shared" si="155"/>
        <v>11</v>
      </c>
      <c r="AH356" s="107">
        <v>1436.24</v>
      </c>
      <c r="AI356" s="107">
        <v>-1</v>
      </c>
      <c r="AJ356" s="107">
        <v>5</v>
      </c>
      <c r="AK356" s="107">
        <v>472</v>
      </c>
      <c r="AL356" s="107">
        <v>-5</v>
      </c>
      <c r="AM356" s="107">
        <v>4</v>
      </c>
      <c r="AN356" s="107">
        <v>1943.56</v>
      </c>
      <c r="AO356" s="107">
        <v>-2</v>
      </c>
      <c r="AP356" s="107">
        <v>5</v>
      </c>
      <c r="AQ356" s="107">
        <v>554.91999999999996</v>
      </c>
      <c r="AR356" s="107">
        <v>5</v>
      </c>
      <c r="AS356" s="107">
        <v>25</v>
      </c>
      <c r="AT356" s="107">
        <v>362</v>
      </c>
      <c r="AU356" s="107">
        <v>2</v>
      </c>
      <c r="AV356" s="107">
        <v>10</v>
      </c>
    </row>
    <row r="357" spans="1:48" ht="30" customHeight="1" outlineLevel="1">
      <c r="A357" s="109" t="s">
        <v>945</v>
      </c>
      <c r="B357" s="135" t="s">
        <v>946</v>
      </c>
      <c r="C357" s="111"/>
      <c r="N357" s="11" t="str">
        <f t="shared" si="141"/>
        <v/>
      </c>
      <c r="O357" s="11" t="str">
        <f t="shared" si="142"/>
        <v/>
      </c>
      <c r="P357" s="11" t="str">
        <f t="shared" si="143"/>
        <v/>
      </c>
      <c r="R357" s="11" t="str">
        <f t="shared" si="144"/>
        <v/>
      </c>
      <c r="S357" s="11" t="str">
        <f t="shared" si="145"/>
        <v/>
      </c>
      <c r="T357" s="11" t="str">
        <f t="shared" si="146"/>
        <v/>
      </c>
      <c r="V357" s="11" t="str">
        <f t="shared" si="147"/>
        <v/>
      </c>
      <c r="W357" s="11" t="str">
        <f t="shared" si="148"/>
        <v/>
      </c>
      <c r="X357" s="11" t="str">
        <f t="shared" si="149"/>
        <v/>
      </c>
      <c r="Z357" s="11" t="str">
        <f t="shared" si="150"/>
        <v/>
      </c>
      <c r="AA357" s="11" t="str">
        <f t="shared" si="151"/>
        <v/>
      </c>
      <c r="AB357" s="11" t="str">
        <f t="shared" si="152"/>
        <v/>
      </c>
      <c r="AD357" s="11" t="str">
        <f t="shared" si="153"/>
        <v/>
      </c>
      <c r="AE357" s="11" t="str">
        <f t="shared" si="154"/>
        <v/>
      </c>
      <c r="AF357" s="11" t="str">
        <f t="shared" si="155"/>
        <v/>
      </c>
    </row>
    <row r="358" spans="1:48" ht="30" customHeight="1" outlineLevel="2" thickBot="1">
      <c r="A358" s="102" t="s">
        <v>947</v>
      </c>
      <c r="B358" s="144" t="s">
        <v>948</v>
      </c>
      <c r="C358" s="134" t="s">
        <v>242</v>
      </c>
      <c r="E358" s="105">
        <f>MIN(N358,R358,V358,Z358,AD358)</f>
        <v>865.05100000000004</v>
      </c>
      <c r="F358" s="105">
        <f>AVERAGE(N358,R358,V358,Z358,AD358)</f>
        <v>1137.3846000000001</v>
      </c>
      <c r="G358" s="105">
        <f>MAX(N358,R358,V358,Z358,AD358)</f>
        <v>1579.864</v>
      </c>
      <c r="H358" s="106"/>
      <c r="I358" s="105">
        <f>MIN(T358,X358,AB358,AF358,P358)</f>
        <v>4.4000000000000004</v>
      </c>
      <c r="J358" s="105">
        <f>AVERAGE(P358,T358,X358,AB358,AF358)</f>
        <v>10.780000000000001</v>
      </c>
      <c r="K358" s="105">
        <f>MAX(P358,T358,X358,AB358,AF358)</f>
        <v>27.500000000000004</v>
      </c>
      <c r="N358" s="107">
        <f t="shared" si="141"/>
        <v>1579.864</v>
      </c>
      <c r="O358" s="107">
        <f t="shared" si="142"/>
        <v>-1.1000000000000001</v>
      </c>
      <c r="P358" s="107">
        <f t="shared" si="143"/>
        <v>5.5</v>
      </c>
      <c r="R358" s="107">
        <f t="shared" si="144"/>
        <v>1027.4000000000001</v>
      </c>
      <c r="S358" s="107">
        <f t="shared" si="145"/>
        <v>-5.5</v>
      </c>
      <c r="T358" s="107">
        <f t="shared" si="146"/>
        <v>4.4000000000000004</v>
      </c>
      <c r="V358" s="107">
        <f t="shared" si="147"/>
        <v>1277.4080000000001</v>
      </c>
      <c r="W358" s="107">
        <f t="shared" si="148"/>
        <v>-2.2000000000000002</v>
      </c>
      <c r="X358" s="107">
        <f t="shared" si="149"/>
        <v>5.5</v>
      </c>
      <c r="Z358" s="107">
        <f t="shared" si="150"/>
        <v>865.05100000000004</v>
      </c>
      <c r="AA358" s="107">
        <f t="shared" si="151"/>
        <v>5.5</v>
      </c>
      <c r="AB358" s="107">
        <f t="shared" si="152"/>
        <v>27.500000000000004</v>
      </c>
      <c r="AD358" s="107">
        <f t="shared" si="153"/>
        <v>937.2</v>
      </c>
      <c r="AE358" s="107">
        <f t="shared" si="154"/>
        <v>2.2000000000000002</v>
      </c>
      <c r="AF358" s="107">
        <f t="shared" si="155"/>
        <v>11</v>
      </c>
      <c r="AH358" s="107">
        <v>1436.24</v>
      </c>
      <c r="AI358" s="107">
        <v>-1</v>
      </c>
      <c r="AJ358" s="107">
        <v>5</v>
      </c>
      <c r="AK358" s="107">
        <v>934</v>
      </c>
      <c r="AL358" s="107">
        <v>-5</v>
      </c>
      <c r="AM358" s="107">
        <v>4</v>
      </c>
      <c r="AN358" s="107">
        <v>1161.28</v>
      </c>
      <c r="AO358" s="107">
        <v>-2</v>
      </c>
      <c r="AP358" s="107">
        <v>5</v>
      </c>
      <c r="AQ358" s="107">
        <v>786.41</v>
      </c>
      <c r="AR358" s="107">
        <v>5</v>
      </c>
      <c r="AS358" s="107">
        <v>25</v>
      </c>
      <c r="AT358" s="107">
        <v>852</v>
      </c>
      <c r="AU358" s="107">
        <v>2</v>
      </c>
      <c r="AV358" s="107">
        <v>10</v>
      </c>
    </row>
    <row r="359" spans="1:48" ht="30" customHeight="1" thickBot="1">
      <c r="A359" s="96" t="s">
        <v>949</v>
      </c>
      <c r="B359" s="115" t="s">
        <v>950</v>
      </c>
      <c r="C359" s="98"/>
      <c r="N359" s="11" t="str">
        <f t="shared" si="141"/>
        <v/>
      </c>
      <c r="O359" s="11" t="str">
        <f t="shared" si="142"/>
        <v/>
      </c>
      <c r="P359" s="11" t="str">
        <f t="shared" si="143"/>
        <v/>
      </c>
      <c r="R359" s="11" t="str">
        <f t="shared" si="144"/>
        <v/>
      </c>
      <c r="S359" s="11" t="str">
        <f t="shared" si="145"/>
        <v/>
      </c>
      <c r="T359" s="11" t="str">
        <f t="shared" si="146"/>
        <v/>
      </c>
      <c r="V359" s="11" t="str">
        <f t="shared" si="147"/>
        <v/>
      </c>
      <c r="W359" s="11" t="str">
        <f t="shared" si="148"/>
        <v/>
      </c>
      <c r="X359" s="11" t="str">
        <f t="shared" si="149"/>
        <v/>
      </c>
      <c r="Z359" s="11" t="str">
        <f t="shared" si="150"/>
        <v/>
      </c>
      <c r="AA359" s="11" t="str">
        <f t="shared" si="151"/>
        <v/>
      </c>
      <c r="AB359" s="11" t="str">
        <f t="shared" si="152"/>
        <v/>
      </c>
      <c r="AD359" s="11" t="str">
        <f t="shared" si="153"/>
        <v/>
      </c>
      <c r="AE359" s="11" t="str">
        <f t="shared" si="154"/>
        <v/>
      </c>
      <c r="AF359" s="11" t="str">
        <f t="shared" si="155"/>
        <v/>
      </c>
    </row>
    <row r="360" spans="1:48" ht="30" customHeight="1" outlineLevel="1">
      <c r="A360" s="132" t="s">
        <v>951</v>
      </c>
      <c r="B360" s="133" t="s">
        <v>952</v>
      </c>
      <c r="C360" s="101"/>
      <c r="N360" s="11" t="str">
        <f t="shared" si="141"/>
        <v/>
      </c>
      <c r="O360" s="11" t="str">
        <f t="shared" si="142"/>
        <v/>
      </c>
      <c r="P360" s="11" t="str">
        <f t="shared" si="143"/>
        <v/>
      </c>
      <c r="R360" s="11" t="str">
        <f t="shared" si="144"/>
        <v/>
      </c>
      <c r="S360" s="11" t="str">
        <f t="shared" si="145"/>
        <v/>
      </c>
      <c r="T360" s="11" t="str">
        <f t="shared" si="146"/>
        <v/>
      </c>
      <c r="V360" s="11" t="str">
        <f t="shared" si="147"/>
        <v/>
      </c>
      <c r="W360" s="11" t="str">
        <f t="shared" si="148"/>
        <v/>
      </c>
      <c r="X360" s="11" t="str">
        <f t="shared" si="149"/>
        <v/>
      </c>
      <c r="Z360" s="11" t="str">
        <f t="shared" si="150"/>
        <v/>
      </c>
      <c r="AA360" s="11" t="str">
        <f t="shared" si="151"/>
        <v/>
      </c>
      <c r="AB360" s="11" t="str">
        <f t="shared" si="152"/>
        <v/>
      </c>
      <c r="AD360" s="11" t="str">
        <f t="shared" si="153"/>
        <v/>
      </c>
      <c r="AE360" s="11" t="str">
        <f t="shared" si="154"/>
        <v/>
      </c>
      <c r="AF360" s="11" t="str">
        <f t="shared" si="155"/>
        <v/>
      </c>
    </row>
    <row r="361" spans="1:48" ht="30" customHeight="1" outlineLevel="2">
      <c r="A361" s="116" t="s">
        <v>953</v>
      </c>
      <c r="B361" s="117" t="s">
        <v>954</v>
      </c>
      <c r="C361" s="134" t="s">
        <v>242</v>
      </c>
      <c r="E361" s="105">
        <f>MIN(N361,R361,V361,Z361,AD361)</f>
        <v>1056.44</v>
      </c>
      <c r="F361" s="105">
        <f>AVERAGE(N361,R361,V361,Z361,AD361)</f>
        <v>1347.8146000000002</v>
      </c>
      <c r="G361" s="105">
        <f>MAX(N361,R361,V361,Z361,AD361)</f>
        <v>1701.7</v>
      </c>
      <c r="H361" s="106"/>
      <c r="I361" s="105">
        <f>MIN(T361,X361,AB361,AF361,P361)</f>
        <v>4.4000000000000004</v>
      </c>
      <c r="J361" s="105">
        <f>AVERAGE(P361,T361,X361,AB361,AF361)</f>
        <v>10.780000000000001</v>
      </c>
      <c r="K361" s="105">
        <f>MAX(P361,T361,X361,AB361,AF361)</f>
        <v>27.500000000000004</v>
      </c>
      <c r="N361" s="107">
        <f t="shared" si="141"/>
        <v>1495.5709999999999</v>
      </c>
      <c r="O361" s="107">
        <f t="shared" si="142"/>
        <v>-1.1000000000000001</v>
      </c>
      <c r="P361" s="107">
        <f t="shared" si="143"/>
        <v>5.5</v>
      </c>
      <c r="R361" s="107">
        <f t="shared" si="144"/>
        <v>1056.44</v>
      </c>
      <c r="S361" s="107">
        <f t="shared" si="145"/>
        <v>-5.5</v>
      </c>
      <c r="T361" s="107">
        <f t="shared" si="146"/>
        <v>4.4000000000000004</v>
      </c>
      <c r="V361" s="107">
        <f t="shared" si="147"/>
        <v>1155.1650000000002</v>
      </c>
      <c r="W361" s="107">
        <f t="shared" si="148"/>
        <v>-2.2000000000000002</v>
      </c>
      <c r="X361" s="107">
        <f t="shared" si="149"/>
        <v>5.5</v>
      </c>
      <c r="Z361" s="107">
        <f t="shared" si="150"/>
        <v>1330.1970000000001</v>
      </c>
      <c r="AA361" s="107">
        <f t="shared" si="151"/>
        <v>5.5</v>
      </c>
      <c r="AB361" s="107">
        <f t="shared" si="152"/>
        <v>27.500000000000004</v>
      </c>
      <c r="AD361" s="107">
        <f t="shared" si="153"/>
        <v>1701.7</v>
      </c>
      <c r="AE361" s="107">
        <f t="shared" si="154"/>
        <v>2.2000000000000002</v>
      </c>
      <c r="AF361" s="107">
        <f t="shared" si="155"/>
        <v>11</v>
      </c>
      <c r="AH361" s="107">
        <v>1359.61</v>
      </c>
      <c r="AI361" s="107">
        <v>-1</v>
      </c>
      <c r="AJ361" s="107">
        <v>5</v>
      </c>
      <c r="AK361" s="107">
        <v>960.4</v>
      </c>
      <c r="AL361" s="107">
        <v>-5</v>
      </c>
      <c r="AM361" s="107">
        <v>4</v>
      </c>
      <c r="AN361" s="107">
        <v>1050.1500000000001</v>
      </c>
      <c r="AO361" s="107">
        <v>-2</v>
      </c>
      <c r="AP361" s="107">
        <v>5</v>
      </c>
      <c r="AQ361" s="107">
        <v>1209.27</v>
      </c>
      <c r="AR361" s="107">
        <v>5</v>
      </c>
      <c r="AS361" s="107">
        <v>25</v>
      </c>
      <c r="AT361" s="107">
        <v>1547</v>
      </c>
      <c r="AU361" s="107">
        <v>2</v>
      </c>
      <c r="AV361" s="107">
        <v>10</v>
      </c>
    </row>
    <row r="362" spans="1:48" ht="30" customHeight="1" outlineLevel="1">
      <c r="A362" s="109" t="s">
        <v>955</v>
      </c>
      <c r="B362" s="135" t="s">
        <v>956</v>
      </c>
      <c r="C362" s="111"/>
      <c r="N362" s="11" t="str">
        <f t="shared" si="141"/>
        <v/>
      </c>
      <c r="O362" s="11" t="str">
        <f t="shared" si="142"/>
        <v/>
      </c>
      <c r="P362" s="11" t="str">
        <f t="shared" si="143"/>
        <v/>
      </c>
      <c r="R362" s="11" t="str">
        <f t="shared" si="144"/>
        <v/>
      </c>
      <c r="S362" s="11" t="str">
        <f t="shared" si="145"/>
        <v/>
      </c>
      <c r="T362" s="11" t="str">
        <f t="shared" si="146"/>
        <v/>
      </c>
      <c r="V362" s="11" t="str">
        <f t="shared" si="147"/>
        <v/>
      </c>
      <c r="W362" s="11" t="str">
        <f t="shared" si="148"/>
        <v/>
      </c>
      <c r="X362" s="11" t="str">
        <f t="shared" si="149"/>
        <v/>
      </c>
      <c r="Z362" s="11" t="str">
        <f t="shared" si="150"/>
        <v/>
      </c>
      <c r="AA362" s="11" t="str">
        <f t="shared" si="151"/>
        <v/>
      </c>
      <c r="AB362" s="11" t="str">
        <f t="shared" si="152"/>
        <v/>
      </c>
      <c r="AD362" s="11" t="str">
        <f t="shared" si="153"/>
        <v/>
      </c>
      <c r="AE362" s="11" t="str">
        <f t="shared" si="154"/>
        <v/>
      </c>
      <c r="AF362" s="11" t="str">
        <f t="shared" si="155"/>
        <v/>
      </c>
    </row>
    <row r="363" spans="1:48" ht="30" customHeight="1" outlineLevel="2">
      <c r="A363" s="125" t="s">
        <v>957</v>
      </c>
      <c r="B363" s="117" t="s">
        <v>958</v>
      </c>
      <c r="C363" s="104" t="s">
        <v>242</v>
      </c>
      <c r="E363" s="105">
        <f t="shared" ref="E363:E370" si="162">MIN(N363,R363,V363,Z363,AD363)</f>
        <v>143.96800000000002</v>
      </c>
      <c r="F363" s="105">
        <f t="shared" ref="F363:F370" si="163">AVERAGE(N363,R363,V363,Z363,AD363)</f>
        <v>387.37600000000009</v>
      </c>
      <c r="G363" s="105">
        <f t="shared" ref="G363:G370" si="164">MAX(N363,R363,V363,Z363,AD363)</f>
        <v>774.33400000000017</v>
      </c>
      <c r="H363" s="106"/>
      <c r="I363" s="105">
        <f t="shared" ref="I363:I370" si="165">MIN(T363,X363,AB363,AF363,P363)</f>
        <v>4.4000000000000004</v>
      </c>
      <c r="J363" s="105">
        <f t="shared" ref="J363:J370" si="166">AVERAGE(P363,T363,X363,AB363,AF363)</f>
        <v>10.780000000000001</v>
      </c>
      <c r="K363" s="105">
        <f t="shared" ref="K363:K370" si="167">MAX(P363,T363,X363,AB363,AF363)</f>
        <v>27.500000000000004</v>
      </c>
      <c r="N363" s="107">
        <f t="shared" si="141"/>
        <v>774.33400000000017</v>
      </c>
      <c r="O363" s="107">
        <f t="shared" si="142"/>
        <v>-1.1000000000000001</v>
      </c>
      <c r="P363" s="107">
        <f t="shared" si="143"/>
        <v>5.5</v>
      </c>
      <c r="R363" s="107">
        <f t="shared" si="144"/>
        <v>371.09600000000006</v>
      </c>
      <c r="S363" s="107">
        <f t="shared" si="145"/>
        <v>-5.5</v>
      </c>
      <c r="T363" s="107">
        <f t="shared" si="146"/>
        <v>4.4000000000000004</v>
      </c>
      <c r="V363" s="107">
        <f t="shared" si="147"/>
        <v>143.96800000000002</v>
      </c>
      <c r="W363" s="107">
        <f t="shared" si="148"/>
        <v>-2.2000000000000002</v>
      </c>
      <c r="X363" s="107">
        <f t="shared" si="149"/>
        <v>5.5</v>
      </c>
      <c r="Z363" s="107">
        <f t="shared" si="150"/>
        <v>207.48200000000003</v>
      </c>
      <c r="AA363" s="107">
        <f t="shared" si="151"/>
        <v>5.5</v>
      </c>
      <c r="AB363" s="107">
        <f t="shared" si="152"/>
        <v>27.500000000000004</v>
      </c>
      <c r="AD363" s="107">
        <f t="shared" si="153"/>
        <v>440.00000000000006</v>
      </c>
      <c r="AE363" s="107">
        <f t="shared" si="154"/>
        <v>2.2000000000000002</v>
      </c>
      <c r="AF363" s="107">
        <f t="shared" si="155"/>
        <v>11</v>
      </c>
      <c r="AH363" s="107">
        <v>703.94</v>
      </c>
      <c r="AI363" s="107">
        <v>-1</v>
      </c>
      <c r="AJ363" s="107">
        <v>5</v>
      </c>
      <c r="AK363" s="107">
        <v>337.36</v>
      </c>
      <c r="AL363" s="107">
        <v>-5</v>
      </c>
      <c r="AM363" s="107">
        <v>4</v>
      </c>
      <c r="AN363" s="107">
        <v>130.88</v>
      </c>
      <c r="AO363" s="107">
        <v>-2</v>
      </c>
      <c r="AP363" s="107">
        <v>5</v>
      </c>
      <c r="AQ363" s="107">
        <v>188.62</v>
      </c>
      <c r="AR363" s="107">
        <v>5</v>
      </c>
      <c r="AS363" s="107">
        <v>25</v>
      </c>
      <c r="AT363" s="107">
        <v>400</v>
      </c>
      <c r="AU363" s="107">
        <v>2</v>
      </c>
      <c r="AV363" s="107">
        <v>10</v>
      </c>
    </row>
    <row r="364" spans="1:48" ht="30" customHeight="1" outlineLevel="2">
      <c r="A364" s="125" t="s">
        <v>959</v>
      </c>
      <c r="B364" s="117" t="s">
        <v>960</v>
      </c>
      <c r="C364" s="104" t="s">
        <v>242</v>
      </c>
      <c r="E364" s="105">
        <f t="shared" si="162"/>
        <v>294.18400000000003</v>
      </c>
      <c r="F364" s="105">
        <f t="shared" si="163"/>
        <v>1065.1124000000002</v>
      </c>
      <c r="G364" s="105">
        <f t="shared" si="164"/>
        <v>1988.8000000000002</v>
      </c>
      <c r="H364" s="106"/>
      <c r="I364" s="105">
        <f t="shared" si="165"/>
        <v>4.4000000000000004</v>
      </c>
      <c r="J364" s="105">
        <f t="shared" si="166"/>
        <v>10.780000000000001</v>
      </c>
      <c r="K364" s="105">
        <f t="shared" si="167"/>
        <v>27.500000000000004</v>
      </c>
      <c r="N364" s="107">
        <f t="shared" si="141"/>
        <v>1776.4230000000002</v>
      </c>
      <c r="O364" s="107">
        <f t="shared" si="142"/>
        <v>-1.1000000000000001</v>
      </c>
      <c r="P364" s="107">
        <f t="shared" si="143"/>
        <v>5.5</v>
      </c>
      <c r="R364" s="107">
        <f t="shared" si="144"/>
        <v>731.19200000000012</v>
      </c>
      <c r="S364" s="107">
        <f t="shared" si="145"/>
        <v>-5.5</v>
      </c>
      <c r="T364" s="107">
        <f t="shared" si="146"/>
        <v>4.4000000000000004</v>
      </c>
      <c r="V364" s="107">
        <f t="shared" si="147"/>
        <v>294.18400000000003</v>
      </c>
      <c r="W364" s="107">
        <f t="shared" si="148"/>
        <v>-2.2000000000000002</v>
      </c>
      <c r="X364" s="107">
        <f t="shared" si="149"/>
        <v>5.5</v>
      </c>
      <c r="Z364" s="107">
        <f t="shared" si="150"/>
        <v>534.96300000000008</v>
      </c>
      <c r="AA364" s="107">
        <f t="shared" si="151"/>
        <v>5.5</v>
      </c>
      <c r="AB364" s="107">
        <f t="shared" si="152"/>
        <v>27.500000000000004</v>
      </c>
      <c r="AD364" s="107">
        <f t="shared" si="153"/>
        <v>1988.8000000000002</v>
      </c>
      <c r="AE364" s="107">
        <f t="shared" si="154"/>
        <v>2.2000000000000002</v>
      </c>
      <c r="AF364" s="107">
        <f t="shared" si="155"/>
        <v>11</v>
      </c>
      <c r="AH364" s="107">
        <v>1614.93</v>
      </c>
      <c r="AI364" s="107">
        <v>-1</v>
      </c>
      <c r="AJ364" s="107">
        <v>5</v>
      </c>
      <c r="AK364" s="107">
        <v>664.72</v>
      </c>
      <c r="AL364" s="107">
        <v>-5</v>
      </c>
      <c r="AM364" s="107">
        <v>4</v>
      </c>
      <c r="AN364" s="107">
        <v>267.44</v>
      </c>
      <c r="AO364" s="107">
        <v>-2</v>
      </c>
      <c r="AP364" s="107">
        <v>5</v>
      </c>
      <c r="AQ364" s="107">
        <v>486.33</v>
      </c>
      <c r="AR364" s="107">
        <v>5</v>
      </c>
      <c r="AS364" s="107">
        <v>25</v>
      </c>
      <c r="AT364" s="107">
        <v>1808</v>
      </c>
      <c r="AU364" s="107">
        <v>2</v>
      </c>
      <c r="AV364" s="107">
        <v>10</v>
      </c>
    </row>
    <row r="365" spans="1:48" ht="30" customHeight="1" outlineLevel="2">
      <c r="A365" s="125" t="s">
        <v>961</v>
      </c>
      <c r="B365" s="117" t="s">
        <v>962</v>
      </c>
      <c r="C365" s="104" t="s">
        <v>242</v>
      </c>
      <c r="E365" s="105">
        <f t="shared" si="162"/>
        <v>993.43200000000013</v>
      </c>
      <c r="F365" s="105">
        <f t="shared" si="163"/>
        <v>2769.5932000000003</v>
      </c>
      <c r="G365" s="105">
        <f t="shared" si="164"/>
        <v>6635.2000000000007</v>
      </c>
      <c r="H365" s="106"/>
      <c r="I365" s="105">
        <f t="shared" si="165"/>
        <v>4.4000000000000004</v>
      </c>
      <c r="J365" s="105">
        <f t="shared" si="166"/>
        <v>10.780000000000001</v>
      </c>
      <c r="K365" s="105">
        <f t="shared" si="167"/>
        <v>27.500000000000004</v>
      </c>
      <c r="N365" s="107">
        <f t="shared" si="141"/>
        <v>2966.0950000000003</v>
      </c>
      <c r="O365" s="107">
        <f t="shared" si="142"/>
        <v>-1.1000000000000001</v>
      </c>
      <c r="P365" s="107">
        <f t="shared" si="143"/>
        <v>5.5</v>
      </c>
      <c r="R365" s="107">
        <f t="shared" si="144"/>
        <v>1091.2880000000002</v>
      </c>
      <c r="S365" s="107">
        <f t="shared" si="145"/>
        <v>-5.5</v>
      </c>
      <c r="T365" s="107">
        <f t="shared" si="146"/>
        <v>4.4000000000000004</v>
      </c>
      <c r="V365" s="107">
        <f t="shared" si="147"/>
        <v>2161.9510000000005</v>
      </c>
      <c r="W365" s="107">
        <f t="shared" si="148"/>
        <v>-2.2000000000000002</v>
      </c>
      <c r="X365" s="107">
        <f t="shared" si="149"/>
        <v>5.5</v>
      </c>
      <c r="Z365" s="107">
        <f t="shared" si="150"/>
        <v>993.43200000000013</v>
      </c>
      <c r="AA365" s="107">
        <f t="shared" si="151"/>
        <v>5.5</v>
      </c>
      <c r="AB365" s="107">
        <f t="shared" si="152"/>
        <v>27.500000000000004</v>
      </c>
      <c r="AD365" s="107">
        <f t="shared" si="153"/>
        <v>6635.2000000000007</v>
      </c>
      <c r="AE365" s="107">
        <f t="shared" si="154"/>
        <v>2.2000000000000002</v>
      </c>
      <c r="AF365" s="107">
        <f t="shared" si="155"/>
        <v>11</v>
      </c>
      <c r="AH365" s="107">
        <v>2696.45</v>
      </c>
      <c r="AI365" s="107">
        <v>-1</v>
      </c>
      <c r="AJ365" s="107">
        <v>5</v>
      </c>
      <c r="AK365" s="107">
        <v>992.08</v>
      </c>
      <c r="AL365" s="107">
        <v>-5</v>
      </c>
      <c r="AM365" s="107">
        <v>4</v>
      </c>
      <c r="AN365" s="107">
        <v>1965.41</v>
      </c>
      <c r="AO365" s="107">
        <v>-2</v>
      </c>
      <c r="AP365" s="107">
        <v>5</v>
      </c>
      <c r="AQ365" s="107">
        <v>903.12</v>
      </c>
      <c r="AR365" s="107">
        <v>5</v>
      </c>
      <c r="AS365" s="107">
        <v>25</v>
      </c>
      <c r="AT365" s="107">
        <v>6032</v>
      </c>
      <c r="AU365" s="107">
        <v>2</v>
      </c>
      <c r="AV365" s="107">
        <v>10</v>
      </c>
    </row>
    <row r="366" spans="1:48" ht="30" customHeight="1" outlineLevel="2">
      <c r="A366" s="125" t="s">
        <v>963</v>
      </c>
      <c r="B366" s="117" t="s">
        <v>964</v>
      </c>
      <c r="C366" s="104" t="s">
        <v>242</v>
      </c>
      <c r="E366" s="105">
        <f t="shared" si="162"/>
        <v>115.54400000000001</v>
      </c>
      <c r="F366" s="105">
        <f t="shared" si="163"/>
        <v>709.11720000000003</v>
      </c>
      <c r="G366" s="105">
        <f t="shared" si="164"/>
        <v>1673.2430000000002</v>
      </c>
      <c r="H366" s="106"/>
      <c r="I366" s="105">
        <f t="shared" si="165"/>
        <v>4.4000000000000004</v>
      </c>
      <c r="J366" s="105">
        <f t="shared" si="166"/>
        <v>10.780000000000001</v>
      </c>
      <c r="K366" s="105">
        <f t="shared" si="167"/>
        <v>27.500000000000004</v>
      </c>
      <c r="N366" s="107">
        <f t="shared" si="141"/>
        <v>769.15300000000013</v>
      </c>
      <c r="O366" s="107">
        <f t="shared" si="142"/>
        <v>-1.1000000000000001</v>
      </c>
      <c r="P366" s="107">
        <f t="shared" si="143"/>
        <v>5.5</v>
      </c>
      <c r="R366" s="107">
        <f t="shared" si="144"/>
        <v>115.54400000000001</v>
      </c>
      <c r="S366" s="107">
        <f t="shared" si="145"/>
        <v>-5.5</v>
      </c>
      <c r="T366" s="107">
        <f t="shared" si="146"/>
        <v>4.4000000000000004</v>
      </c>
      <c r="V366" s="107">
        <f t="shared" si="147"/>
        <v>495.94600000000008</v>
      </c>
      <c r="W366" s="107">
        <f t="shared" si="148"/>
        <v>-2.2000000000000002</v>
      </c>
      <c r="X366" s="107">
        <f t="shared" si="149"/>
        <v>5.5</v>
      </c>
      <c r="Z366" s="107">
        <f t="shared" si="150"/>
        <v>1673.2430000000002</v>
      </c>
      <c r="AA366" s="107">
        <f t="shared" si="151"/>
        <v>5.5</v>
      </c>
      <c r="AB366" s="107">
        <f t="shared" si="152"/>
        <v>27.500000000000004</v>
      </c>
      <c r="AD366" s="107">
        <f t="shared" si="153"/>
        <v>491.70000000000005</v>
      </c>
      <c r="AE366" s="107">
        <f t="shared" si="154"/>
        <v>2.2000000000000002</v>
      </c>
      <c r="AF366" s="107">
        <f t="shared" si="155"/>
        <v>11</v>
      </c>
      <c r="AH366" s="107">
        <v>699.23</v>
      </c>
      <c r="AI366" s="107">
        <v>-1</v>
      </c>
      <c r="AJ366" s="107">
        <v>5</v>
      </c>
      <c r="AK366" s="107">
        <v>105.04</v>
      </c>
      <c r="AL366" s="107">
        <v>-5</v>
      </c>
      <c r="AM366" s="107">
        <v>4</v>
      </c>
      <c r="AN366" s="107">
        <v>450.86</v>
      </c>
      <c r="AO366" s="107">
        <v>-2</v>
      </c>
      <c r="AP366" s="107">
        <v>5</v>
      </c>
      <c r="AQ366" s="107">
        <v>1521.13</v>
      </c>
      <c r="AR366" s="107">
        <v>5</v>
      </c>
      <c r="AS366" s="107">
        <v>25</v>
      </c>
      <c r="AT366" s="107">
        <v>447</v>
      </c>
      <c r="AU366" s="107">
        <v>2</v>
      </c>
      <c r="AV366" s="107">
        <v>10</v>
      </c>
    </row>
    <row r="367" spans="1:48" ht="30" customHeight="1" outlineLevel="2">
      <c r="A367" s="125" t="s">
        <v>965</v>
      </c>
      <c r="B367" s="117" t="s">
        <v>966</v>
      </c>
      <c r="C367" s="104" t="s">
        <v>242</v>
      </c>
      <c r="E367" s="105">
        <f t="shared" si="162"/>
        <v>383.48200000000003</v>
      </c>
      <c r="F367" s="105">
        <f t="shared" si="163"/>
        <v>439.26080000000002</v>
      </c>
      <c r="G367" s="105">
        <f t="shared" si="164"/>
        <v>495.94600000000008</v>
      </c>
      <c r="H367" s="106"/>
      <c r="I367" s="105">
        <f t="shared" si="165"/>
        <v>631.6640000000001</v>
      </c>
      <c r="J367" s="105">
        <f t="shared" si="166"/>
        <v>801.69100000000014</v>
      </c>
      <c r="K367" s="105">
        <f t="shared" si="167"/>
        <v>1054.0530000000001</v>
      </c>
      <c r="N367" s="107">
        <f t="shared" si="141"/>
        <v>383.48200000000003</v>
      </c>
      <c r="O367" s="107">
        <f t="shared" si="142"/>
        <v>537.96600000000001</v>
      </c>
      <c r="P367" s="107">
        <f t="shared" si="143"/>
        <v>760.1880000000001</v>
      </c>
      <c r="R367" s="107">
        <f t="shared" si="144"/>
        <v>429.17600000000004</v>
      </c>
      <c r="S367" s="107">
        <f t="shared" si="145"/>
        <v>538.13099999999997</v>
      </c>
      <c r="T367" s="107">
        <f t="shared" si="146"/>
        <v>631.6640000000001</v>
      </c>
      <c r="V367" s="107">
        <f t="shared" si="147"/>
        <v>495.94600000000008</v>
      </c>
      <c r="W367" s="107">
        <f t="shared" si="148"/>
        <v>774.5100000000001</v>
      </c>
      <c r="X367" s="107">
        <f t="shared" si="149"/>
        <v>1054.0530000000001</v>
      </c>
      <c r="Z367" s="107">
        <f t="shared" si="150"/>
        <v>396.00000000000006</v>
      </c>
      <c r="AA367" s="107">
        <f t="shared" si="151"/>
        <v>544.5</v>
      </c>
      <c r="AB367" s="107">
        <f t="shared" si="152"/>
        <v>662.75</v>
      </c>
      <c r="AD367" s="107">
        <f t="shared" si="153"/>
        <v>491.70000000000005</v>
      </c>
      <c r="AE367" s="107">
        <f t="shared" si="154"/>
        <v>743.6</v>
      </c>
      <c r="AF367" s="107">
        <f t="shared" si="155"/>
        <v>899.80000000000007</v>
      </c>
      <c r="AH367" s="107">
        <v>348.62</v>
      </c>
      <c r="AI367" s="107">
        <v>489.06</v>
      </c>
      <c r="AJ367" s="107">
        <v>691.08</v>
      </c>
      <c r="AK367" s="107">
        <v>390.16</v>
      </c>
      <c r="AL367" s="107">
        <v>489.21</v>
      </c>
      <c r="AM367" s="107">
        <v>574.24</v>
      </c>
      <c r="AN367" s="107">
        <v>450.86</v>
      </c>
      <c r="AO367" s="107">
        <v>704.1</v>
      </c>
      <c r="AP367" s="107">
        <v>958.23</v>
      </c>
      <c r="AQ367" s="107">
        <v>360</v>
      </c>
      <c r="AR367" s="107">
        <v>495</v>
      </c>
      <c r="AS367" s="107">
        <v>602.5</v>
      </c>
      <c r="AT367" s="107">
        <v>447</v>
      </c>
      <c r="AU367" s="107">
        <v>676</v>
      </c>
      <c r="AV367" s="107">
        <v>818</v>
      </c>
    </row>
    <row r="368" spans="1:48" ht="30" customHeight="1" outlineLevel="2">
      <c r="A368" s="125" t="s">
        <v>967</v>
      </c>
      <c r="B368" s="117" t="s">
        <v>968</v>
      </c>
      <c r="C368" s="104" t="s">
        <v>242</v>
      </c>
      <c r="E368" s="105">
        <f t="shared" si="162"/>
        <v>1661.0000000000002</v>
      </c>
      <c r="F368" s="105">
        <f t="shared" si="163"/>
        <v>2036.0164</v>
      </c>
      <c r="G368" s="105">
        <f t="shared" si="164"/>
        <v>2466.2000000000003</v>
      </c>
      <c r="H368" s="106"/>
      <c r="I368" s="105">
        <f t="shared" si="165"/>
        <v>2750</v>
      </c>
      <c r="J368" s="105">
        <f t="shared" si="166"/>
        <v>3732.9710000000005</v>
      </c>
      <c r="K368" s="105">
        <f t="shared" si="167"/>
        <v>4854.9710000000005</v>
      </c>
      <c r="N368" s="107">
        <f t="shared" si="141"/>
        <v>1926.1770000000001</v>
      </c>
      <c r="O368" s="107">
        <f t="shared" si="142"/>
        <v>2694.1860000000006</v>
      </c>
      <c r="P368" s="107">
        <f t="shared" si="143"/>
        <v>3778.8960000000006</v>
      </c>
      <c r="R368" s="107">
        <f t="shared" si="144"/>
        <v>1892.7920000000001</v>
      </c>
      <c r="S368" s="107">
        <f t="shared" si="145"/>
        <v>2440.8340000000003</v>
      </c>
      <c r="T368" s="107">
        <f t="shared" si="146"/>
        <v>2827.0880000000002</v>
      </c>
      <c r="V368" s="107">
        <f t="shared" si="147"/>
        <v>2233.913</v>
      </c>
      <c r="W368" s="107">
        <f t="shared" si="148"/>
        <v>3590.0040000000004</v>
      </c>
      <c r="X368" s="107">
        <f t="shared" si="149"/>
        <v>4854.9710000000005</v>
      </c>
      <c r="Z368" s="107">
        <f t="shared" si="150"/>
        <v>1661.0000000000002</v>
      </c>
      <c r="AA368" s="107">
        <f t="shared" si="151"/>
        <v>2315.5</v>
      </c>
      <c r="AB368" s="107">
        <f t="shared" si="152"/>
        <v>2750</v>
      </c>
      <c r="AD368" s="107">
        <f t="shared" si="153"/>
        <v>2466.2000000000003</v>
      </c>
      <c r="AE368" s="107">
        <f t="shared" si="154"/>
        <v>3704.8</v>
      </c>
      <c r="AF368" s="107">
        <f t="shared" si="155"/>
        <v>4453.9000000000005</v>
      </c>
      <c r="AH368" s="107">
        <v>1751.07</v>
      </c>
      <c r="AI368" s="107">
        <v>2449.2600000000002</v>
      </c>
      <c r="AJ368" s="107">
        <v>3435.36</v>
      </c>
      <c r="AK368" s="107">
        <v>1720.72</v>
      </c>
      <c r="AL368" s="107">
        <v>2218.94</v>
      </c>
      <c r="AM368" s="107">
        <v>2570.08</v>
      </c>
      <c r="AN368" s="107">
        <v>2030.83</v>
      </c>
      <c r="AO368" s="107">
        <v>3263.64</v>
      </c>
      <c r="AP368" s="107">
        <v>4413.6099999999997</v>
      </c>
      <c r="AQ368" s="107">
        <v>1510</v>
      </c>
      <c r="AR368" s="107">
        <v>2105</v>
      </c>
      <c r="AS368" s="107">
        <v>2500</v>
      </c>
      <c r="AT368" s="107">
        <v>2242</v>
      </c>
      <c r="AU368" s="107">
        <v>3368</v>
      </c>
      <c r="AV368" s="107">
        <v>4049</v>
      </c>
    </row>
    <row r="369" spans="1:48" ht="30" customHeight="1" outlineLevel="2">
      <c r="A369" s="125" t="s">
        <v>969</v>
      </c>
      <c r="B369" s="117" t="s">
        <v>970</v>
      </c>
      <c r="C369" s="104" t="s">
        <v>242</v>
      </c>
      <c r="E369" s="105">
        <f t="shared" si="162"/>
        <v>6061.0000000000009</v>
      </c>
      <c r="F369" s="105">
        <f t="shared" si="163"/>
        <v>8447.0188000000016</v>
      </c>
      <c r="G369" s="105">
        <f t="shared" si="164"/>
        <v>10719.5</v>
      </c>
      <c r="H369" s="106"/>
      <c r="I369" s="105">
        <f t="shared" si="165"/>
        <v>10010</v>
      </c>
      <c r="J369" s="105">
        <f t="shared" si="166"/>
        <v>15512.653200000001</v>
      </c>
      <c r="K369" s="105">
        <f t="shared" si="167"/>
        <v>19927.556</v>
      </c>
      <c r="N369" s="107">
        <f t="shared" si="141"/>
        <v>8372.4410000000007</v>
      </c>
      <c r="O369" s="107">
        <f t="shared" si="142"/>
        <v>11704.11</v>
      </c>
      <c r="P369" s="107">
        <f t="shared" si="143"/>
        <v>16392.794000000002</v>
      </c>
      <c r="R369" s="107">
        <f t="shared" si="144"/>
        <v>7956.344000000001</v>
      </c>
      <c r="S369" s="107">
        <f t="shared" si="145"/>
        <v>10323.445000000002</v>
      </c>
      <c r="T369" s="107">
        <f t="shared" si="146"/>
        <v>11922.416000000001</v>
      </c>
      <c r="V369" s="107">
        <f t="shared" si="147"/>
        <v>9125.8090000000011</v>
      </c>
      <c r="W369" s="107">
        <f t="shared" si="148"/>
        <v>14754.872000000001</v>
      </c>
      <c r="X369" s="107">
        <f t="shared" si="149"/>
        <v>19927.556</v>
      </c>
      <c r="Z369" s="107">
        <f t="shared" si="150"/>
        <v>6061.0000000000009</v>
      </c>
      <c r="AA369" s="107">
        <f t="shared" si="151"/>
        <v>8475.5</v>
      </c>
      <c r="AB369" s="107">
        <f t="shared" si="152"/>
        <v>10010</v>
      </c>
      <c r="AD369" s="107">
        <f t="shared" si="153"/>
        <v>10719.5</v>
      </c>
      <c r="AE369" s="107">
        <f t="shared" si="154"/>
        <v>16085.300000000001</v>
      </c>
      <c r="AF369" s="107">
        <f t="shared" si="155"/>
        <v>19310.5</v>
      </c>
      <c r="AH369" s="107">
        <v>7611.31</v>
      </c>
      <c r="AI369" s="107">
        <v>10640.1</v>
      </c>
      <c r="AJ369" s="107">
        <v>14902.54</v>
      </c>
      <c r="AK369" s="107">
        <v>7233.04</v>
      </c>
      <c r="AL369" s="107">
        <v>9384.9500000000007</v>
      </c>
      <c r="AM369" s="107">
        <v>10838.56</v>
      </c>
      <c r="AN369" s="107">
        <v>8296.19</v>
      </c>
      <c r="AO369" s="107">
        <v>13413.52</v>
      </c>
      <c r="AP369" s="107">
        <v>18115.96</v>
      </c>
      <c r="AQ369" s="107">
        <v>5510</v>
      </c>
      <c r="AR369" s="107">
        <v>7705</v>
      </c>
      <c r="AS369" s="107">
        <v>9100</v>
      </c>
      <c r="AT369" s="107">
        <v>9745</v>
      </c>
      <c r="AU369" s="107">
        <v>14623</v>
      </c>
      <c r="AV369" s="107">
        <v>17555</v>
      </c>
    </row>
    <row r="370" spans="1:48" ht="30" customHeight="1" outlineLevel="2" thickBot="1">
      <c r="A370" s="125" t="s">
        <v>971</v>
      </c>
      <c r="B370" s="144" t="s">
        <v>972</v>
      </c>
      <c r="C370" s="104" t="s">
        <v>242</v>
      </c>
      <c r="E370" s="105">
        <f t="shared" si="162"/>
        <v>63.272000000000006</v>
      </c>
      <c r="F370" s="105">
        <f t="shared" si="163"/>
        <v>68.116400000000013</v>
      </c>
      <c r="G370" s="105">
        <f t="shared" si="164"/>
        <v>76.439000000000021</v>
      </c>
      <c r="H370" s="106"/>
      <c r="I370" s="105">
        <f t="shared" si="165"/>
        <v>82.808000000000007</v>
      </c>
      <c r="J370" s="105">
        <f t="shared" si="166"/>
        <v>123.08120000000001</v>
      </c>
      <c r="K370" s="105">
        <f t="shared" si="167"/>
        <v>140.27200000000002</v>
      </c>
      <c r="N370" s="107">
        <f t="shared" si="141"/>
        <v>66.671000000000006</v>
      </c>
      <c r="O370" s="107">
        <f t="shared" si="142"/>
        <v>95.161000000000016</v>
      </c>
      <c r="P370" s="107">
        <f t="shared" si="143"/>
        <v>140.27200000000002</v>
      </c>
      <c r="R370" s="107">
        <f t="shared" si="144"/>
        <v>63.272000000000006</v>
      </c>
      <c r="S370" s="107">
        <f t="shared" si="145"/>
        <v>62.458000000000006</v>
      </c>
      <c r="T370" s="107">
        <f t="shared" si="146"/>
        <v>82.808000000000007</v>
      </c>
      <c r="V370" s="107">
        <f t="shared" si="147"/>
        <v>76.439000000000021</v>
      </c>
      <c r="W370" s="107">
        <f t="shared" si="148"/>
        <v>94.897000000000006</v>
      </c>
      <c r="X370" s="107">
        <f t="shared" si="149"/>
        <v>136.57599999999999</v>
      </c>
      <c r="Z370" s="107">
        <f t="shared" si="150"/>
        <v>66</v>
      </c>
      <c r="AA370" s="107">
        <f t="shared" si="151"/>
        <v>82.5</v>
      </c>
      <c r="AB370" s="107">
        <f t="shared" si="152"/>
        <v>118.25000000000001</v>
      </c>
      <c r="AD370" s="107">
        <f t="shared" si="153"/>
        <v>68.2</v>
      </c>
      <c r="AE370" s="107">
        <f t="shared" si="154"/>
        <v>107.80000000000001</v>
      </c>
      <c r="AF370" s="107">
        <f t="shared" si="155"/>
        <v>137.5</v>
      </c>
      <c r="AH370" s="107">
        <v>60.61</v>
      </c>
      <c r="AI370" s="107">
        <v>86.51</v>
      </c>
      <c r="AJ370" s="107">
        <v>127.52</v>
      </c>
      <c r="AK370" s="107">
        <v>57.52</v>
      </c>
      <c r="AL370" s="107">
        <v>56.78</v>
      </c>
      <c r="AM370" s="107">
        <v>75.28</v>
      </c>
      <c r="AN370" s="107">
        <v>69.490000000000009</v>
      </c>
      <c r="AO370" s="107">
        <v>86.27</v>
      </c>
      <c r="AP370" s="107">
        <v>124.16</v>
      </c>
      <c r="AQ370" s="107">
        <v>60</v>
      </c>
      <c r="AR370" s="107">
        <v>75</v>
      </c>
      <c r="AS370" s="107">
        <v>107.5</v>
      </c>
      <c r="AT370" s="107">
        <v>62</v>
      </c>
      <c r="AU370" s="107">
        <v>98</v>
      </c>
      <c r="AV370" s="107">
        <v>125</v>
      </c>
    </row>
    <row r="371" spans="1:48" ht="30" customHeight="1" thickBot="1">
      <c r="A371" s="96" t="s">
        <v>973</v>
      </c>
      <c r="B371" s="115" t="s">
        <v>974</v>
      </c>
      <c r="C371" s="98"/>
      <c r="N371" s="11" t="str">
        <f t="shared" si="141"/>
        <v/>
      </c>
      <c r="O371" s="11" t="str">
        <f t="shared" si="142"/>
        <v/>
      </c>
      <c r="P371" s="11" t="str">
        <f t="shared" si="143"/>
        <v/>
      </c>
      <c r="R371" s="11" t="str">
        <f t="shared" si="144"/>
        <v/>
      </c>
      <c r="S371" s="11" t="str">
        <f t="shared" si="145"/>
        <v/>
      </c>
      <c r="T371" s="11" t="str">
        <f t="shared" si="146"/>
        <v/>
      </c>
      <c r="V371" s="11" t="str">
        <f t="shared" si="147"/>
        <v/>
      </c>
      <c r="W371" s="11" t="str">
        <f t="shared" si="148"/>
        <v/>
      </c>
      <c r="X371" s="11" t="str">
        <f t="shared" si="149"/>
        <v/>
      </c>
      <c r="Z371" s="11" t="str">
        <f t="shared" si="150"/>
        <v/>
      </c>
      <c r="AA371" s="11" t="str">
        <f t="shared" si="151"/>
        <v/>
      </c>
      <c r="AB371" s="11" t="str">
        <f t="shared" si="152"/>
        <v/>
      </c>
      <c r="AD371" s="11" t="str">
        <f t="shared" si="153"/>
        <v/>
      </c>
      <c r="AE371" s="11" t="str">
        <f t="shared" si="154"/>
        <v/>
      </c>
      <c r="AF371" s="11" t="str">
        <f t="shared" si="155"/>
        <v/>
      </c>
    </row>
    <row r="372" spans="1:48" ht="30" customHeight="1" outlineLevel="1">
      <c r="A372" s="132" t="s">
        <v>975</v>
      </c>
      <c r="B372" s="133" t="s">
        <v>976</v>
      </c>
      <c r="C372" s="101"/>
      <c r="N372" s="11" t="str">
        <f t="shared" si="141"/>
        <v/>
      </c>
      <c r="O372" s="11" t="str">
        <f t="shared" si="142"/>
        <v/>
      </c>
      <c r="P372" s="11" t="str">
        <f t="shared" si="143"/>
        <v/>
      </c>
      <c r="R372" s="11" t="str">
        <f t="shared" si="144"/>
        <v/>
      </c>
      <c r="S372" s="11" t="str">
        <f t="shared" si="145"/>
        <v/>
      </c>
      <c r="T372" s="11" t="str">
        <f t="shared" si="146"/>
        <v/>
      </c>
      <c r="V372" s="11" t="str">
        <f t="shared" si="147"/>
        <v/>
      </c>
      <c r="W372" s="11" t="str">
        <f t="shared" si="148"/>
        <v/>
      </c>
      <c r="X372" s="11" t="str">
        <f t="shared" si="149"/>
        <v/>
      </c>
      <c r="Z372" s="11" t="str">
        <f t="shared" si="150"/>
        <v/>
      </c>
      <c r="AA372" s="11" t="str">
        <f t="shared" si="151"/>
        <v/>
      </c>
      <c r="AB372" s="11" t="str">
        <f t="shared" si="152"/>
        <v/>
      </c>
      <c r="AD372" s="11" t="str">
        <f t="shared" si="153"/>
        <v/>
      </c>
      <c r="AE372" s="11" t="str">
        <f t="shared" si="154"/>
        <v/>
      </c>
      <c r="AF372" s="11" t="str">
        <f t="shared" si="155"/>
        <v/>
      </c>
    </row>
    <row r="373" spans="1:48" ht="30" customHeight="1" outlineLevel="2">
      <c r="A373" s="116" t="s">
        <v>38</v>
      </c>
      <c r="B373" s="145" t="s">
        <v>39</v>
      </c>
      <c r="C373" s="134" t="s">
        <v>40</v>
      </c>
      <c r="E373" s="105">
        <f>MIN(N373,R373,V373,Z373,AD373)</f>
        <v>437.8</v>
      </c>
      <c r="F373" s="105">
        <f>AVERAGE(N373,R373,V373,Z373,AD373)</f>
        <v>614.24440000000016</v>
      </c>
      <c r="G373" s="105">
        <f>MAX(N373,R373,V373,Z373,AD373)</f>
        <v>925.7600000000001</v>
      </c>
      <c r="H373" s="106"/>
      <c r="I373" s="105">
        <f>MIN(R373,V373,Z373,AD373,AH373)</f>
        <v>437.8</v>
      </c>
      <c r="J373" s="105">
        <f>AVERAGE(R373,V373,Z373,AD373,AH373)</f>
        <v>603.91020000000003</v>
      </c>
      <c r="K373" s="105">
        <f>MAX(R373,V373,Z373,AD373,AH373)</f>
        <v>925.7600000000001</v>
      </c>
      <c r="N373" s="107">
        <f t="shared" si="141"/>
        <v>568.38100000000009</v>
      </c>
      <c r="O373" s="107">
        <f t="shared" si="142"/>
        <v>-1.1000000000000001</v>
      </c>
      <c r="P373" s="107">
        <f t="shared" si="143"/>
        <v>5.5</v>
      </c>
      <c r="R373" s="107">
        <f t="shared" si="144"/>
        <v>925.7600000000001</v>
      </c>
      <c r="S373" s="107">
        <f t="shared" si="145"/>
        <v>-5.5</v>
      </c>
      <c r="T373" s="107">
        <f t="shared" si="146"/>
        <v>4.4000000000000004</v>
      </c>
      <c r="V373" s="107">
        <f t="shared" si="147"/>
        <v>602.48100000000011</v>
      </c>
      <c r="W373" s="107">
        <f t="shared" si="148"/>
        <v>-2.2000000000000002</v>
      </c>
      <c r="X373" s="107">
        <f t="shared" si="149"/>
        <v>5.5</v>
      </c>
      <c r="Z373" s="107">
        <f t="shared" si="150"/>
        <v>437.8</v>
      </c>
      <c r="AA373" s="107">
        <f t="shared" si="151"/>
        <v>5.5</v>
      </c>
      <c r="AB373" s="107">
        <f t="shared" si="152"/>
        <v>27.500000000000004</v>
      </c>
      <c r="AD373" s="107">
        <f t="shared" si="153"/>
        <v>536.80000000000007</v>
      </c>
      <c r="AE373" s="107">
        <f t="shared" si="154"/>
        <v>2.2000000000000002</v>
      </c>
      <c r="AF373" s="107">
        <f t="shared" si="155"/>
        <v>11</v>
      </c>
      <c r="AH373" s="107">
        <v>516.71</v>
      </c>
      <c r="AI373" s="107">
        <v>-1</v>
      </c>
      <c r="AJ373" s="107">
        <v>5</v>
      </c>
      <c r="AK373" s="107">
        <v>841.6</v>
      </c>
      <c r="AL373" s="107">
        <v>-5</v>
      </c>
      <c r="AM373" s="107">
        <v>4</v>
      </c>
      <c r="AN373" s="107">
        <v>547.71</v>
      </c>
      <c r="AO373" s="107">
        <v>-2</v>
      </c>
      <c r="AP373" s="107">
        <v>5</v>
      </c>
      <c r="AQ373" s="107">
        <v>398</v>
      </c>
      <c r="AR373" s="107">
        <v>5</v>
      </c>
      <c r="AS373" s="107">
        <v>25</v>
      </c>
      <c r="AT373" s="107">
        <v>488</v>
      </c>
      <c r="AU373" s="107">
        <v>2</v>
      </c>
      <c r="AV373" s="107">
        <v>10</v>
      </c>
    </row>
    <row r="374" spans="1:48" ht="30" customHeight="1" outlineLevel="2">
      <c r="A374" s="146" t="s">
        <v>41</v>
      </c>
      <c r="B374" s="145" t="s">
        <v>42</v>
      </c>
      <c r="C374" s="134" t="s">
        <v>43</v>
      </c>
      <c r="E374" s="147">
        <f>MIN(N374,R374,V374,Z374,AD374)</f>
        <v>2.2000000000000002E-2</v>
      </c>
      <c r="F374" s="147">
        <f>AVERAGE(N374,R374,V374,Z374,AD374)</f>
        <v>4.5100000000000001E-2</v>
      </c>
      <c r="G374" s="147">
        <f>MAX(N374,R374,V374,Z374,AD374)</f>
        <v>0.11000000000000001</v>
      </c>
      <c r="H374" s="148"/>
      <c r="I374" s="147">
        <f>MIN(R374,V374,Z374,AD374,AH374)</f>
        <v>2.2000000000000002E-2</v>
      </c>
      <c r="J374" s="147">
        <f>AVERAGE(R374,V374,Z374,AD374,AH374)</f>
        <v>4.4299999999999999E-2</v>
      </c>
      <c r="K374" s="147">
        <f>MAX(R374,V374,Z374,AD374,AH374)</f>
        <v>0.11000000000000001</v>
      </c>
      <c r="N374" s="149">
        <f t="shared" si="141"/>
        <v>4.4000000000000004E-2</v>
      </c>
      <c r="O374" s="107">
        <f t="shared" si="142"/>
        <v>0</v>
      </c>
      <c r="P374" s="107">
        <f t="shared" si="143"/>
        <v>0</v>
      </c>
      <c r="R374" s="149">
        <f t="shared" si="144"/>
        <v>2.2000000000000002E-2</v>
      </c>
      <c r="S374" s="107">
        <f t="shared" si="145"/>
        <v>0</v>
      </c>
      <c r="T374" s="107">
        <f t="shared" si="146"/>
        <v>0</v>
      </c>
      <c r="V374" s="150">
        <f t="shared" si="147"/>
        <v>0.11000000000000001</v>
      </c>
      <c r="W374" s="107">
        <f t="shared" si="148"/>
        <v>0</v>
      </c>
      <c r="X374" s="107">
        <f t="shared" si="149"/>
        <v>0</v>
      </c>
      <c r="Z374" s="150">
        <f t="shared" si="150"/>
        <v>2.7500000000000004E-2</v>
      </c>
      <c r="AA374" s="107">
        <f t="shared" si="151"/>
        <v>0</v>
      </c>
      <c r="AB374" s="107">
        <f t="shared" si="152"/>
        <v>0</v>
      </c>
      <c r="AD374" s="149">
        <f t="shared" si="153"/>
        <v>2.2000000000000002E-2</v>
      </c>
      <c r="AE374" s="107">
        <f t="shared" si="154"/>
        <v>0</v>
      </c>
      <c r="AF374" s="107">
        <f t="shared" si="155"/>
        <v>0</v>
      </c>
      <c r="AH374" s="149">
        <v>0.04</v>
      </c>
      <c r="AI374" s="107">
        <v>0</v>
      </c>
      <c r="AJ374" s="107">
        <v>0</v>
      </c>
      <c r="AK374" s="149">
        <v>0.02</v>
      </c>
      <c r="AL374" s="107">
        <v>0</v>
      </c>
      <c r="AM374" s="107">
        <v>0</v>
      </c>
      <c r="AN374" s="150">
        <v>0.1</v>
      </c>
      <c r="AO374" s="107">
        <v>0</v>
      </c>
      <c r="AP374" s="107">
        <v>0</v>
      </c>
      <c r="AQ374" s="150">
        <v>2.5000000000000001E-2</v>
      </c>
      <c r="AR374" s="107">
        <v>0</v>
      </c>
      <c r="AS374" s="107">
        <v>0</v>
      </c>
      <c r="AT374" s="149">
        <v>0.02</v>
      </c>
      <c r="AU374" s="107">
        <v>0</v>
      </c>
      <c r="AV374" s="107">
        <v>0</v>
      </c>
    </row>
    <row r="375" spans="1:48" ht="30" customHeight="1" outlineLevel="2">
      <c r="A375" s="146" t="s">
        <v>44</v>
      </c>
      <c r="B375" s="145" t="s">
        <v>45</v>
      </c>
      <c r="C375" s="134" t="s">
        <v>43</v>
      </c>
      <c r="E375" s="147">
        <f>MIN(N375,R375,V375,Z375,AD375)</f>
        <v>3.3000000000000002E-2</v>
      </c>
      <c r="F375" s="147">
        <f>AVERAGE(N375,R375,V375,Z375,AD375)</f>
        <v>0.15620000000000003</v>
      </c>
      <c r="G375" s="147">
        <f>MAX(N375,R375,V375,Z375,AD375)</f>
        <v>0.27500000000000002</v>
      </c>
      <c r="H375" s="148"/>
      <c r="I375" s="147">
        <f>MIN(R375,V375,Z375,AD375,AH375)</f>
        <v>3.3000000000000002E-2</v>
      </c>
      <c r="J375" s="147">
        <f>AVERAGE(R375,V375,Z375,AD375,AH375)</f>
        <v>0.1552</v>
      </c>
      <c r="K375" s="147">
        <f>MAX(R375,V375,Z375,AD375,AH375)</f>
        <v>0.27500000000000002</v>
      </c>
      <c r="N375" s="149">
        <f t="shared" si="141"/>
        <v>5.5000000000000007E-2</v>
      </c>
      <c r="O375" s="107">
        <f t="shared" si="142"/>
        <v>0</v>
      </c>
      <c r="P375" s="107">
        <f t="shared" si="143"/>
        <v>0</v>
      </c>
      <c r="R375" s="149">
        <f t="shared" si="144"/>
        <v>3.3000000000000002E-2</v>
      </c>
      <c r="S375" s="107">
        <f t="shared" si="145"/>
        <v>0</v>
      </c>
      <c r="T375" s="107">
        <f t="shared" si="146"/>
        <v>0</v>
      </c>
      <c r="V375" s="150">
        <f t="shared" si="147"/>
        <v>0.22000000000000003</v>
      </c>
      <c r="W375" s="107">
        <f t="shared" si="148"/>
        <v>0</v>
      </c>
      <c r="X375" s="107">
        <f t="shared" si="149"/>
        <v>0</v>
      </c>
      <c r="Z375" s="150">
        <f t="shared" si="150"/>
        <v>0.27500000000000002</v>
      </c>
      <c r="AA375" s="107">
        <f t="shared" si="151"/>
        <v>0</v>
      </c>
      <c r="AB375" s="107">
        <f t="shared" si="152"/>
        <v>0</v>
      </c>
      <c r="AD375" s="149">
        <f t="shared" si="153"/>
        <v>0.19800000000000001</v>
      </c>
      <c r="AE375" s="107">
        <f t="shared" si="154"/>
        <v>0</v>
      </c>
      <c r="AF375" s="107">
        <f t="shared" si="155"/>
        <v>0</v>
      </c>
      <c r="AH375" s="149">
        <v>0.05</v>
      </c>
      <c r="AI375" s="107">
        <v>0</v>
      </c>
      <c r="AJ375" s="107">
        <v>0</v>
      </c>
      <c r="AK375" s="149">
        <v>0.03</v>
      </c>
      <c r="AL375" s="107">
        <v>0</v>
      </c>
      <c r="AM375" s="107">
        <v>0</v>
      </c>
      <c r="AN375" s="150">
        <v>0.2</v>
      </c>
      <c r="AO375" s="107">
        <v>0</v>
      </c>
      <c r="AP375" s="107">
        <v>0</v>
      </c>
      <c r="AQ375" s="150">
        <v>0.25</v>
      </c>
      <c r="AR375" s="107">
        <v>0</v>
      </c>
      <c r="AS375" s="107">
        <v>0</v>
      </c>
      <c r="AT375" s="149">
        <v>0.18</v>
      </c>
      <c r="AU375" s="107">
        <v>0</v>
      </c>
      <c r="AV375" s="107">
        <v>0</v>
      </c>
    </row>
    <row r="376" spans="1:48" ht="30" customHeight="1" outlineLevel="1">
      <c r="A376" s="109" t="s">
        <v>977</v>
      </c>
      <c r="B376" s="135" t="s">
        <v>978</v>
      </c>
      <c r="C376" s="111"/>
      <c r="N376" s="11" t="str">
        <f t="shared" si="141"/>
        <v/>
      </c>
      <c r="O376" s="11" t="str">
        <f t="shared" si="142"/>
        <v/>
      </c>
      <c r="P376" s="11" t="str">
        <f t="shared" si="143"/>
        <v/>
      </c>
      <c r="R376" s="11" t="str">
        <f t="shared" si="144"/>
        <v/>
      </c>
      <c r="S376" s="11" t="str">
        <f t="shared" si="145"/>
        <v/>
      </c>
      <c r="T376" s="11" t="str">
        <f t="shared" si="146"/>
        <v/>
      </c>
      <c r="V376" s="11" t="str">
        <f t="shared" si="147"/>
        <v/>
      </c>
      <c r="W376" s="11" t="str">
        <f t="shared" si="148"/>
        <v/>
      </c>
      <c r="X376" s="11" t="str">
        <f t="shared" si="149"/>
        <v/>
      </c>
      <c r="Z376" s="11" t="str">
        <f t="shared" si="150"/>
        <v/>
      </c>
      <c r="AA376" s="11" t="str">
        <f t="shared" si="151"/>
        <v/>
      </c>
      <c r="AB376" s="11" t="str">
        <f t="shared" si="152"/>
        <v/>
      </c>
      <c r="AD376" s="11" t="str">
        <f t="shared" si="153"/>
        <v/>
      </c>
      <c r="AE376" s="11" t="str">
        <f t="shared" si="154"/>
        <v/>
      </c>
      <c r="AF376" s="11" t="str">
        <f t="shared" si="155"/>
        <v/>
      </c>
    </row>
    <row r="377" spans="1:48" ht="30" customHeight="1" outlineLevel="2" thickBot="1">
      <c r="A377" s="116" t="s">
        <v>979</v>
      </c>
      <c r="B377" s="117" t="s">
        <v>980</v>
      </c>
      <c r="C377" s="134" t="s">
        <v>40</v>
      </c>
      <c r="E377" s="105">
        <f>MIN(N377,R377,V377,Z377,AD377)</f>
        <v>1986.941</v>
      </c>
      <c r="F377" s="105">
        <f>AVERAGE(N377,R377,V377,Z377,AD377)</f>
        <v>2480.2976000000003</v>
      </c>
      <c r="G377" s="105">
        <f>MAX(N377,R377,V377,Z377,AD377)</f>
        <v>3195.0050000000006</v>
      </c>
      <c r="H377" s="106"/>
      <c r="I377" s="105">
        <f>MIN(T377,X377,AB377,AF377,P377)</f>
        <v>4.4000000000000004</v>
      </c>
      <c r="J377" s="105">
        <f>AVERAGE(P377,T377,X377,AB377,AF377)</f>
        <v>10.780000000000001</v>
      </c>
      <c r="K377" s="105">
        <f>MAX(P377,T377,X377,AB377,AF377)</f>
        <v>27.500000000000004</v>
      </c>
      <c r="N377" s="107">
        <f t="shared" si="141"/>
        <v>3195.0050000000006</v>
      </c>
      <c r="O377" s="107">
        <f t="shared" si="142"/>
        <v>-1.1000000000000001</v>
      </c>
      <c r="P377" s="107">
        <f t="shared" si="143"/>
        <v>5.5</v>
      </c>
      <c r="R377" s="107">
        <f t="shared" si="144"/>
        <v>2755.28</v>
      </c>
      <c r="S377" s="107">
        <f t="shared" si="145"/>
        <v>-5.5</v>
      </c>
      <c r="T377" s="107">
        <f t="shared" si="146"/>
        <v>4.4000000000000004</v>
      </c>
      <c r="V377" s="107">
        <f t="shared" si="147"/>
        <v>2433.6620000000003</v>
      </c>
      <c r="W377" s="107">
        <f t="shared" si="148"/>
        <v>-2.2000000000000002</v>
      </c>
      <c r="X377" s="107">
        <f t="shared" si="149"/>
        <v>5.5</v>
      </c>
      <c r="Z377" s="107">
        <f t="shared" si="150"/>
        <v>1986.941</v>
      </c>
      <c r="AA377" s="107">
        <f t="shared" si="151"/>
        <v>5.5</v>
      </c>
      <c r="AB377" s="107">
        <f t="shared" si="152"/>
        <v>27.500000000000004</v>
      </c>
      <c r="AD377" s="107">
        <f t="shared" si="153"/>
        <v>2030.6000000000001</v>
      </c>
      <c r="AE377" s="107">
        <f t="shared" si="154"/>
        <v>2.2000000000000002</v>
      </c>
      <c r="AF377" s="107">
        <f t="shared" si="155"/>
        <v>11</v>
      </c>
      <c r="AH377" s="107">
        <v>2904.55</v>
      </c>
      <c r="AI377" s="107">
        <v>-1</v>
      </c>
      <c r="AJ377" s="107">
        <v>5</v>
      </c>
      <c r="AK377" s="107">
        <v>2504.8000000000002</v>
      </c>
      <c r="AL377" s="107">
        <v>-5</v>
      </c>
      <c r="AM377" s="107">
        <v>4</v>
      </c>
      <c r="AN377" s="107">
        <v>2212.42</v>
      </c>
      <c r="AO377" s="107">
        <v>-2</v>
      </c>
      <c r="AP377" s="107">
        <v>5</v>
      </c>
      <c r="AQ377" s="107">
        <v>1806.31</v>
      </c>
      <c r="AR377" s="107">
        <v>5</v>
      </c>
      <c r="AS377" s="107">
        <v>25</v>
      </c>
      <c r="AT377" s="107">
        <v>1846</v>
      </c>
      <c r="AU377" s="107">
        <v>2</v>
      </c>
      <c r="AV377" s="107">
        <v>10</v>
      </c>
    </row>
    <row r="378" spans="1:48" ht="30" customHeight="1" thickBot="1">
      <c r="A378" s="96" t="s">
        <v>981</v>
      </c>
      <c r="B378" s="115" t="s">
        <v>982</v>
      </c>
      <c r="C378" s="98"/>
      <c r="N378" s="11" t="str">
        <f t="shared" si="141"/>
        <v/>
      </c>
      <c r="O378" s="11" t="str">
        <f t="shared" si="142"/>
        <v/>
      </c>
      <c r="P378" s="11" t="str">
        <f t="shared" si="143"/>
        <v/>
      </c>
      <c r="R378" s="11" t="str">
        <f t="shared" si="144"/>
        <v/>
      </c>
      <c r="S378" s="11" t="str">
        <f t="shared" si="145"/>
        <v/>
      </c>
      <c r="T378" s="11" t="str">
        <f t="shared" si="146"/>
        <v/>
      </c>
      <c r="V378" s="11" t="str">
        <f t="shared" si="147"/>
        <v/>
      </c>
      <c r="W378" s="11" t="str">
        <f t="shared" si="148"/>
        <v/>
      </c>
      <c r="X378" s="11" t="str">
        <f t="shared" si="149"/>
        <v/>
      </c>
      <c r="Z378" s="11" t="str">
        <f t="shared" si="150"/>
        <v/>
      </c>
      <c r="AA378" s="11" t="str">
        <f t="shared" si="151"/>
        <v/>
      </c>
      <c r="AB378" s="11" t="str">
        <f t="shared" si="152"/>
        <v/>
      </c>
      <c r="AD378" s="11" t="str">
        <f t="shared" si="153"/>
        <v/>
      </c>
      <c r="AE378" s="11" t="str">
        <f t="shared" si="154"/>
        <v/>
      </c>
      <c r="AF378" s="11" t="str">
        <f t="shared" si="155"/>
        <v/>
      </c>
    </row>
    <row r="379" spans="1:48" ht="30" customHeight="1" outlineLevel="1">
      <c r="A379" s="132" t="s">
        <v>983</v>
      </c>
      <c r="B379" s="133" t="s">
        <v>984</v>
      </c>
      <c r="C379" s="101"/>
      <c r="N379" s="11" t="str">
        <f t="shared" si="141"/>
        <v/>
      </c>
      <c r="O379" s="11" t="str">
        <f t="shared" si="142"/>
        <v/>
      </c>
      <c r="P379" s="11" t="str">
        <f t="shared" si="143"/>
        <v/>
      </c>
      <c r="R379" s="11" t="str">
        <f t="shared" si="144"/>
        <v/>
      </c>
      <c r="S379" s="11" t="str">
        <f t="shared" si="145"/>
        <v/>
      </c>
      <c r="T379" s="11" t="str">
        <f t="shared" si="146"/>
        <v/>
      </c>
      <c r="V379" s="11" t="str">
        <f t="shared" si="147"/>
        <v/>
      </c>
      <c r="W379" s="11" t="str">
        <f t="shared" si="148"/>
        <v/>
      </c>
      <c r="X379" s="11" t="str">
        <f t="shared" si="149"/>
        <v/>
      </c>
      <c r="Z379" s="11" t="str">
        <f t="shared" si="150"/>
        <v/>
      </c>
      <c r="AA379" s="11" t="str">
        <f t="shared" si="151"/>
        <v/>
      </c>
      <c r="AB379" s="11" t="str">
        <f t="shared" si="152"/>
        <v/>
      </c>
      <c r="AD379" s="11" t="str">
        <f t="shared" si="153"/>
        <v/>
      </c>
      <c r="AE379" s="11" t="str">
        <f t="shared" si="154"/>
        <v/>
      </c>
      <c r="AF379" s="11" t="str">
        <f t="shared" si="155"/>
        <v/>
      </c>
    </row>
    <row r="380" spans="1:48" ht="30" customHeight="1" outlineLevel="2">
      <c r="A380" s="116" t="s">
        <v>985</v>
      </c>
      <c r="B380" s="117" t="s">
        <v>986</v>
      </c>
      <c r="C380" s="134" t="s">
        <v>242</v>
      </c>
      <c r="E380" s="105">
        <f>MIN(N380,R380,V380,Z380,AD380)</f>
        <v>429.17600000000004</v>
      </c>
      <c r="F380" s="105">
        <f>AVERAGE(N380,R380,V380,Z380,AD380)</f>
        <v>1475.5048000000002</v>
      </c>
      <c r="G380" s="105">
        <f>MAX(N380,R380,V380,Z380,AD380)</f>
        <v>2441.7139999999999</v>
      </c>
      <c r="H380" s="106"/>
      <c r="I380" s="105">
        <f>MIN(T380,X380,AB380,AF380,P380)</f>
        <v>631.6640000000001</v>
      </c>
      <c r="J380" s="105">
        <f>AVERAGE(P380,T380,X380,AB380,AF380)</f>
        <v>2689.9312</v>
      </c>
      <c r="K380" s="105">
        <f>MAX(P380,T380,X380,AB380,AF380)</f>
        <v>4038.1660000000002</v>
      </c>
      <c r="N380" s="107">
        <f t="shared" si="141"/>
        <v>1760.8910000000001</v>
      </c>
      <c r="O380" s="107">
        <f t="shared" si="142"/>
        <v>2463.1639999999998</v>
      </c>
      <c r="P380" s="107">
        <f t="shared" si="143"/>
        <v>3455.4630000000002</v>
      </c>
      <c r="R380" s="107">
        <f t="shared" si="144"/>
        <v>429.17600000000004</v>
      </c>
      <c r="S380" s="107">
        <f t="shared" si="145"/>
        <v>429.40700000000004</v>
      </c>
      <c r="T380" s="107">
        <f t="shared" si="146"/>
        <v>631.6640000000001</v>
      </c>
      <c r="V380" s="107">
        <f t="shared" si="147"/>
        <v>1028.643</v>
      </c>
      <c r="W380" s="107">
        <f t="shared" si="148"/>
        <v>1637.471</v>
      </c>
      <c r="X380" s="107">
        <f t="shared" si="149"/>
        <v>2219.0630000000001</v>
      </c>
      <c r="Z380" s="107">
        <f t="shared" si="150"/>
        <v>2441.7139999999999</v>
      </c>
      <c r="AA380" s="107">
        <f t="shared" si="151"/>
        <v>3408.4930000000004</v>
      </c>
      <c r="AB380" s="107">
        <f t="shared" si="152"/>
        <v>4038.1660000000002</v>
      </c>
      <c r="AD380" s="107">
        <f t="shared" si="153"/>
        <v>1717.1000000000001</v>
      </c>
      <c r="AE380" s="107">
        <f t="shared" si="154"/>
        <v>2581.7000000000003</v>
      </c>
      <c r="AF380" s="107">
        <f t="shared" si="155"/>
        <v>3105.3</v>
      </c>
      <c r="AH380" s="107">
        <v>1600.81</v>
      </c>
      <c r="AI380" s="107">
        <v>2239.2399999999998</v>
      </c>
      <c r="AJ380" s="107">
        <v>3141.33</v>
      </c>
      <c r="AK380" s="107">
        <v>390.16</v>
      </c>
      <c r="AL380" s="107">
        <v>390.37</v>
      </c>
      <c r="AM380" s="107">
        <v>574.24</v>
      </c>
      <c r="AN380" s="107">
        <v>935.13</v>
      </c>
      <c r="AO380" s="107">
        <v>1488.61</v>
      </c>
      <c r="AP380" s="107">
        <v>2017.33</v>
      </c>
      <c r="AQ380" s="107">
        <v>2219.7399999999998</v>
      </c>
      <c r="AR380" s="107">
        <v>3098.63</v>
      </c>
      <c r="AS380" s="107">
        <v>3671.06</v>
      </c>
      <c r="AT380" s="107">
        <v>1561</v>
      </c>
      <c r="AU380" s="107">
        <v>2347</v>
      </c>
      <c r="AV380" s="107">
        <v>2823</v>
      </c>
    </row>
    <row r="381" spans="1:48" ht="30" customHeight="1" outlineLevel="2">
      <c r="A381" s="116" t="s">
        <v>987</v>
      </c>
      <c r="B381" s="117" t="s">
        <v>988</v>
      </c>
      <c r="C381" s="134" t="s">
        <v>242</v>
      </c>
      <c r="E381" s="105">
        <f>MIN(N381,R381,V381,Z381,AD381)</f>
        <v>429.17600000000004</v>
      </c>
      <c r="F381" s="105">
        <f>AVERAGE(N381,R381,V381,Z381,AD381)</f>
        <v>790.29500000000007</v>
      </c>
      <c r="G381" s="105">
        <f>MAX(N381,R381,V381,Z381,AD381)</f>
        <v>1097.6460000000002</v>
      </c>
      <c r="H381" s="106"/>
      <c r="I381" s="105">
        <f>MIN(T381,X381,AB381,AF381,P381)</f>
        <v>631.6640000000001</v>
      </c>
      <c r="J381" s="105">
        <f>AVERAGE(P381,T381,X381,AB381,AF381)</f>
        <v>1453.1770000000001</v>
      </c>
      <c r="K381" s="105">
        <f>MAX(P381,T381,X381,AB381,AF381)</f>
        <v>1956.922</v>
      </c>
      <c r="N381" s="107">
        <f t="shared" si="141"/>
        <v>658.96600000000001</v>
      </c>
      <c r="O381" s="107">
        <f t="shared" si="142"/>
        <v>922.99900000000014</v>
      </c>
      <c r="P381" s="107">
        <f t="shared" si="143"/>
        <v>1299.2430000000002</v>
      </c>
      <c r="R381" s="107">
        <f t="shared" si="144"/>
        <v>429.17600000000004</v>
      </c>
      <c r="S381" s="107">
        <f t="shared" si="145"/>
        <v>429.40700000000004</v>
      </c>
      <c r="T381" s="107">
        <f t="shared" si="146"/>
        <v>631.6640000000001</v>
      </c>
      <c r="V381" s="107">
        <f t="shared" si="147"/>
        <v>908.78700000000003</v>
      </c>
      <c r="W381" s="107">
        <f t="shared" si="148"/>
        <v>1443.299</v>
      </c>
      <c r="X381" s="107">
        <f t="shared" si="149"/>
        <v>1956.922</v>
      </c>
      <c r="Z381" s="107">
        <f t="shared" si="150"/>
        <v>1097.6460000000002</v>
      </c>
      <c r="AA381" s="107">
        <f t="shared" si="151"/>
        <v>1526.8000000000002</v>
      </c>
      <c r="AB381" s="107">
        <f t="shared" si="152"/>
        <v>1820.4560000000001</v>
      </c>
      <c r="AD381" s="107">
        <f t="shared" si="153"/>
        <v>856.90000000000009</v>
      </c>
      <c r="AE381" s="107">
        <f t="shared" si="154"/>
        <v>1291.4000000000001</v>
      </c>
      <c r="AF381" s="107">
        <f t="shared" si="155"/>
        <v>1557.6000000000001</v>
      </c>
      <c r="AH381" s="107">
        <v>599.05999999999995</v>
      </c>
      <c r="AI381" s="107">
        <v>839.09</v>
      </c>
      <c r="AJ381" s="107">
        <v>1181.1300000000001</v>
      </c>
      <c r="AK381" s="107">
        <v>390.16</v>
      </c>
      <c r="AL381" s="107">
        <v>390.37</v>
      </c>
      <c r="AM381" s="107">
        <v>574.24</v>
      </c>
      <c r="AN381" s="107">
        <v>826.17</v>
      </c>
      <c r="AO381" s="107">
        <v>1312.09</v>
      </c>
      <c r="AP381" s="107">
        <v>1779.02</v>
      </c>
      <c r="AQ381" s="107">
        <v>997.86</v>
      </c>
      <c r="AR381" s="107">
        <v>1388</v>
      </c>
      <c r="AS381" s="107">
        <v>1654.96</v>
      </c>
      <c r="AT381" s="107">
        <v>779</v>
      </c>
      <c r="AU381" s="107">
        <v>1174</v>
      </c>
      <c r="AV381" s="107">
        <v>1416</v>
      </c>
    </row>
    <row r="382" spans="1:48" ht="30" customHeight="1" outlineLevel="2">
      <c r="A382" s="116" t="s">
        <v>989</v>
      </c>
      <c r="B382" s="117" t="s">
        <v>990</v>
      </c>
      <c r="C382" s="134" t="s">
        <v>242</v>
      </c>
      <c r="E382" s="105">
        <f>MIN(N382,R382,V382,Z382,AD382)</f>
        <v>429.17600000000004</v>
      </c>
      <c r="F382" s="105">
        <f>AVERAGE(N382,R382,V382,Z382,AD382)</f>
        <v>867.42920000000015</v>
      </c>
      <c r="G382" s="105">
        <f>MAX(N382,R382,V382,Z382,AD382)</f>
        <v>1097.6460000000002</v>
      </c>
      <c r="H382" s="106"/>
      <c r="I382" s="105">
        <f>MIN(T382,X382,AB382,AF382,P382)</f>
        <v>631.6640000000001</v>
      </c>
      <c r="J382" s="105">
        <f>AVERAGE(P382,T382,X382,AB382,AF382)</f>
        <v>1604.1124000000002</v>
      </c>
      <c r="K382" s="105">
        <f>MAX(P382,T382,X382,AB382,AF382)</f>
        <v>2053.92</v>
      </c>
      <c r="N382" s="107">
        <f t="shared" si="141"/>
        <v>1044.6369999999999</v>
      </c>
      <c r="O382" s="107">
        <f t="shared" si="142"/>
        <v>1462.0540000000003</v>
      </c>
      <c r="P382" s="107">
        <f t="shared" si="143"/>
        <v>2053.92</v>
      </c>
      <c r="R382" s="107">
        <f t="shared" si="144"/>
        <v>429.17600000000004</v>
      </c>
      <c r="S382" s="107">
        <f t="shared" si="145"/>
        <v>429.40700000000004</v>
      </c>
      <c r="T382" s="107">
        <f t="shared" si="146"/>
        <v>631.6640000000001</v>
      </c>
      <c r="V382" s="107">
        <f t="shared" si="147"/>
        <v>908.78700000000003</v>
      </c>
      <c r="W382" s="107">
        <f t="shared" si="148"/>
        <v>1443.299</v>
      </c>
      <c r="X382" s="107">
        <f t="shared" si="149"/>
        <v>1956.922</v>
      </c>
      <c r="Z382" s="107">
        <f t="shared" si="150"/>
        <v>1097.6460000000002</v>
      </c>
      <c r="AA382" s="107">
        <f t="shared" si="151"/>
        <v>1526.8000000000002</v>
      </c>
      <c r="AB382" s="107">
        <f t="shared" si="152"/>
        <v>1820.4560000000001</v>
      </c>
      <c r="AD382" s="107">
        <f t="shared" si="153"/>
        <v>856.90000000000009</v>
      </c>
      <c r="AE382" s="107">
        <f t="shared" si="154"/>
        <v>1291.4000000000001</v>
      </c>
      <c r="AF382" s="107">
        <f t="shared" si="155"/>
        <v>1557.6000000000001</v>
      </c>
      <c r="AH382" s="107">
        <v>949.67</v>
      </c>
      <c r="AI382" s="107">
        <v>1329.14</v>
      </c>
      <c r="AJ382" s="107">
        <v>1867.2</v>
      </c>
      <c r="AK382" s="107">
        <v>390.16</v>
      </c>
      <c r="AL382" s="107">
        <v>390.37</v>
      </c>
      <c r="AM382" s="107">
        <v>574.24</v>
      </c>
      <c r="AN382" s="107">
        <v>826.17</v>
      </c>
      <c r="AO382" s="107">
        <v>1312.09</v>
      </c>
      <c r="AP382" s="107">
        <v>1779.02</v>
      </c>
      <c r="AQ382" s="107">
        <v>997.86</v>
      </c>
      <c r="AR382" s="107">
        <v>1388</v>
      </c>
      <c r="AS382" s="107">
        <v>1654.96</v>
      </c>
      <c r="AT382" s="107">
        <v>779</v>
      </c>
      <c r="AU382" s="107">
        <v>1174</v>
      </c>
      <c r="AV382" s="107">
        <v>1416</v>
      </c>
    </row>
    <row r="383" spans="1:48" ht="30" customHeight="1" outlineLevel="2">
      <c r="A383" s="116" t="s">
        <v>991</v>
      </c>
      <c r="B383" s="117" t="s">
        <v>992</v>
      </c>
      <c r="C383" s="134" t="s">
        <v>242</v>
      </c>
      <c r="E383" s="105">
        <f>MIN(N383,R383,V383,Z383,AD383)</f>
        <v>429.17600000000004</v>
      </c>
      <c r="F383" s="105">
        <f>AVERAGE(N383,R383,V383,Z383,AD383)</f>
        <v>1032.7372</v>
      </c>
      <c r="G383" s="105">
        <f>MAX(N383,R383,V383,Z383,AD383)</f>
        <v>1454.3980000000001</v>
      </c>
      <c r="H383" s="106"/>
      <c r="I383" s="105">
        <f>MIN(T383,X383,AB383,AF383,P383)</f>
        <v>631.6640000000001</v>
      </c>
      <c r="J383" s="105">
        <f>AVERAGE(P383,T383,X383,AB383,AF383)</f>
        <v>2063.0566000000003</v>
      </c>
      <c r="K383" s="105">
        <f>MAX(P383,T383,X383,AB383,AF383)</f>
        <v>2743.3670000000002</v>
      </c>
      <c r="N383" s="107">
        <f t="shared" si="141"/>
        <v>1154.8240000000001</v>
      </c>
      <c r="O383" s="107">
        <f t="shared" si="142"/>
        <v>1616.0760000000002</v>
      </c>
      <c r="P383" s="107">
        <f t="shared" si="143"/>
        <v>2269.5419999999999</v>
      </c>
      <c r="R383" s="107">
        <f t="shared" si="144"/>
        <v>429.17600000000004</v>
      </c>
      <c r="S383" s="107">
        <f t="shared" si="145"/>
        <v>429.40700000000004</v>
      </c>
      <c r="T383" s="107">
        <f t="shared" si="146"/>
        <v>631.6640000000001</v>
      </c>
      <c r="V383" s="107">
        <f t="shared" si="147"/>
        <v>1268.3879999999999</v>
      </c>
      <c r="W383" s="107">
        <f t="shared" si="148"/>
        <v>2025.8480000000002</v>
      </c>
      <c r="X383" s="107">
        <f t="shared" si="149"/>
        <v>2743.3670000000002</v>
      </c>
      <c r="Z383" s="107">
        <f t="shared" si="150"/>
        <v>1454.3980000000001</v>
      </c>
      <c r="AA383" s="107">
        <f t="shared" si="151"/>
        <v>2026.2660000000001</v>
      </c>
      <c r="AB383" s="107">
        <f t="shared" si="152"/>
        <v>2409.11</v>
      </c>
      <c r="AD383" s="107">
        <f t="shared" si="153"/>
        <v>856.90000000000009</v>
      </c>
      <c r="AE383" s="107">
        <f t="shared" si="154"/>
        <v>1291.4000000000001</v>
      </c>
      <c r="AF383" s="107">
        <f t="shared" si="155"/>
        <v>2261.6000000000004</v>
      </c>
      <c r="AH383" s="107">
        <v>1049.8399999999999</v>
      </c>
      <c r="AI383" s="107">
        <v>1469.16</v>
      </c>
      <c r="AJ383" s="107">
        <v>2063.2199999999998</v>
      </c>
      <c r="AK383" s="107">
        <v>390.16</v>
      </c>
      <c r="AL383" s="107">
        <v>390.37</v>
      </c>
      <c r="AM383" s="107">
        <v>574.24</v>
      </c>
      <c r="AN383" s="107">
        <v>1153.08</v>
      </c>
      <c r="AO383" s="107">
        <v>1841.68</v>
      </c>
      <c r="AP383" s="107">
        <v>2493.9699999999998</v>
      </c>
      <c r="AQ383" s="107">
        <v>1322.18</v>
      </c>
      <c r="AR383" s="107">
        <v>1842.06</v>
      </c>
      <c r="AS383" s="107">
        <v>2190.1</v>
      </c>
      <c r="AT383" s="107">
        <v>779</v>
      </c>
      <c r="AU383" s="107">
        <v>1174</v>
      </c>
      <c r="AV383" s="107">
        <v>2056</v>
      </c>
    </row>
    <row r="384" spans="1:48" ht="30" customHeight="1" outlineLevel="1">
      <c r="A384" s="109" t="s">
        <v>993</v>
      </c>
      <c r="B384" s="135" t="s">
        <v>994</v>
      </c>
      <c r="C384" s="111"/>
      <c r="N384" s="11" t="str">
        <f t="shared" si="141"/>
        <v/>
      </c>
      <c r="O384" s="11" t="str">
        <f t="shared" si="142"/>
        <v/>
      </c>
      <c r="P384" s="11" t="str">
        <f t="shared" si="143"/>
        <v/>
      </c>
      <c r="R384" s="11" t="str">
        <f t="shared" si="144"/>
        <v/>
      </c>
      <c r="S384" s="11" t="str">
        <f t="shared" si="145"/>
        <v/>
      </c>
      <c r="T384" s="11" t="str">
        <f t="shared" si="146"/>
        <v/>
      </c>
      <c r="V384" s="11" t="str">
        <f t="shared" si="147"/>
        <v/>
      </c>
      <c r="W384" s="11" t="str">
        <f t="shared" si="148"/>
        <v/>
      </c>
      <c r="X384" s="11" t="str">
        <f t="shared" si="149"/>
        <v/>
      </c>
      <c r="Z384" s="11" t="str">
        <f t="shared" si="150"/>
        <v/>
      </c>
      <c r="AA384" s="11" t="str">
        <f t="shared" si="151"/>
        <v/>
      </c>
      <c r="AB384" s="11" t="str">
        <f t="shared" si="152"/>
        <v/>
      </c>
      <c r="AD384" s="11" t="str">
        <f t="shared" si="153"/>
        <v/>
      </c>
      <c r="AE384" s="11" t="str">
        <f t="shared" si="154"/>
        <v/>
      </c>
      <c r="AF384" s="11" t="str">
        <f t="shared" si="155"/>
        <v/>
      </c>
    </row>
    <row r="385" spans="1:48" ht="30" customHeight="1" outlineLevel="2">
      <c r="A385" s="116" t="s">
        <v>995</v>
      </c>
      <c r="B385" s="117" t="s">
        <v>996</v>
      </c>
      <c r="C385" s="134" t="s">
        <v>242</v>
      </c>
      <c r="E385" s="105">
        <f>MIN(N385,R385,V385,Z385,AD385)</f>
        <v>497.05700000000007</v>
      </c>
      <c r="F385" s="105">
        <f>AVERAGE(N385,R385,V385,Z385,AD385)</f>
        <v>856.6382000000001</v>
      </c>
      <c r="G385" s="105">
        <f>MAX(N385,R385,V385,Z385,AD385)</f>
        <v>1336.8300000000002</v>
      </c>
      <c r="H385" s="106"/>
      <c r="I385" s="105">
        <f>MIN(T385,X385,AB385,AF385,P385)</f>
        <v>4.4000000000000004</v>
      </c>
      <c r="J385" s="105">
        <f>AVERAGE(P385,T385,X385,AB385,AF385)</f>
        <v>10.780000000000001</v>
      </c>
      <c r="K385" s="105">
        <f>MAX(P385,T385,X385,AB385,AF385)</f>
        <v>27.500000000000004</v>
      </c>
      <c r="N385" s="107">
        <f t="shared" si="141"/>
        <v>497.05700000000007</v>
      </c>
      <c r="O385" s="107">
        <f t="shared" si="142"/>
        <v>-1.1000000000000001</v>
      </c>
      <c r="P385" s="107">
        <f t="shared" si="143"/>
        <v>5.5</v>
      </c>
      <c r="R385" s="107">
        <f t="shared" si="144"/>
        <v>1042.25</v>
      </c>
      <c r="S385" s="107">
        <f t="shared" si="145"/>
        <v>-5.5</v>
      </c>
      <c r="T385" s="107">
        <f t="shared" si="146"/>
        <v>4.4000000000000004</v>
      </c>
      <c r="V385" s="107">
        <f t="shared" si="147"/>
        <v>655.75400000000002</v>
      </c>
      <c r="W385" s="107">
        <f t="shared" si="148"/>
        <v>-2.2000000000000002</v>
      </c>
      <c r="X385" s="107">
        <f t="shared" si="149"/>
        <v>5.5</v>
      </c>
      <c r="Z385" s="107">
        <f t="shared" si="150"/>
        <v>1336.8300000000002</v>
      </c>
      <c r="AA385" s="107">
        <f t="shared" si="151"/>
        <v>5.5</v>
      </c>
      <c r="AB385" s="107">
        <f t="shared" si="152"/>
        <v>27.500000000000004</v>
      </c>
      <c r="AD385" s="107">
        <f t="shared" si="153"/>
        <v>751.30000000000007</v>
      </c>
      <c r="AE385" s="107">
        <f t="shared" si="154"/>
        <v>2.2000000000000002</v>
      </c>
      <c r="AF385" s="107">
        <f t="shared" si="155"/>
        <v>11</v>
      </c>
      <c r="AH385" s="107">
        <v>451.87</v>
      </c>
      <c r="AI385" s="107">
        <v>-1</v>
      </c>
      <c r="AJ385" s="107">
        <v>5</v>
      </c>
      <c r="AK385" s="107">
        <v>947.5</v>
      </c>
      <c r="AL385" s="107">
        <v>-5</v>
      </c>
      <c r="AM385" s="107">
        <v>4</v>
      </c>
      <c r="AN385" s="107">
        <v>596.14</v>
      </c>
      <c r="AO385" s="107">
        <v>-2</v>
      </c>
      <c r="AP385" s="107">
        <v>5</v>
      </c>
      <c r="AQ385" s="107">
        <v>1215.3</v>
      </c>
      <c r="AR385" s="107">
        <v>5</v>
      </c>
      <c r="AS385" s="107">
        <v>25</v>
      </c>
      <c r="AT385" s="107">
        <v>683</v>
      </c>
      <c r="AU385" s="107">
        <v>2</v>
      </c>
      <c r="AV385" s="107">
        <v>10</v>
      </c>
    </row>
    <row r="386" spans="1:48" ht="30" customHeight="1" outlineLevel="2">
      <c r="A386" s="116" t="s">
        <v>997</v>
      </c>
      <c r="B386" s="117" t="s">
        <v>998</v>
      </c>
      <c r="C386" s="134" t="s">
        <v>242</v>
      </c>
      <c r="E386" s="105">
        <f>MIN(N386,R386,V386,Z386,AD386)</f>
        <v>1577.51</v>
      </c>
      <c r="F386" s="105">
        <f>AVERAGE(N386,R386,V386,Z386,AD386)</f>
        <v>2022.5567999999998</v>
      </c>
      <c r="G386" s="105">
        <f>MAX(N386,R386,V386,Z386,AD386)</f>
        <v>2504.1830000000004</v>
      </c>
      <c r="H386" s="106"/>
      <c r="I386" s="105">
        <f>MIN(T386,X386,AB386,AF386,P386)</f>
        <v>4.4000000000000004</v>
      </c>
      <c r="J386" s="105">
        <f>AVERAGE(P386,T386,X386,AB386,AF386)</f>
        <v>10.780000000000001</v>
      </c>
      <c r="K386" s="105">
        <f>MAX(P386,T386,X386,AB386,AF386)</f>
        <v>27.500000000000004</v>
      </c>
      <c r="N386" s="107">
        <f t="shared" si="141"/>
        <v>1852.191</v>
      </c>
      <c r="O386" s="107">
        <f t="shared" si="142"/>
        <v>-1.1000000000000001</v>
      </c>
      <c r="P386" s="107">
        <f t="shared" si="143"/>
        <v>5.5</v>
      </c>
      <c r="R386" s="107">
        <f t="shared" si="144"/>
        <v>2486</v>
      </c>
      <c r="S386" s="107">
        <f t="shared" si="145"/>
        <v>-5.5</v>
      </c>
      <c r="T386" s="107">
        <f t="shared" si="146"/>
        <v>4.4000000000000004</v>
      </c>
      <c r="V386" s="107">
        <f t="shared" si="147"/>
        <v>2504.1830000000004</v>
      </c>
      <c r="W386" s="107">
        <f t="shared" si="148"/>
        <v>-2.2000000000000002</v>
      </c>
      <c r="X386" s="107">
        <f t="shared" si="149"/>
        <v>5.5</v>
      </c>
      <c r="Z386" s="107">
        <f t="shared" si="150"/>
        <v>1577.51</v>
      </c>
      <c r="AA386" s="107">
        <f t="shared" si="151"/>
        <v>5.5</v>
      </c>
      <c r="AB386" s="107">
        <f t="shared" si="152"/>
        <v>27.500000000000004</v>
      </c>
      <c r="AD386" s="107">
        <f t="shared" si="153"/>
        <v>1692.9</v>
      </c>
      <c r="AE386" s="107">
        <f t="shared" si="154"/>
        <v>2.2000000000000002</v>
      </c>
      <c r="AF386" s="107">
        <f t="shared" si="155"/>
        <v>11</v>
      </c>
      <c r="AH386" s="107">
        <v>1683.81</v>
      </c>
      <c r="AI386" s="107">
        <v>-1</v>
      </c>
      <c r="AJ386" s="107">
        <v>5</v>
      </c>
      <c r="AK386" s="107">
        <v>2260</v>
      </c>
      <c r="AL386" s="107">
        <v>-5</v>
      </c>
      <c r="AM386" s="107">
        <v>4</v>
      </c>
      <c r="AN386" s="107">
        <v>2276.5300000000002</v>
      </c>
      <c r="AO386" s="107">
        <v>-2</v>
      </c>
      <c r="AP386" s="107">
        <v>5</v>
      </c>
      <c r="AQ386" s="107">
        <v>1434.1</v>
      </c>
      <c r="AR386" s="107">
        <v>5</v>
      </c>
      <c r="AS386" s="107">
        <v>25</v>
      </c>
      <c r="AT386" s="107">
        <v>1539</v>
      </c>
      <c r="AU386" s="107">
        <v>2</v>
      </c>
      <c r="AV386" s="107">
        <v>10</v>
      </c>
    </row>
    <row r="387" spans="1:48" ht="30" customHeight="1" outlineLevel="1">
      <c r="A387" s="109" t="s">
        <v>999</v>
      </c>
      <c r="B387" s="135" t="s">
        <v>1000</v>
      </c>
      <c r="C387" s="111"/>
      <c r="N387" s="11" t="str">
        <f t="shared" si="141"/>
        <v/>
      </c>
      <c r="O387" s="11" t="str">
        <f t="shared" si="142"/>
        <v/>
      </c>
      <c r="P387" s="11" t="str">
        <f t="shared" si="143"/>
        <v/>
      </c>
      <c r="R387" s="11" t="str">
        <f t="shared" si="144"/>
        <v/>
      </c>
      <c r="S387" s="11" t="str">
        <f t="shared" si="145"/>
        <v/>
      </c>
      <c r="T387" s="11" t="str">
        <f t="shared" si="146"/>
        <v/>
      </c>
      <c r="V387" s="11" t="str">
        <f t="shared" si="147"/>
        <v/>
      </c>
      <c r="W387" s="11" t="str">
        <f t="shared" si="148"/>
        <v/>
      </c>
      <c r="X387" s="11" t="str">
        <f t="shared" si="149"/>
        <v/>
      </c>
      <c r="Z387" s="11" t="str">
        <f t="shared" si="150"/>
        <v/>
      </c>
      <c r="AA387" s="11" t="str">
        <f t="shared" si="151"/>
        <v/>
      </c>
      <c r="AB387" s="11" t="str">
        <f t="shared" si="152"/>
        <v/>
      </c>
      <c r="AD387" s="11" t="str">
        <f t="shared" si="153"/>
        <v/>
      </c>
      <c r="AE387" s="11" t="str">
        <f t="shared" si="154"/>
        <v/>
      </c>
      <c r="AF387" s="11" t="str">
        <f t="shared" si="155"/>
        <v/>
      </c>
    </row>
    <row r="388" spans="1:48" ht="30" customHeight="1" outlineLevel="2">
      <c r="A388" s="116" t="s">
        <v>1001</v>
      </c>
      <c r="B388" s="117" t="s">
        <v>1002</v>
      </c>
      <c r="C388" s="134" t="s">
        <v>242</v>
      </c>
      <c r="E388" s="105">
        <f>MIN(N388,R388,V388,Z388,AD388)</f>
        <v>432.3</v>
      </c>
      <c r="F388" s="105">
        <f>AVERAGE(N388,R388,V388,Z388,AD388)</f>
        <v>1215.6034000000002</v>
      </c>
      <c r="G388" s="105">
        <f>MAX(N388,R388,V388,Z388,AD388)</f>
        <v>3542.9680000000003</v>
      </c>
      <c r="H388" s="106"/>
      <c r="I388" s="105">
        <f>MIN(T388,X388,AB388,AF388,P388)</f>
        <v>4.4000000000000004</v>
      </c>
      <c r="J388" s="105">
        <f>AVERAGE(P388,T388,X388,AB388,AF388)</f>
        <v>10.780000000000001</v>
      </c>
      <c r="K388" s="105">
        <f>MAX(P388,T388,X388,AB388,AF388)</f>
        <v>27.500000000000004</v>
      </c>
      <c r="N388" s="107">
        <f t="shared" ref="N388:N451" si="168" xml:space="preserve"> IF(ISBLANK(AH388),"",_k_EIFFAGE * AH388)</f>
        <v>711.029</v>
      </c>
      <c r="O388" s="107">
        <f t="shared" ref="O388:O451" si="169" xml:space="preserve"> IF(ISBLANK(AI388),"",_k_EIFFAGE * AI388)</f>
        <v>-1.1000000000000001</v>
      </c>
      <c r="P388" s="107">
        <f t="shared" ref="P388:P451" si="170" xml:space="preserve"> IF(ISBLANK(AJ388),"",_k_EIFFAGE * AJ388)</f>
        <v>5.5</v>
      </c>
      <c r="R388" s="107">
        <f t="shared" ref="R388:R451" si="171" xml:space="preserve"> IF(ISBLANK(AK388),"",_k_ERI * AK388)</f>
        <v>533.72</v>
      </c>
      <c r="S388" s="107">
        <f t="shared" ref="S388:S451" si="172" xml:space="preserve"> IF(ISBLANK(AL388),"",_k_ERI * AL388)</f>
        <v>-5.5</v>
      </c>
      <c r="T388" s="107">
        <f t="shared" ref="T388:T451" si="173" xml:space="preserve"> IF(ISBLANK(AM388),"",_k_ERI * AM388)</f>
        <v>4.4000000000000004</v>
      </c>
      <c r="V388" s="107">
        <f t="shared" ref="V388:V451" si="174" xml:space="preserve"> IF(ISBLANK(AN388),"",_k_INEO * AN388)</f>
        <v>3542.9680000000003</v>
      </c>
      <c r="W388" s="107">
        <f t="shared" ref="W388:W451" si="175" xml:space="preserve"> IF(ISBLANK(AO388),"",_k_INEO * AO388)</f>
        <v>-2.2000000000000002</v>
      </c>
      <c r="X388" s="107">
        <f t="shared" ref="X388:X451" si="176" xml:space="preserve"> IF(ISBLANK(AP388),"",_k_INEO * AP388)</f>
        <v>5.5</v>
      </c>
      <c r="Z388" s="107">
        <f t="shared" ref="Z388:Z451" si="177" xml:space="preserve"> IF(ISBLANK(AQ388),"",_k_SDEL * AQ388)</f>
        <v>858.00000000000011</v>
      </c>
      <c r="AA388" s="107">
        <f t="shared" ref="AA388:AA451" si="178" xml:space="preserve"> IF(ISBLANK(AR388),"",_k_SDEL * AR388)</f>
        <v>5.5</v>
      </c>
      <c r="AB388" s="107">
        <f t="shared" ref="AB388:AB451" si="179" xml:space="preserve"> IF(ISBLANK(AS388),"",_k_SDEL * AS388)</f>
        <v>27.500000000000004</v>
      </c>
      <c r="AD388" s="107">
        <f t="shared" ref="AD388:AD451" si="180" xml:space="preserve"> IF(ISBLANK(AT388),"",_k_SOGETREL * AT388)</f>
        <v>432.3</v>
      </c>
      <c r="AE388" s="107">
        <f t="shared" ref="AE388:AE451" si="181" xml:space="preserve"> IF(ISBLANK(AU388),"",_k_SOGETREL * AU388)</f>
        <v>2.2000000000000002</v>
      </c>
      <c r="AF388" s="107">
        <f t="shared" ref="AF388:AF451" si="182" xml:space="preserve"> IF(ISBLANK(AV388),"",_k_SOGETREL * AV388)</f>
        <v>11</v>
      </c>
      <c r="AH388" s="107">
        <v>646.39</v>
      </c>
      <c r="AI388" s="107">
        <v>-1</v>
      </c>
      <c r="AJ388" s="107">
        <v>5</v>
      </c>
      <c r="AK388" s="107">
        <v>485.2</v>
      </c>
      <c r="AL388" s="107">
        <v>-5</v>
      </c>
      <c r="AM388" s="107">
        <v>4</v>
      </c>
      <c r="AN388" s="107">
        <v>3220.88</v>
      </c>
      <c r="AO388" s="107">
        <v>-2</v>
      </c>
      <c r="AP388" s="107">
        <v>5</v>
      </c>
      <c r="AQ388" s="107">
        <v>780</v>
      </c>
      <c r="AR388" s="107">
        <v>5</v>
      </c>
      <c r="AS388" s="107">
        <v>25</v>
      </c>
      <c r="AT388" s="107">
        <v>393</v>
      </c>
      <c r="AU388" s="107">
        <v>2</v>
      </c>
      <c r="AV388" s="107">
        <v>10</v>
      </c>
    </row>
    <row r="389" spans="1:48" ht="30" customHeight="1" outlineLevel="2">
      <c r="A389" s="116" t="s">
        <v>1003</v>
      </c>
      <c r="B389" s="117" t="s">
        <v>1004</v>
      </c>
      <c r="C389" s="134" t="s">
        <v>242</v>
      </c>
      <c r="E389" s="105">
        <f>MIN(N389,R389,V389,Z389,AD389)</f>
        <v>364.1</v>
      </c>
      <c r="F389" s="105">
        <f>AVERAGE(N389,R389,V389,Z389,AD389)</f>
        <v>565.22180000000003</v>
      </c>
      <c r="G389" s="105">
        <f>MAX(N389,R389,V389,Z389,AD389)</f>
        <v>730.79600000000005</v>
      </c>
      <c r="H389" s="106"/>
      <c r="I389" s="105">
        <f>MIN(T389,X389,AB389,AF389,P389)</f>
        <v>4.4000000000000004</v>
      </c>
      <c r="J389" s="105">
        <f>AVERAGE(P389,T389,X389,AB389,AF389)</f>
        <v>10.780000000000001</v>
      </c>
      <c r="K389" s="105">
        <f>MAX(P389,T389,X389,AB389,AF389)</f>
        <v>27.500000000000004</v>
      </c>
      <c r="N389" s="107">
        <f t="shared" si="168"/>
        <v>568.38100000000009</v>
      </c>
      <c r="O389" s="107">
        <f t="shared" si="169"/>
        <v>-1.1000000000000001</v>
      </c>
      <c r="P389" s="107">
        <f t="shared" si="170"/>
        <v>5.5</v>
      </c>
      <c r="R389" s="107">
        <f t="shared" si="171"/>
        <v>533.72</v>
      </c>
      <c r="S389" s="107">
        <f t="shared" si="172"/>
        <v>-5.5</v>
      </c>
      <c r="T389" s="107">
        <f t="shared" si="173"/>
        <v>4.4000000000000004</v>
      </c>
      <c r="V389" s="107">
        <f t="shared" si="174"/>
        <v>629.11199999999997</v>
      </c>
      <c r="W389" s="107">
        <f t="shared" si="175"/>
        <v>-2.2000000000000002</v>
      </c>
      <c r="X389" s="107">
        <f t="shared" si="176"/>
        <v>5.5</v>
      </c>
      <c r="Z389" s="107">
        <f t="shared" si="177"/>
        <v>730.79600000000005</v>
      </c>
      <c r="AA389" s="107">
        <f t="shared" si="178"/>
        <v>5.5</v>
      </c>
      <c r="AB389" s="107">
        <f t="shared" si="179"/>
        <v>27.500000000000004</v>
      </c>
      <c r="AD389" s="107">
        <f t="shared" si="180"/>
        <v>364.1</v>
      </c>
      <c r="AE389" s="107">
        <f t="shared" si="181"/>
        <v>2.2000000000000002</v>
      </c>
      <c r="AF389" s="107">
        <f t="shared" si="182"/>
        <v>11</v>
      </c>
      <c r="AH389" s="107">
        <v>516.71</v>
      </c>
      <c r="AI389" s="107">
        <v>-1</v>
      </c>
      <c r="AJ389" s="107">
        <v>5</v>
      </c>
      <c r="AK389" s="107">
        <v>485.2</v>
      </c>
      <c r="AL389" s="107">
        <v>-5</v>
      </c>
      <c r="AM389" s="107">
        <v>4</v>
      </c>
      <c r="AN389" s="107">
        <v>571.91999999999996</v>
      </c>
      <c r="AO389" s="107">
        <v>-2</v>
      </c>
      <c r="AP389" s="107">
        <v>5</v>
      </c>
      <c r="AQ389" s="107">
        <v>664.36</v>
      </c>
      <c r="AR389" s="107">
        <v>5</v>
      </c>
      <c r="AS389" s="107">
        <v>25</v>
      </c>
      <c r="AT389" s="107">
        <v>331</v>
      </c>
      <c r="AU389" s="107">
        <v>2</v>
      </c>
      <c r="AV389" s="107">
        <v>10</v>
      </c>
    </row>
    <row r="390" spans="1:48" ht="30" customHeight="1" outlineLevel="2">
      <c r="A390" s="116" t="s">
        <v>1005</v>
      </c>
      <c r="B390" s="117" t="s">
        <v>1006</v>
      </c>
      <c r="C390" s="134" t="s">
        <v>242</v>
      </c>
      <c r="E390" s="105">
        <f>MIN(N390,R390,V390,Z390,AD390)</f>
        <v>393.8</v>
      </c>
      <c r="F390" s="105">
        <f>AVERAGE(N390,R390,V390,Z390,AD390)</f>
        <v>714.16840000000013</v>
      </c>
      <c r="G390" s="105">
        <f>MAX(N390,R390,V390,Z390,AD390)</f>
        <v>1002.0120000000001</v>
      </c>
      <c r="H390" s="106"/>
      <c r="I390" s="105">
        <f>MIN(T390,X390,AB390,AF390,P390)</f>
        <v>4.4000000000000004</v>
      </c>
      <c r="J390" s="105">
        <f>AVERAGE(P390,T390,X390,AB390,AF390)</f>
        <v>10.780000000000001</v>
      </c>
      <c r="K390" s="105">
        <f>MAX(P390,T390,X390,AB390,AF390)</f>
        <v>27.500000000000004</v>
      </c>
      <c r="N390" s="107">
        <f t="shared" si="168"/>
        <v>568.38100000000009</v>
      </c>
      <c r="O390" s="107">
        <f t="shared" si="169"/>
        <v>-1.1000000000000001</v>
      </c>
      <c r="P390" s="107">
        <f t="shared" si="170"/>
        <v>5.5</v>
      </c>
      <c r="R390" s="107">
        <f t="shared" si="171"/>
        <v>731.19200000000012</v>
      </c>
      <c r="S390" s="107">
        <f t="shared" si="172"/>
        <v>-5.5</v>
      </c>
      <c r="T390" s="107">
        <f t="shared" si="173"/>
        <v>4.4000000000000004</v>
      </c>
      <c r="V390" s="107">
        <f t="shared" si="174"/>
        <v>1002.0120000000001</v>
      </c>
      <c r="W390" s="107">
        <f t="shared" si="175"/>
        <v>-2.2000000000000002</v>
      </c>
      <c r="X390" s="107">
        <f t="shared" si="176"/>
        <v>5.5</v>
      </c>
      <c r="Z390" s="107">
        <f t="shared" si="177"/>
        <v>875.45700000000011</v>
      </c>
      <c r="AA390" s="107">
        <f t="shared" si="178"/>
        <v>5.5</v>
      </c>
      <c r="AB390" s="107">
        <f t="shared" si="179"/>
        <v>27.500000000000004</v>
      </c>
      <c r="AD390" s="107">
        <f t="shared" si="180"/>
        <v>393.8</v>
      </c>
      <c r="AE390" s="107">
        <f t="shared" si="181"/>
        <v>2.2000000000000002</v>
      </c>
      <c r="AF390" s="107">
        <f t="shared" si="182"/>
        <v>11</v>
      </c>
      <c r="AH390" s="107">
        <v>516.71</v>
      </c>
      <c r="AI390" s="107">
        <v>-1</v>
      </c>
      <c r="AJ390" s="107">
        <v>5</v>
      </c>
      <c r="AK390" s="107">
        <v>664.72</v>
      </c>
      <c r="AL390" s="107">
        <v>-5</v>
      </c>
      <c r="AM390" s="107">
        <v>4</v>
      </c>
      <c r="AN390" s="107">
        <v>910.92</v>
      </c>
      <c r="AO390" s="107">
        <v>-2</v>
      </c>
      <c r="AP390" s="107">
        <v>5</v>
      </c>
      <c r="AQ390" s="107">
        <v>795.87</v>
      </c>
      <c r="AR390" s="107">
        <v>5</v>
      </c>
      <c r="AS390" s="107">
        <v>25</v>
      </c>
      <c r="AT390" s="107">
        <v>358</v>
      </c>
      <c r="AU390" s="107">
        <v>2</v>
      </c>
      <c r="AV390" s="107">
        <v>10</v>
      </c>
    </row>
    <row r="391" spans="1:48" ht="30" customHeight="1" outlineLevel="2">
      <c r="A391" s="116" t="s">
        <v>1007</v>
      </c>
      <c r="B391" s="117" t="s">
        <v>1008</v>
      </c>
      <c r="C391" s="134" t="s">
        <v>242</v>
      </c>
      <c r="E391" s="105">
        <f>MIN(N391,R391,V391,Z391,AD391)</f>
        <v>364.1</v>
      </c>
      <c r="F391" s="105">
        <f>AVERAGE(N391,R391,V391,Z391,AD391)</f>
        <v>548.23120000000006</v>
      </c>
      <c r="G391" s="105">
        <f>MAX(N391,R391,V391,Z391,AD391)</f>
        <v>664.40000000000009</v>
      </c>
      <c r="H391" s="106"/>
      <c r="I391" s="105">
        <f>MIN(T391,X391,AB391,AF391,P391)</f>
        <v>4.4000000000000004</v>
      </c>
      <c r="J391" s="105">
        <f>AVERAGE(P391,T391,X391,AB391,AF391)</f>
        <v>10.780000000000001</v>
      </c>
      <c r="K391" s="105">
        <f>MAX(P391,T391,X391,AB391,AF391)</f>
        <v>27.500000000000004</v>
      </c>
      <c r="N391" s="107">
        <f t="shared" si="168"/>
        <v>568.38100000000009</v>
      </c>
      <c r="O391" s="107">
        <f t="shared" si="169"/>
        <v>-1.1000000000000001</v>
      </c>
      <c r="P391" s="107">
        <f t="shared" si="170"/>
        <v>5.5</v>
      </c>
      <c r="R391" s="107">
        <f t="shared" si="171"/>
        <v>664.40000000000009</v>
      </c>
      <c r="S391" s="107">
        <f t="shared" si="172"/>
        <v>-5.5</v>
      </c>
      <c r="T391" s="107">
        <f t="shared" si="173"/>
        <v>4.4000000000000004</v>
      </c>
      <c r="V391" s="107">
        <f t="shared" si="174"/>
        <v>613.12900000000002</v>
      </c>
      <c r="W391" s="107">
        <f t="shared" si="175"/>
        <v>-2.2000000000000002</v>
      </c>
      <c r="X391" s="107">
        <f t="shared" si="176"/>
        <v>5.5</v>
      </c>
      <c r="Z391" s="107">
        <f t="shared" si="177"/>
        <v>531.14600000000007</v>
      </c>
      <c r="AA391" s="107">
        <f t="shared" si="178"/>
        <v>5.5</v>
      </c>
      <c r="AB391" s="107">
        <f t="shared" si="179"/>
        <v>27.500000000000004</v>
      </c>
      <c r="AD391" s="107">
        <f t="shared" si="180"/>
        <v>364.1</v>
      </c>
      <c r="AE391" s="107">
        <f t="shared" si="181"/>
        <v>2.2000000000000002</v>
      </c>
      <c r="AF391" s="107">
        <f t="shared" si="182"/>
        <v>11</v>
      </c>
      <c r="AH391" s="107">
        <v>516.71</v>
      </c>
      <c r="AI391" s="107">
        <v>-1</v>
      </c>
      <c r="AJ391" s="107">
        <v>5</v>
      </c>
      <c r="AK391" s="107">
        <v>604</v>
      </c>
      <c r="AL391" s="107">
        <v>-5</v>
      </c>
      <c r="AM391" s="107">
        <v>4</v>
      </c>
      <c r="AN391" s="107">
        <v>557.39</v>
      </c>
      <c r="AO391" s="107">
        <v>-2</v>
      </c>
      <c r="AP391" s="107">
        <v>5</v>
      </c>
      <c r="AQ391" s="107">
        <v>482.86</v>
      </c>
      <c r="AR391" s="107">
        <v>5</v>
      </c>
      <c r="AS391" s="107">
        <v>25</v>
      </c>
      <c r="AT391" s="107">
        <v>331</v>
      </c>
      <c r="AU391" s="107">
        <v>2</v>
      </c>
      <c r="AV391" s="107">
        <v>10</v>
      </c>
    </row>
    <row r="392" spans="1:48" ht="30" customHeight="1" outlineLevel="2" thickBot="1">
      <c r="A392" s="116" t="s">
        <v>1009</v>
      </c>
      <c r="B392" s="117" t="s">
        <v>1010</v>
      </c>
      <c r="C392" s="134" t="s">
        <v>242</v>
      </c>
      <c r="E392" s="105">
        <f>MIN(N392,R392,V392,Z392,AD392)</f>
        <v>393.8</v>
      </c>
      <c r="F392" s="105">
        <f>AVERAGE(N392,R392,V392,Z392,AD392)</f>
        <v>691.56780000000003</v>
      </c>
      <c r="G392" s="105">
        <f>MAX(N392,R392,V392,Z392,AD392)</f>
        <v>948.73900000000003</v>
      </c>
      <c r="H392" s="106"/>
      <c r="I392" s="105">
        <f>MIN(T392,X392,AB392,AF392,P392)</f>
        <v>4.4000000000000004</v>
      </c>
      <c r="J392" s="105">
        <f>AVERAGE(P392,T392,X392,AB392,AF392)</f>
        <v>10.780000000000001</v>
      </c>
      <c r="K392" s="105">
        <f>MAX(P392,T392,X392,AB392,AF392)</f>
        <v>27.500000000000004</v>
      </c>
      <c r="N392" s="107">
        <f t="shared" si="168"/>
        <v>568.38100000000009</v>
      </c>
      <c r="O392" s="107">
        <f t="shared" si="169"/>
        <v>-1.1000000000000001</v>
      </c>
      <c r="P392" s="107">
        <f t="shared" si="170"/>
        <v>5.5</v>
      </c>
      <c r="R392" s="107">
        <f t="shared" si="171"/>
        <v>911.24</v>
      </c>
      <c r="S392" s="107">
        <f t="shared" si="172"/>
        <v>-5.5</v>
      </c>
      <c r="T392" s="107">
        <f t="shared" si="173"/>
        <v>4.4000000000000004</v>
      </c>
      <c r="V392" s="107">
        <f t="shared" si="174"/>
        <v>948.73900000000003</v>
      </c>
      <c r="W392" s="107">
        <f t="shared" si="175"/>
        <v>-2.2000000000000002</v>
      </c>
      <c r="X392" s="107">
        <f t="shared" si="176"/>
        <v>5.5</v>
      </c>
      <c r="Z392" s="107">
        <f t="shared" si="177"/>
        <v>635.67900000000009</v>
      </c>
      <c r="AA392" s="107">
        <f t="shared" si="178"/>
        <v>5.5</v>
      </c>
      <c r="AB392" s="107">
        <f t="shared" si="179"/>
        <v>27.500000000000004</v>
      </c>
      <c r="AD392" s="107">
        <f t="shared" si="180"/>
        <v>393.8</v>
      </c>
      <c r="AE392" s="107">
        <f t="shared" si="181"/>
        <v>2.2000000000000002</v>
      </c>
      <c r="AF392" s="107">
        <f t="shared" si="182"/>
        <v>11</v>
      </c>
      <c r="AH392" s="107">
        <v>516.71</v>
      </c>
      <c r="AI392" s="107">
        <v>-1</v>
      </c>
      <c r="AJ392" s="107">
        <v>5</v>
      </c>
      <c r="AK392" s="107">
        <v>828.4</v>
      </c>
      <c r="AL392" s="107">
        <v>-5</v>
      </c>
      <c r="AM392" s="107">
        <v>4</v>
      </c>
      <c r="AN392" s="107">
        <v>862.49</v>
      </c>
      <c r="AO392" s="107">
        <v>-2</v>
      </c>
      <c r="AP392" s="107">
        <v>5</v>
      </c>
      <c r="AQ392" s="107">
        <v>577.89</v>
      </c>
      <c r="AR392" s="107">
        <v>5</v>
      </c>
      <c r="AS392" s="107">
        <v>25</v>
      </c>
      <c r="AT392" s="107">
        <v>358</v>
      </c>
      <c r="AU392" s="107">
        <v>2</v>
      </c>
      <c r="AV392" s="107">
        <v>10</v>
      </c>
    </row>
    <row r="393" spans="1:48" ht="30" customHeight="1" thickBot="1">
      <c r="A393" s="96" t="s">
        <v>1011</v>
      </c>
      <c r="B393" s="115" t="s">
        <v>1012</v>
      </c>
      <c r="C393" s="98"/>
      <c r="N393" s="11" t="str">
        <f t="shared" si="168"/>
        <v/>
      </c>
      <c r="O393" s="11" t="str">
        <f t="shared" si="169"/>
        <v/>
      </c>
      <c r="P393" s="11" t="str">
        <f t="shared" si="170"/>
        <v/>
      </c>
      <c r="R393" s="11" t="str">
        <f t="shared" si="171"/>
        <v/>
      </c>
      <c r="S393" s="11" t="str">
        <f t="shared" si="172"/>
        <v/>
      </c>
      <c r="T393" s="11" t="str">
        <f t="shared" si="173"/>
        <v/>
      </c>
      <c r="V393" s="11" t="str">
        <f t="shared" si="174"/>
        <v/>
      </c>
      <c r="W393" s="11" t="str">
        <f t="shared" si="175"/>
        <v/>
      </c>
      <c r="X393" s="11" t="str">
        <f t="shared" si="176"/>
        <v/>
      </c>
      <c r="Z393" s="11" t="str">
        <f t="shared" si="177"/>
        <v/>
      </c>
      <c r="AA393" s="11" t="str">
        <f t="shared" si="178"/>
        <v/>
      </c>
      <c r="AB393" s="11" t="str">
        <f t="shared" si="179"/>
        <v/>
      </c>
      <c r="AD393" s="11" t="str">
        <f t="shared" si="180"/>
        <v/>
      </c>
      <c r="AE393" s="11" t="str">
        <f t="shared" si="181"/>
        <v/>
      </c>
      <c r="AF393" s="11" t="str">
        <f t="shared" si="182"/>
        <v/>
      </c>
    </row>
    <row r="394" spans="1:48" ht="30" customHeight="1" outlineLevel="2">
      <c r="A394" s="116" t="s">
        <v>46</v>
      </c>
      <c r="B394" s="117" t="s">
        <v>47</v>
      </c>
      <c r="C394" s="134" t="s">
        <v>40</v>
      </c>
      <c r="E394" s="105">
        <f t="shared" ref="E394:E400" si="183">MIN(N394,R394,V394,Z394,AD394)</f>
        <v>452.83700000000005</v>
      </c>
      <c r="F394" s="105">
        <f t="shared" ref="F394:F400" si="184">AVERAGE(N394,R394,V394,Z394,AD394)</f>
        <v>655.99820000000011</v>
      </c>
      <c r="G394" s="105">
        <f t="shared" ref="G394:G400" si="185">MAX(N394,R394,V394,Z394,AD394)</f>
        <v>1085.5900000000001</v>
      </c>
      <c r="H394" s="106"/>
      <c r="I394" s="105">
        <f t="shared" ref="I394:I400" si="186">MIN(R394,V394,Z394,AD394,AH394)</f>
        <v>452.83700000000005</v>
      </c>
      <c r="J394" s="105">
        <f t="shared" ref="J394:J400" si="187">AVERAGE(R394,V394,Z394,AD394,AH394)</f>
        <v>636.26020000000005</v>
      </c>
      <c r="K394" s="105">
        <f t="shared" ref="K394:K400" si="188">MAX(R394,V394,Z394,AD394,AH394)</f>
        <v>986.9</v>
      </c>
      <c r="N394" s="107">
        <f t="shared" si="168"/>
        <v>1085.5900000000001</v>
      </c>
      <c r="O394" s="107">
        <f t="shared" si="169"/>
        <v>-1.1000000000000001</v>
      </c>
      <c r="P394" s="107">
        <f t="shared" si="170"/>
        <v>5.5</v>
      </c>
      <c r="R394" s="107">
        <f t="shared" si="171"/>
        <v>638.26400000000001</v>
      </c>
      <c r="S394" s="107">
        <f t="shared" si="172"/>
        <v>-5.5</v>
      </c>
      <c r="T394" s="107">
        <f t="shared" si="173"/>
        <v>4.4000000000000004</v>
      </c>
      <c r="V394" s="107">
        <f t="shared" si="174"/>
        <v>452.83700000000005</v>
      </c>
      <c r="W394" s="107">
        <f t="shared" si="175"/>
        <v>-2.2000000000000002</v>
      </c>
      <c r="X394" s="107">
        <f t="shared" si="176"/>
        <v>5.5</v>
      </c>
      <c r="Z394" s="107">
        <f t="shared" si="177"/>
        <v>489.50000000000006</v>
      </c>
      <c r="AA394" s="107">
        <f t="shared" si="178"/>
        <v>5.5</v>
      </c>
      <c r="AB394" s="107">
        <f t="shared" si="179"/>
        <v>27.500000000000004</v>
      </c>
      <c r="AD394" s="107">
        <f t="shared" si="180"/>
        <v>613.80000000000007</v>
      </c>
      <c r="AE394" s="107">
        <f t="shared" si="181"/>
        <v>2.2000000000000002</v>
      </c>
      <c r="AF394" s="107">
        <f t="shared" si="182"/>
        <v>11</v>
      </c>
      <c r="AH394" s="107">
        <v>986.9</v>
      </c>
      <c r="AI394" s="107">
        <v>-1</v>
      </c>
      <c r="AJ394" s="107">
        <v>5</v>
      </c>
      <c r="AK394" s="107">
        <v>580.24</v>
      </c>
      <c r="AL394" s="107">
        <v>-5</v>
      </c>
      <c r="AM394" s="107">
        <v>4</v>
      </c>
      <c r="AN394" s="107">
        <v>411.67</v>
      </c>
      <c r="AO394" s="107">
        <v>-2</v>
      </c>
      <c r="AP394" s="107">
        <v>5</v>
      </c>
      <c r="AQ394" s="107">
        <v>445</v>
      </c>
      <c r="AR394" s="107">
        <v>5</v>
      </c>
      <c r="AS394" s="107">
        <v>25</v>
      </c>
      <c r="AT394" s="107">
        <v>558</v>
      </c>
      <c r="AU394" s="107">
        <v>2</v>
      </c>
      <c r="AV394" s="107">
        <v>10</v>
      </c>
    </row>
    <row r="395" spans="1:48" ht="30" customHeight="1" outlineLevel="2">
      <c r="A395" s="116" t="s">
        <v>48</v>
      </c>
      <c r="B395" s="117" t="s">
        <v>49</v>
      </c>
      <c r="C395" s="134" t="s">
        <v>43</v>
      </c>
      <c r="E395" s="147">
        <f t="shared" si="183"/>
        <v>1.1000000000000001E-2</v>
      </c>
      <c r="F395" s="147">
        <f t="shared" si="184"/>
        <v>0.18920000000000001</v>
      </c>
      <c r="G395" s="147">
        <f t="shared" si="185"/>
        <v>0.55000000000000004</v>
      </c>
      <c r="H395" s="148"/>
      <c r="I395" s="147">
        <f t="shared" si="186"/>
        <v>1.1000000000000001E-2</v>
      </c>
      <c r="J395" s="147">
        <f t="shared" si="187"/>
        <v>0.1792</v>
      </c>
      <c r="K395" s="147">
        <f t="shared" si="188"/>
        <v>0.5</v>
      </c>
      <c r="N395" s="151">
        <f t="shared" si="168"/>
        <v>0.55000000000000004</v>
      </c>
      <c r="O395" s="107">
        <f t="shared" si="169"/>
        <v>0</v>
      </c>
      <c r="P395" s="107">
        <f t="shared" si="170"/>
        <v>0</v>
      </c>
      <c r="R395" s="149">
        <f t="shared" si="171"/>
        <v>0.19800000000000001</v>
      </c>
      <c r="S395" s="107">
        <f t="shared" si="172"/>
        <v>0</v>
      </c>
      <c r="T395" s="107">
        <f t="shared" si="173"/>
        <v>0</v>
      </c>
      <c r="V395" s="150">
        <f t="shared" si="174"/>
        <v>2.2000000000000002E-2</v>
      </c>
      <c r="W395" s="107">
        <f t="shared" si="175"/>
        <v>0</v>
      </c>
      <c r="X395" s="107">
        <f t="shared" si="176"/>
        <v>0</v>
      </c>
      <c r="Z395" s="150">
        <f t="shared" si="177"/>
        <v>1.1000000000000001E-2</v>
      </c>
      <c r="AA395" s="107">
        <f t="shared" si="178"/>
        <v>0</v>
      </c>
      <c r="AB395" s="107">
        <f t="shared" si="179"/>
        <v>0</v>
      </c>
      <c r="AD395" s="150">
        <f t="shared" si="180"/>
        <v>0.16500000000000001</v>
      </c>
      <c r="AE395" s="107">
        <f t="shared" si="181"/>
        <v>0</v>
      </c>
      <c r="AF395" s="107">
        <f t="shared" si="182"/>
        <v>0</v>
      </c>
      <c r="AH395" s="151">
        <v>0.5</v>
      </c>
      <c r="AI395" s="107">
        <v>0</v>
      </c>
      <c r="AJ395" s="107">
        <v>0</v>
      </c>
      <c r="AK395" s="149">
        <v>0.18</v>
      </c>
      <c r="AL395" s="107">
        <v>0</v>
      </c>
      <c r="AM395" s="107">
        <v>0</v>
      </c>
      <c r="AN395" s="150">
        <v>0.02</v>
      </c>
      <c r="AO395" s="107">
        <v>0</v>
      </c>
      <c r="AP395" s="107">
        <v>0</v>
      </c>
      <c r="AQ395" s="150">
        <v>0.01</v>
      </c>
      <c r="AR395" s="107">
        <v>0</v>
      </c>
      <c r="AS395" s="107">
        <v>0</v>
      </c>
      <c r="AT395" s="150">
        <v>0.15</v>
      </c>
      <c r="AU395" s="107">
        <v>0</v>
      </c>
      <c r="AV395" s="107">
        <v>0</v>
      </c>
    </row>
    <row r="396" spans="1:48" ht="30" customHeight="1" outlineLevel="2">
      <c r="A396" s="116" t="s">
        <v>50</v>
      </c>
      <c r="B396" s="117" t="s">
        <v>51</v>
      </c>
      <c r="C396" s="134" t="s">
        <v>43</v>
      </c>
      <c r="E396" s="147">
        <f t="shared" si="183"/>
        <v>1.1000000000000001E-2</v>
      </c>
      <c r="F396" s="147">
        <f t="shared" si="184"/>
        <v>5.7200000000000008E-2</v>
      </c>
      <c r="G396" s="147">
        <f t="shared" si="185"/>
        <v>0.16500000000000001</v>
      </c>
      <c r="H396" s="148"/>
      <c r="I396" s="147">
        <f t="shared" si="186"/>
        <v>1.1000000000000001E-2</v>
      </c>
      <c r="J396" s="147">
        <f t="shared" si="187"/>
        <v>5.6200000000000007E-2</v>
      </c>
      <c r="K396" s="147">
        <f t="shared" si="188"/>
        <v>0.16500000000000001</v>
      </c>
      <c r="N396" s="151">
        <f t="shared" si="168"/>
        <v>5.5000000000000007E-2</v>
      </c>
      <c r="O396" s="107">
        <f t="shared" si="169"/>
        <v>0</v>
      </c>
      <c r="P396" s="107">
        <f t="shared" si="170"/>
        <v>0</v>
      </c>
      <c r="R396" s="149">
        <f t="shared" si="171"/>
        <v>3.3000000000000002E-2</v>
      </c>
      <c r="S396" s="107">
        <f t="shared" si="172"/>
        <v>0</v>
      </c>
      <c r="T396" s="107">
        <f t="shared" si="173"/>
        <v>0</v>
      </c>
      <c r="V396" s="150">
        <f t="shared" si="174"/>
        <v>2.2000000000000002E-2</v>
      </c>
      <c r="W396" s="107">
        <f t="shared" si="175"/>
        <v>0</v>
      </c>
      <c r="X396" s="107">
        <f t="shared" si="176"/>
        <v>0</v>
      </c>
      <c r="Z396" s="150">
        <f t="shared" si="177"/>
        <v>1.1000000000000001E-2</v>
      </c>
      <c r="AA396" s="107">
        <f t="shared" si="178"/>
        <v>0</v>
      </c>
      <c r="AB396" s="107">
        <f t="shared" si="179"/>
        <v>0</v>
      </c>
      <c r="AD396" s="150">
        <f t="shared" si="180"/>
        <v>0.16500000000000001</v>
      </c>
      <c r="AE396" s="107">
        <f t="shared" si="181"/>
        <v>0</v>
      </c>
      <c r="AF396" s="107">
        <f t="shared" si="182"/>
        <v>0</v>
      </c>
      <c r="AH396" s="151">
        <v>0.05</v>
      </c>
      <c r="AI396" s="107">
        <v>0</v>
      </c>
      <c r="AJ396" s="107">
        <v>0</v>
      </c>
      <c r="AK396" s="149">
        <v>0.03</v>
      </c>
      <c r="AL396" s="107">
        <v>0</v>
      </c>
      <c r="AM396" s="107">
        <v>0</v>
      </c>
      <c r="AN396" s="150">
        <v>0.02</v>
      </c>
      <c r="AO396" s="107">
        <v>0</v>
      </c>
      <c r="AP396" s="107">
        <v>0</v>
      </c>
      <c r="AQ396" s="150">
        <v>0.01</v>
      </c>
      <c r="AR396" s="107">
        <v>0</v>
      </c>
      <c r="AS396" s="107">
        <v>0</v>
      </c>
      <c r="AT396" s="150">
        <v>0.15</v>
      </c>
      <c r="AU396" s="107">
        <v>0</v>
      </c>
      <c r="AV396" s="107">
        <v>0</v>
      </c>
    </row>
    <row r="397" spans="1:48" ht="30" customHeight="1" outlineLevel="2">
      <c r="A397" s="116" t="s">
        <v>52</v>
      </c>
      <c r="B397" s="117" t="s">
        <v>53</v>
      </c>
      <c r="C397" s="134" t="s">
        <v>43</v>
      </c>
      <c r="E397" s="147">
        <f t="shared" si="183"/>
        <v>1.1000000000000001E-2</v>
      </c>
      <c r="F397" s="147">
        <f t="shared" si="184"/>
        <v>8.5800000000000015E-2</v>
      </c>
      <c r="G397" s="147">
        <f t="shared" si="185"/>
        <v>0.16500000000000001</v>
      </c>
      <c r="H397" s="148"/>
      <c r="I397" s="147">
        <f t="shared" si="186"/>
        <v>1.1000000000000001E-2</v>
      </c>
      <c r="J397" s="147">
        <f t="shared" si="187"/>
        <v>8.4599999999999995E-2</v>
      </c>
      <c r="K397" s="147">
        <f t="shared" si="188"/>
        <v>0.16500000000000001</v>
      </c>
      <c r="N397" s="151">
        <f t="shared" si="168"/>
        <v>6.6000000000000003E-2</v>
      </c>
      <c r="O397" s="107">
        <f t="shared" si="169"/>
        <v>0</v>
      </c>
      <c r="P397" s="107">
        <f t="shared" si="170"/>
        <v>0</v>
      </c>
      <c r="R397" s="149">
        <f t="shared" si="171"/>
        <v>0.16500000000000001</v>
      </c>
      <c r="S397" s="107">
        <f t="shared" si="172"/>
        <v>0</v>
      </c>
      <c r="T397" s="107">
        <f t="shared" si="173"/>
        <v>0</v>
      </c>
      <c r="V397" s="150">
        <f t="shared" si="174"/>
        <v>2.2000000000000002E-2</v>
      </c>
      <c r="W397" s="107">
        <f t="shared" si="175"/>
        <v>0</v>
      </c>
      <c r="X397" s="107">
        <f t="shared" si="176"/>
        <v>0</v>
      </c>
      <c r="Z397" s="150">
        <f t="shared" si="177"/>
        <v>1.1000000000000001E-2</v>
      </c>
      <c r="AA397" s="107">
        <f t="shared" si="178"/>
        <v>0</v>
      </c>
      <c r="AB397" s="107">
        <f t="shared" si="179"/>
        <v>0</v>
      </c>
      <c r="AD397" s="150">
        <f t="shared" si="180"/>
        <v>0.16500000000000001</v>
      </c>
      <c r="AE397" s="107">
        <f t="shared" si="181"/>
        <v>0</v>
      </c>
      <c r="AF397" s="107">
        <f t="shared" si="182"/>
        <v>0</v>
      </c>
      <c r="AH397" s="151">
        <v>0.06</v>
      </c>
      <c r="AI397" s="107">
        <v>0</v>
      </c>
      <c r="AJ397" s="107">
        <v>0</v>
      </c>
      <c r="AK397" s="149">
        <v>0.15</v>
      </c>
      <c r="AL397" s="107">
        <v>0</v>
      </c>
      <c r="AM397" s="107">
        <v>0</v>
      </c>
      <c r="AN397" s="150">
        <v>0.02</v>
      </c>
      <c r="AO397" s="107">
        <v>0</v>
      </c>
      <c r="AP397" s="107">
        <v>0</v>
      </c>
      <c r="AQ397" s="150">
        <v>0.01</v>
      </c>
      <c r="AR397" s="107">
        <v>0</v>
      </c>
      <c r="AS397" s="107">
        <v>0</v>
      </c>
      <c r="AT397" s="150">
        <v>0.15</v>
      </c>
      <c r="AU397" s="107">
        <v>0</v>
      </c>
      <c r="AV397" s="107">
        <v>0</v>
      </c>
    </row>
    <row r="398" spans="1:48" ht="30" customHeight="1" outlineLevel="2">
      <c r="A398" s="116" t="s">
        <v>54</v>
      </c>
      <c r="B398" s="117" t="s">
        <v>55</v>
      </c>
      <c r="C398" s="134" t="s">
        <v>43</v>
      </c>
      <c r="E398" s="147">
        <f t="shared" si="183"/>
        <v>1.1000000000000001E-2</v>
      </c>
      <c r="F398" s="147">
        <f t="shared" si="184"/>
        <v>7.9200000000000007E-2</v>
      </c>
      <c r="G398" s="147">
        <f t="shared" si="185"/>
        <v>0.16500000000000001</v>
      </c>
      <c r="H398" s="148"/>
      <c r="I398" s="147">
        <f t="shared" si="186"/>
        <v>1.1000000000000001E-2</v>
      </c>
      <c r="J398" s="147">
        <f t="shared" si="187"/>
        <v>7.8600000000000003E-2</v>
      </c>
      <c r="K398" s="147">
        <f t="shared" si="188"/>
        <v>0.16500000000000001</v>
      </c>
      <c r="N398" s="151">
        <f t="shared" si="168"/>
        <v>3.3000000000000002E-2</v>
      </c>
      <c r="O398" s="107">
        <f t="shared" si="169"/>
        <v>0</v>
      </c>
      <c r="P398" s="107">
        <f t="shared" si="170"/>
        <v>0</v>
      </c>
      <c r="R398" s="149">
        <f t="shared" si="171"/>
        <v>0.16500000000000001</v>
      </c>
      <c r="S398" s="107">
        <f t="shared" si="172"/>
        <v>0</v>
      </c>
      <c r="T398" s="107">
        <f t="shared" si="173"/>
        <v>0</v>
      </c>
      <c r="V398" s="150">
        <f t="shared" si="174"/>
        <v>2.2000000000000002E-2</v>
      </c>
      <c r="W398" s="107">
        <f t="shared" si="175"/>
        <v>0</v>
      </c>
      <c r="X398" s="107">
        <f t="shared" si="176"/>
        <v>0</v>
      </c>
      <c r="Z398" s="150">
        <f t="shared" si="177"/>
        <v>1.1000000000000001E-2</v>
      </c>
      <c r="AA398" s="107">
        <f t="shared" si="178"/>
        <v>0</v>
      </c>
      <c r="AB398" s="107">
        <f t="shared" si="179"/>
        <v>0</v>
      </c>
      <c r="AD398" s="150">
        <f t="shared" si="180"/>
        <v>0.16500000000000001</v>
      </c>
      <c r="AE398" s="107">
        <f t="shared" si="181"/>
        <v>0</v>
      </c>
      <c r="AF398" s="107">
        <f t="shared" si="182"/>
        <v>0</v>
      </c>
      <c r="AH398" s="151">
        <v>0.03</v>
      </c>
      <c r="AI398" s="107">
        <v>0</v>
      </c>
      <c r="AJ398" s="107">
        <v>0</v>
      </c>
      <c r="AK398" s="149">
        <v>0.15</v>
      </c>
      <c r="AL398" s="107">
        <v>0</v>
      </c>
      <c r="AM398" s="107">
        <v>0</v>
      </c>
      <c r="AN398" s="150">
        <v>0.02</v>
      </c>
      <c r="AO398" s="107">
        <v>0</v>
      </c>
      <c r="AP398" s="107">
        <v>0</v>
      </c>
      <c r="AQ398" s="150">
        <v>0.01</v>
      </c>
      <c r="AR398" s="107">
        <v>0</v>
      </c>
      <c r="AS398" s="107">
        <v>0</v>
      </c>
      <c r="AT398" s="150">
        <v>0.15</v>
      </c>
      <c r="AU398" s="107">
        <v>0</v>
      </c>
      <c r="AV398" s="107">
        <v>0</v>
      </c>
    </row>
    <row r="399" spans="1:48" ht="30" customHeight="1" outlineLevel="2">
      <c r="A399" s="116" t="s">
        <v>56</v>
      </c>
      <c r="B399" s="117" t="s">
        <v>57</v>
      </c>
      <c r="C399" s="134" t="s">
        <v>43</v>
      </c>
      <c r="E399" s="147">
        <f t="shared" si="183"/>
        <v>1.1000000000000001E-2</v>
      </c>
      <c r="F399" s="147">
        <f t="shared" si="184"/>
        <v>0.10340000000000001</v>
      </c>
      <c r="G399" s="147">
        <f t="shared" si="185"/>
        <v>0.27500000000000002</v>
      </c>
      <c r="H399" s="148"/>
      <c r="I399" s="147">
        <f t="shared" si="186"/>
        <v>1.1000000000000001E-2</v>
      </c>
      <c r="J399" s="147">
        <f t="shared" si="187"/>
        <v>0.10260000000000002</v>
      </c>
      <c r="K399" s="147">
        <f t="shared" si="188"/>
        <v>0.27500000000000002</v>
      </c>
      <c r="N399" s="149">
        <f t="shared" si="168"/>
        <v>4.4000000000000004E-2</v>
      </c>
      <c r="O399" s="107">
        <f t="shared" si="169"/>
        <v>0</v>
      </c>
      <c r="P399" s="107">
        <f t="shared" si="170"/>
        <v>0</v>
      </c>
      <c r="R399" s="149">
        <f t="shared" si="171"/>
        <v>0.27500000000000002</v>
      </c>
      <c r="S399" s="107">
        <f t="shared" si="172"/>
        <v>0</v>
      </c>
      <c r="T399" s="107">
        <f t="shared" si="173"/>
        <v>0</v>
      </c>
      <c r="V399" s="150">
        <f t="shared" si="174"/>
        <v>2.2000000000000002E-2</v>
      </c>
      <c r="W399" s="107">
        <f t="shared" si="175"/>
        <v>0</v>
      </c>
      <c r="X399" s="107">
        <f t="shared" si="176"/>
        <v>0</v>
      </c>
      <c r="Z399" s="150">
        <f t="shared" si="177"/>
        <v>1.1000000000000001E-2</v>
      </c>
      <c r="AA399" s="107">
        <f t="shared" si="178"/>
        <v>0</v>
      </c>
      <c r="AB399" s="107">
        <f t="shared" si="179"/>
        <v>0</v>
      </c>
      <c r="AD399" s="150">
        <f t="shared" si="180"/>
        <v>0.16500000000000001</v>
      </c>
      <c r="AE399" s="107">
        <f t="shared" si="181"/>
        <v>0</v>
      </c>
      <c r="AF399" s="107">
        <f t="shared" si="182"/>
        <v>0</v>
      </c>
      <c r="AH399" s="149">
        <v>0.04</v>
      </c>
      <c r="AI399" s="107">
        <v>0</v>
      </c>
      <c r="AJ399" s="107">
        <v>0</v>
      </c>
      <c r="AK399" s="149">
        <v>0.25</v>
      </c>
      <c r="AL399" s="107">
        <v>0</v>
      </c>
      <c r="AM399" s="107">
        <v>0</v>
      </c>
      <c r="AN399" s="150">
        <v>0.02</v>
      </c>
      <c r="AO399" s="107">
        <v>0</v>
      </c>
      <c r="AP399" s="107">
        <v>0</v>
      </c>
      <c r="AQ399" s="150">
        <v>0.01</v>
      </c>
      <c r="AR399" s="107">
        <v>0</v>
      </c>
      <c r="AS399" s="107">
        <v>0</v>
      </c>
      <c r="AT399" s="150">
        <v>0.15</v>
      </c>
      <c r="AU399" s="107">
        <v>0</v>
      </c>
      <c r="AV399" s="107">
        <v>0</v>
      </c>
    </row>
    <row r="400" spans="1:48" ht="30" customHeight="1" outlineLevel="2" thickBot="1">
      <c r="A400" s="116" t="s">
        <v>1013</v>
      </c>
      <c r="B400" s="117" t="s">
        <v>1014</v>
      </c>
      <c r="C400" s="134" t="s">
        <v>242</v>
      </c>
      <c r="E400" s="105">
        <f t="shared" si="183"/>
        <v>321.20000000000005</v>
      </c>
      <c r="F400" s="105">
        <f t="shared" si="184"/>
        <v>423.64080000000001</v>
      </c>
      <c r="G400" s="105">
        <f t="shared" si="185"/>
        <v>543.89499999999998</v>
      </c>
      <c r="H400" s="106"/>
      <c r="I400" s="105">
        <f t="shared" si="186"/>
        <v>321.20000000000005</v>
      </c>
      <c r="J400" s="105">
        <f t="shared" si="187"/>
        <v>413.7518</v>
      </c>
      <c r="K400" s="105">
        <f t="shared" si="188"/>
        <v>511.50000000000006</v>
      </c>
      <c r="N400" s="107">
        <f t="shared" si="168"/>
        <v>543.89499999999998</v>
      </c>
      <c r="O400" s="107">
        <f t="shared" si="169"/>
        <v>0</v>
      </c>
      <c r="P400" s="107">
        <f t="shared" si="170"/>
        <v>0</v>
      </c>
      <c r="R400" s="107">
        <f t="shared" si="171"/>
        <v>418.17600000000004</v>
      </c>
      <c r="S400" s="107">
        <f t="shared" si="172"/>
        <v>0</v>
      </c>
      <c r="T400" s="107">
        <f t="shared" si="173"/>
        <v>0</v>
      </c>
      <c r="V400" s="152">
        <f t="shared" si="174"/>
        <v>323.43299999999999</v>
      </c>
      <c r="W400" s="107">
        <f t="shared" si="175"/>
        <v>0</v>
      </c>
      <c r="X400" s="107">
        <f t="shared" si="176"/>
        <v>0</v>
      </c>
      <c r="Z400" s="107">
        <f t="shared" si="177"/>
        <v>321.20000000000005</v>
      </c>
      <c r="AA400" s="107">
        <f t="shared" si="178"/>
        <v>0</v>
      </c>
      <c r="AB400" s="107">
        <f t="shared" si="179"/>
        <v>0</v>
      </c>
      <c r="AD400" s="107">
        <f t="shared" si="180"/>
        <v>511.50000000000006</v>
      </c>
      <c r="AE400" s="107">
        <f t="shared" si="181"/>
        <v>0</v>
      </c>
      <c r="AF400" s="107">
        <f t="shared" si="182"/>
        <v>0</v>
      </c>
      <c r="AH400" s="107">
        <v>494.45</v>
      </c>
      <c r="AI400" s="107">
        <v>0</v>
      </c>
      <c r="AJ400" s="107">
        <v>0</v>
      </c>
      <c r="AK400" s="107">
        <v>380.16</v>
      </c>
      <c r="AL400" s="107">
        <v>0</v>
      </c>
      <c r="AM400" s="107">
        <v>0</v>
      </c>
      <c r="AN400" s="152">
        <v>294.02999999999997</v>
      </c>
      <c r="AO400" s="107">
        <v>0</v>
      </c>
      <c r="AP400" s="107">
        <v>0</v>
      </c>
      <c r="AQ400" s="107">
        <v>292</v>
      </c>
      <c r="AR400" s="107">
        <v>0</v>
      </c>
      <c r="AS400" s="107">
        <v>0</v>
      </c>
      <c r="AT400" s="107">
        <v>465</v>
      </c>
      <c r="AU400" s="107">
        <v>0</v>
      </c>
      <c r="AV400" s="107">
        <v>0</v>
      </c>
    </row>
    <row r="401" spans="1:48" ht="30" customHeight="1" thickBot="1">
      <c r="A401" s="96" t="s">
        <v>1015</v>
      </c>
      <c r="B401" s="115" t="s">
        <v>1016</v>
      </c>
      <c r="C401" s="98"/>
      <c r="N401" s="11" t="str">
        <f t="shared" si="168"/>
        <v/>
      </c>
      <c r="O401" s="11" t="str">
        <f t="shared" si="169"/>
        <v/>
      </c>
      <c r="P401" s="11" t="str">
        <f t="shared" si="170"/>
        <v/>
      </c>
      <c r="R401" s="11" t="str">
        <f t="shared" si="171"/>
        <v/>
      </c>
      <c r="S401" s="11" t="str">
        <f t="shared" si="172"/>
        <v/>
      </c>
      <c r="T401" s="11" t="str">
        <f t="shared" si="173"/>
        <v/>
      </c>
      <c r="V401" s="11" t="str">
        <f t="shared" si="174"/>
        <v/>
      </c>
      <c r="W401" s="11" t="str">
        <f t="shared" si="175"/>
        <v/>
      </c>
      <c r="X401" s="11" t="str">
        <f t="shared" si="176"/>
        <v/>
      </c>
      <c r="Z401" s="11" t="str">
        <f t="shared" si="177"/>
        <v/>
      </c>
      <c r="AA401" s="11" t="str">
        <f t="shared" si="178"/>
        <v/>
      </c>
      <c r="AB401" s="11" t="str">
        <f t="shared" si="179"/>
        <v/>
      </c>
      <c r="AD401" s="11" t="str">
        <f t="shared" si="180"/>
        <v/>
      </c>
      <c r="AE401" s="11" t="str">
        <f t="shared" si="181"/>
        <v/>
      </c>
      <c r="AF401" s="11" t="str">
        <f t="shared" si="182"/>
        <v/>
      </c>
    </row>
    <row r="402" spans="1:48" ht="30" customHeight="1" outlineLevel="2" thickBot="1">
      <c r="A402" s="116" t="s">
        <v>1017</v>
      </c>
      <c r="B402" s="117" t="s">
        <v>1018</v>
      </c>
      <c r="C402" s="134" t="s">
        <v>242</v>
      </c>
      <c r="E402" s="105">
        <f>MIN(N402,R402,V402,Z402,AD402)</f>
        <v>324.63200000000001</v>
      </c>
      <c r="F402" s="105">
        <f>AVERAGE(N402,R402,V402,Z402,AD402)</f>
        <v>516.23879999999997</v>
      </c>
      <c r="G402" s="105">
        <f>MAX(N402,R402,V402,Z402,AD402)</f>
        <v>772.61800000000005</v>
      </c>
      <c r="H402" s="106"/>
      <c r="I402" s="105">
        <f>MIN(T402,X402,AB402,AF402,P402)</f>
        <v>474.84800000000007</v>
      </c>
      <c r="J402" s="105">
        <f>AVERAGE(P402,T402,X402,AB402,AF402)</f>
        <v>941.72320000000013</v>
      </c>
      <c r="K402" s="105">
        <f>MAX(P402,T402,X402,AB402,AF402)</f>
        <v>1284.1730000000002</v>
      </c>
      <c r="N402" s="107">
        <f t="shared" si="168"/>
        <v>438.58100000000002</v>
      </c>
      <c r="O402" s="107">
        <f t="shared" si="169"/>
        <v>614.96600000000001</v>
      </c>
      <c r="P402" s="107">
        <f t="shared" si="170"/>
        <v>867.99900000000014</v>
      </c>
      <c r="R402" s="107">
        <f t="shared" si="171"/>
        <v>324.63200000000001</v>
      </c>
      <c r="S402" s="107">
        <f t="shared" si="172"/>
        <v>402.22600000000006</v>
      </c>
      <c r="T402" s="107">
        <f t="shared" si="173"/>
        <v>474.84800000000007</v>
      </c>
      <c r="V402" s="107">
        <f t="shared" si="174"/>
        <v>555.86300000000006</v>
      </c>
      <c r="W402" s="107">
        <f t="shared" si="175"/>
        <v>871.57400000000007</v>
      </c>
      <c r="X402" s="107">
        <f t="shared" si="176"/>
        <v>1185.096</v>
      </c>
      <c r="Z402" s="107">
        <f t="shared" si="177"/>
        <v>772.61800000000005</v>
      </c>
      <c r="AA402" s="107">
        <f t="shared" si="178"/>
        <v>1071.7740000000001</v>
      </c>
      <c r="AB402" s="107">
        <f t="shared" si="179"/>
        <v>1284.1730000000002</v>
      </c>
      <c r="AD402" s="107">
        <f t="shared" si="180"/>
        <v>489.50000000000006</v>
      </c>
      <c r="AE402" s="107">
        <f t="shared" si="181"/>
        <v>740.30000000000007</v>
      </c>
      <c r="AF402" s="107">
        <f t="shared" si="182"/>
        <v>896.50000000000011</v>
      </c>
      <c r="AH402" s="107">
        <v>398.71</v>
      </c>
      <c r="AI402" s="107">
        <v>559.05999999999995</v>
      </c>
      <c r="AJ402" s="107">
        <v>789.09</v>
      </c>
      <c r="AK402" s="107">
        <v>295.12</v>
      </c>
      <c r="AL402" s="107">
        <v>365.66</v>
      </c>
      <c r="AM402" s="107">
        <v>431.68</v>
      </c>
      <c r="AN402" s="107">
        <v>505.33</v>
      </c>
      <c r="AO402" s="107">
        <v>792.34</v>
      </c>
      <c r="AP402" s="107">
        <v>1077.3599999999999</v>
      </c>
      <c r="AQ402" s="107">
        <v>702.38</v>
      </c>
      <c r="AR402" s="107">
        <v>974.34</v>
      </c>
      <c r="AS402" s="107">
        <v>1167.43</v>
      </c>
      <c r="AT402" s="107">
        <v>445</v>
      </c>
      <c r="AU402" s="107">
        <v>673</v>
      </c>
      <c r="AV402" s="107">
        <v>815</v>
      </c>
    </row>
    <row r="403" spans="1:48" ht="30" customHeight="1" thickBot="1">
      <c r="A403" s="96" t="s">
        <v>1019</v>
      </c>
      <c r="B403" s="115" t="s">
        <v>1020</v>
      </c>
      <c r="C403" s="98"/>
      <c r="N403" s="11" t="str">
        <f t="shared" si="168"/>
        <v/>
      </c>
      <c r="O403" s="11" t="str">
        <f t="shared" si="169"/>
        <v/>
      </c>
      <c r="P403" s="11" t="str">
        <f t="shared" si="170"/>
        <v/>
      </c>
      <c r="R403" s="11" t="str">
        <f t="shared" si="171"/>
        <v/>
      </c>
      <c r="S403" s="11" t="str">
        <f t="shared" si="172"/>
        <v/>
      </c>
      <c r="T403" s="11" t="str">
        <f t="shared" si="173"/>
        <v/>
      </c>
      <c r="V403" s="11" t="str">
        <f t="shared" si="174"/>
        <v/>
      </c>
      <c r="W403" s="11" t="str">
        <f t="shared" si="175"/>
        <v/>
      </c>
      <c r="X403" s="11" t="str">
        <f t="shared" si="176"/>
        <v/>
      </c>
      <c r="Z403" s="11" t="str">
        <f t="shared" si="177"/>
        <v/>
      </c>
      <c r="AA403" s="11" t="str">
        <f t="shared" si="178"/>
        <v/>
      </c>
      <c r="AB403" s="11" t="str">
        <f t="shared" si="179"/>
        <v/>
      </c>
      <c r="AD403" s="11" t="str">
        <f t="shared" si="180"/>
        <v/>
      </c>
      <c r="AE403" s="11" t="str">
        <f t="shared" si="181"/>
        <v/>
      </c>
      <c r="AF403" s="11" t="str">
        <f t="shared" si="182"/>
        <v/>
      </c>
    </row>
    <row r="404" spans="1:48" ht="30" customHeight="1" outlineLevel="1">
      <c r="A404" s="132" t="s">
        <v>1021</v>
      </c>
      <c r="B404" s="133" t="s">
        <v>1022</v>
      </c>
      <c r="C404" s="101"/>
      <c r="N404" s="11" t="str">
        <f t="shared" si="168"/>
        <v/>
      </c>
      <c r="O404" s="11" t="str">
        <f t="shared" si="169"/>
        <v/>
      </c>
      <c r="P404" s="11" t="str">
        <f t="shared" si="170"/>
        <v/>
      </c>
      <c r="R404" s="11" t="str">
        <f t="shared" si="171"/>
        <v/>
      </c>
      <c r="S404" s="11" t="str">
        <f t="shared" si="172"/>
        <v/>
      </c>
      <c r="T404" s="11" t="str">
        <f t="shared" si="173"/>
        <v/>
      </c>
      <c r="V404" s="11" t="str">
        <f t="shared" si="174"/>
        <v/>
      </c>
      <c r="W404" s="11" t="str">
        <f t="shared" si="175"/>
        <v/>
      </c>
      <c r="X404" s="11" t="str">
        <f t="shared" si="176"/>
        <v/>
      </c>
      <c r="Z404" s="11" t="str">
        <f t="shared" si="177"/>
        <v/>
      </c>
      <c r="AA404" s="11" t="str">
        <f t="shared" si="178"/>
        <v/>
      </c>
      <c r="AB404" s="11" t="str">
        <f t="shared" si="179"/>
        <v/>
      </c>
      <c r="AD404" s="11" t="str">
        <f t="shared" si="180"/>
        <v/>
      </c>
      <c r="AE404" s="11" t="str">
        <f t="shared" si="181"/>
        <v/>
      </c>
      <c r="AF404" s="11" t="str">
        <f t="shared" si="182"/>
        <v/>
      </c>
    </row>
    <row r="405" spans="1:48" ht="30" customHeight="1" outlineLevel="2">
      <c r="A405" s="116" t="s">
        <v>1023</v>
      </c>
      <c r="B405" s="117" t="s">
        <v>1024</v>
      </c>
      <c r="C405" s="134" t="s">
        <v>242</v>
      </c>
      <c r="E405" s="105">
        <f>MIN(N405,R405,V405,Z405,AD405)</f>
        <v>309.13299999999998</v>
      </c>
      <c r="F405" s="105">
        <f>AVERAGE(N405,R405,V405,Z405,AD405)</f>
        <v>379.13040000000007</v>
      </c>
      <c r="G405" s="105">
        <f>MAX(N405,R405,V405,Z405,AD405)</f>
        <v>467.50000000000006</v>
      </c>
      <c r="H405" s="106"/>
      <c r="I405" s="105">
        <f>MIN(T405,X405,AB405,AF405,P405)</f>
        <v>425.82100000000003</v>
      </c>
      <c r="J405" s="105">
        <f>AVERAGE(P405,T405,X405,AB405,AF405)</f>
        <v>668.9738000000001</v>
      </c>
      <c r="K405" s="105">
        <f>MAX(P405,T405,X405,AB405,AF405)</f>
        <v>844.80000000000007</v>
      </c>
      <c r="N405" s="107">
        <f t="shared" si="168"/>
        <v>348.70000000000005</v>
      </c>
      <c r="O405" s="107">
        <f t="shared" si="169"/>
        <v>470.30500000000006</v>
      </c>
      <c r="P405" s="107">
        <f t="shared" si="170"/>
        <v>646.32700000000011</v>
      </c>
      <c r="R405" s="107">
        <f t="shared" si="171"/>
        <v>309.13299999999998</v>
      </c>
      <c r="S405" s="107">
        <f t="shared" si="172"/>
        <v>366.45400000000001</v>
      </c>
      <c r="T405" s="107">
        <f t="shared" si="173"/>
        <v>425.82100000000003</v>
      </c>
      <c r="V405" s="107">
        <f t="shared" si="174"/>
        <v>331.72700000000003</v>
      </c>
      <c r="W405" s="107">
        <f t="shared" si="175"/>
        <v>508.46400000000006</v>
      </c>
      <c r="X405" s="107">
        <f t="shared" si="176"/>
        <v>694.89200000000005</v>
      </c>
      <c r="Z405" s="107">
        <f t="shared" si="177"/>
        <v>438.59200000000004</v>
      </c>
      <c r="AA405" s="107">
        <f t="shared" si="178"/>
        <v>604.13100000000009</v>
      </c>
      <c r="AB405" s="107">
        <f t="shared" si="179"/>
        <v>733.029</v>
      </c>
      <c r="AD405" s="107">
        <f t="shared" si="180"/>
        <v>467.50000000000006</v>
      </c>
      <c r="AE405" s="107">
        <f t="shared" si="181"/>
        <v>699.6</v>
      </c>
      <c r="AF405" s="107">
        <f t="shared" si="182"/>
        <v>844.80000000000007</v>
      </c>
      <c r="AH405" s="107">
        <v>317</v>
      </c>
      <c r="AI405" s="107">
        <v>427.55</v>
      </c>
      <c r="AJ405" s="107">
        <v>587.57000000000005</v>
      </c>
      <c r="AK405" s="107">
        <v>281.02999999999997</v>
      </c>
      <c r="AL405" s="107">
        <v>333.14</v>
      </c>
      <c r="AM405" s="107">
        <v>387.11</v>
      </c>
      <c r="AN405" s="107">
        <v>301.57</v>
      </c>
      <c r="AO405" s="107">
        <v>462.24</v>
      </c>
      <c r="AP405" s="107">
        <v>631.72</v>
      </c>
      <c r="AQ405" s="107">
        <v>398.72</v>
      </c>
      <c r="AR405" s="107">
        <v>549.21</v>
      </c>
      <c r="AS405" s="107">
        <v>666.39</v>
      </c>
      <c r="AT405" s="107">
        <v>425</v>
      </c>
      <c r="AU405" s="107">
        <v>636</v>
      </c>
      <c r="AV405" s="107">
        <v>768</v>
      </c>
    </row>
    <row r="406" spans="1:48" ht="30" customHeight="1" outlineLevel="2">
      <c r="A406" s="116" t="s">
        <v>1025</v>
      </c>
      <c r="B406" s="117" t="s">
        <v>1026</v>
      </c>
      <c r="C406" s="134" t="s">
        <v>242</v>
      </c>
      <c r="E406" s="105">
        <f>MIN(N406,R406,V406,Z406,AD406)</f>
        <v>109.60400000000001</v>
      </c>
      <c r="F406" s="105">
        <f>AVERAGE(N406,R406,V406,Z406,AD406)</f>
        <v>232.36179999999999</v>
      </c>
      <c r="G406" s="105">
        <f>MAX(N406,R406,V406,Z406,AD406)</f>
        <v>361.90000000000003</v>
      </c>
      <c r="H406" s="106"/>
      <c r="I406" s="105">
        <f>MIN(T406,X406,AB406,AF406,P406)</f>
        <v>222.73900000000003</v>
      </c>
      <c r="J406" s="105">
        <f>AVERAGE(P406,T406,X406,AB406,AF406)</f>
        <v>414.56360000000006</v>
      </c>
      <c r="K406" s="105">
        <f>MAX(P406,T406,X406,AB406,AF406)</f>
        <v>666.6</v>
      </c>
      <c r="N406" s="107">
        <f t="shared" si="168"/>
        <v>109.60400000000001</v>
      </c>
      <c r="O406" s="107">
        <f t="shared" si="169"/>
        <v>154.52799999999999</v>
      </c>
      <c r="P406" s="107">
        <f t="shared" si="170"/>
        <v>222.73900000000003</v>
      </c>
      <c r="R406" s="107">
        <f t="shared" si="171"/>
        <v>166.804</v>
      </c>
      <c r="S406" s="107">
        <f t="shared" si="172"/>
        <v>192.75300000000001</v>
      </c>
      <c r="T406" s="107">
        <f t="shared" si="173"/>
        <v>231.23100000000002</v>
      </c>
      <c r="V406" s="107">
        <f t="shared" si="174"/>
        <v>204.27</v>
      </c>
      <c r="W406" s="107">
        <f t="shared" si="175"/>
        <v>301.99400000000003</v>
      </c>
      <c r="X406" s="107">
        <f t="shared" si="176"/>
        <v>416.16300000000001</v>
      </c>
      <c r="Z406" s="107">
        <f t="shared" si="177"/>
        <v>319.23099999999999</v>
      </c>
      <c r="AA406" s="107">
        <f t="shared" si="178"/>
        <v>437.03000000000003</v>
      </c>
      <c r="AB406" s="107">
        <f t="shared" si="179"/>
        <v>536.08500000000004</v>
      </c>
      <c r="AD406" s="107">
        <f t="shared" si="180"/>
        <v>361.90000000000003</v>
      </c>
      <c r="AE406" s="107">
        <f t="shared" si="181"/>
        <v>548.90000000000009</v>
      </c>
      <c r="AF406" s="107">
        <f t="shared" si="182"/>
        <v>666.6</v>
      </c>
      <c r="AH406" s="107">
        <v>99.64</v>
      </c>
      <c r="AI406" s="107">
        <v>140.47999999999999</v>
      </c>
      <c r="AJ406" s="107">
        <v>202.49</v>
      </c>
      <c r="AK406" s="107">
        <v>151.63999999999999</v>
      </c>
      <c r="AL406" s="107">
        <v>175.23</v>
      </c>
      <c r="AM406" s="107">
        <v>210.21</v>
      </c>
      <c r="AN406" s="107">
        <v>185.7</v>
      </c>
      <c r="AO406" s="107">
        <v>274.54000000000002</v>
      </c>
      <c r="AP406" s="107">
        <v>378.33</v>
      </c>
      <c r="AQ406" s="107">
        <v>290.20999999999998</v>
      </c>
      <c r="AR406" s="107">
        <v>397.3</v>
      </c>
      <c r="AS406" s="107">
        <v>487.35</v>
      </c>
      <c r="AT406" s="107">
        <v>329</v>
      </c>
      <c r="AU406" s="107">
        <v>499</v>
      </c>
      <c r="AV406" s="107">
        <v>606</v>
      </c>
    </row>
    <row r="407" spans="1:48" ht="30" customHeight="1" outlineLevel="1">
      <c r="A407" s="132" t="s">
        <v>1027</v>
      </c>
      <c r="B407" s="133" t="s">
        <v>1028</v>
      </c>
      <c r="C407" s="101"/>
      <c r="N407" s="11" t="str">
        <f t="shared" si="168"/>
        <v/>
      </c>
      <c r="O407" s="11" t="str">
        <f t="shared" si="169"/>
        <v/>
      </c>
      <c r="P407" s="11" t="str">
        <f t="shared" si="170"/>
        <v/>
      </c>
      <c r="R407" s="11" t="str">
        <f t="shared" si="171"/>
        <v/>
      </c>
      <c r="S407" s="11" t="str">
        <f t="shared" si="172"/>
        <v/>
      </c>
      <c r="T407" s="11" t="str">
        <f t="shared" si="173"/>
        <v/>
      </c>
      <c r="V407" s="11" t="str">
        <f t="shared" si="174"/>
        <v/>
      </c>
      <c r="W407" s="11" t="str">
        <f t="shared" si="175"/>
        <v/>
      </c>
      <c r="X407" s="11" t="str">
        <f t="shared" si="176"/>
        <v/>
      </c>
      <c r="Z407" s="11" t="str">
        <f t="shared" si="177"/>
        <v/>
      </c>
      <c r="AA407" s="11" t="str">
        <f t="shared" si="178"/>
        <v/>
      </c>
      <c r="AB407" s="11" t="str">
        <f t="shared" si="179"/>
        <v/>
      </c>
      <c r="AD407" s="11" t="str">
        <f t="shared" si="180"/>
        <v/>
      </c>
      <c r="AE407" s="11" t="str">
        <f t="shared" si="181"/>
        <v/>
      </c>
      <c r="AF407" s="11" t="str">
        <f t="shared" si="182"/>
        <v/>
      </c>
    </row>
    <row r="408" spans="1:48" ht="30" customHeight="1" outlineLevel="2">
      <c r="A408" s="116" t="s">
        <v>1029</v>
      </c>
      <c r="B408" s="117" t="s">
        <v>1030</v>
      </c>
      <c r="C408" s="134" t="s">
        <v>242</v>
      </c>
      <c r="E408" s="105">
        <f>MIN(N408,R408,V408,Z408,AD408)</f>
        <v>140.71200000000002</v>
      </c>
      <c r="F408" s="105">
        <f>AVERAGE(N408,R408,V408,Z408,AD408)</f>
        <v>164.36200000000002</v>
      </c>
      <c r="G408" s="105">
        <f>MAX(N408,R408,V408,Z408,AD408)</f>
        <v>202.4</v>
      </c>
      <c r="H408" s="106"/>
      <c r="I408" s="105">
        <f>MIN(T408,X408,AB408,AF408,P408)</f>
        <v>189.00200000000001</v>
      </c>
      <c r="J408" s="105">
        <f>AVERAGE(P408,T408,X408,AB408,AF408)</f>
        <v>293.21160000000003</v>
      </c>
      <c r="K408" s="105">
        <f>MAX(P408,T408,X408,AB408,AF408)</f>
        <v>370.70000000000005</v>
      </c>
      <c r="N408" s="107">
        <f t="shared" si="168"/>
        <v>146.71800000000002</v>
      </c>
      <c r="O408" s="107">
        <f t="shared" si="169"/>
        <v>202.59800000000001</v>
      </c>
      <c r="P408" s="107">
        <f t="shared" si="170"/>
        <v>286.209</v>
      </c>
      <c r="R408" s="107">
        <f t="shared" si="171"/>
        <v>140.71200000000002</v>
      </c>
      <c r="S408" s="107">
        <f t="shared" si="172"/>
        <v>157.14600000000002</v>
      </c>
      <c r="T408" s="107">
        <f t="shared" si="173"/>
        <v>189.00200000000001</v>
      </c>
      <c r="V408" s="107">
        <f t="shared" si="174"/>
        <v>174.30600000000001</v>
      </c>
      <c r="W408" s="107">
        <f t="shared" si="175"/>
        <v>253.45100000000002</v>
      </c>
      <c r="X408" s="107">
        <f t="shared" si="176"/>
        <v>350.625</v>
      </c>
      <c r="Z408" s="107">
        <f t="shared" si="177"/>
        <v>157.67400000000001</v>
      </c>
      <c r="AA408" s="107">
        <f t="shared" si="178"/>
        <v>210.84800000000001</v>
      </c>
      <c r="AB408" s="107">
        <f t="shared" si="179"/>
        <v>269.52200000000005</v>
      </c>
      <c r="AD408" s="107">
        <f t="shared" si="180"/>
        <v>202.4</v>
      </c>
      <c r="AE408" s="107">
        <f t="shared" si="181"/>
        <v>303.60000000000002</v>
      </c>
      <c r="AF408" s="107">
        <f t="shared" si="182"/>
        <v>370.70000000000005</v>
      </c>
      <c r="AH408" s="107">
        <v>133.38</v>
      </c>
      <c r="AI408" s="107">
        <v>184.18</v>
      </c>
      <c r="AJ408" s="107">
        <v>260.19</v>
      </c>
      <c r="AK408" s="107">
        <v>127.92</v>
      </c>
      <c r="AL408" s="107">
        <v>142.86000000000001</v>
      </c>
      <c r="AM408" s="107">
        <v>171.82</v>
      </c>
      <c r="AN408" s="107">
        <v>158.46</v>
      </c>
      <c r="AO408" s="107">
        <v>230.41</v>
      </c>
      <c r="AP408" s="107">
        <v>318.75</v>
      </c>
      <c r="AQ408" s="107">
        <v>143.34</v>
      </c>
      <c r="AR408" s="107">
        <v>191.68</v>
      </c>
      <c r="AS408" s="107">
        <v>245.02</v>
      </c>
      <c r="AT408" s="107">
        <v>184</v>
      </c>
      <c r="AU408" s="107">
        <v>276</v>
      </c>
      <c r="AV408" s="107">
        <v>337</v>
      </c>
    </row>
    <row r="409" spans="1:48" ht="30" customHeight="1" outlineLevel="2">
      <c r="A409" s="116" t="s">
        <v>1031</v>
      </c>
      <c r="B409" s="117" t="s">
        <v>1032</v>
      </c>
      <c r="C409" s="134" t="s">
        <v>242</v>
      </c>
      <c r="E409" s="105">
        <f>MIN(N409,R409,V409,Z409,AD409)</f>
        <v>40.733000000000004</v>
      </c>
      <c r="F409" s="105">
        <f>AVERAGE(N409,R409,V409,Z409,AD409)</f>
        <v>96.705400000000012</v>
      </c>
      <c r="G409" s="105">
        <f>MAX(N409,R409,V409,Z409,AD409)</f>
        <v>154</v>
      </c>
      <c r="H409" s="106"/>
      <c r="I409" s="105">
        <f>MIN(T409,X409,AB409,AF409,P409)</f>
        <v>87.967000000000013</v>
      </c>
      <c r="J409" s="105">
        <f>AVERAGE(P409,T409,X409,AB409,AF409)</f>
        <v>168.13940000000002</v>
      </c>
      <c r="K409" s="105">
        <f>MAX(P409,T409,X409,AB409,AF409)</f>
        <v>292.60000000000002</v>
      </c>
      <c r="N409" s="107">
        <f t="shared" si="168"/>
        <v>40.733000000000004</v>
      </c>
      <c r="O409" s="107">
        <f t="shared" si="169"/>
        <v>58.267000000000003</v>
      </c>
      <c r="P409" s="107">
        <f t="shared" si="170"/>
        <v>87.967000000000013</v>
      </c>
      <c r="R409" s="107">
        <f t="shared" si="171"/>
        <v>114.77400000000002</v>
      </c>
      <c r="S409" s="107">
        <f t="shared" si="172"/>
        <v>125.29000000000002</v>
      </c>
      <c r="T409" s="107">
        <f t="shared" si="173"/>
        <v>153.18600000000001</v>
      </c>
      <c r="V409" s="107">
        <f t="shared" si="174"/>
        <v>76.427999999999997</v>
      </c>
      <c r="W409" s="107">
        <f t="shared" si="175"/>
        <v>94.88600000000001</v>
      </c>
      <c r="X409" s="107">
        <f t="shared" si="176"/>
        <v>136.56500000000003</v>
      </c>
      <c r="Z409" s="107">
        <f t="shared" si="177"/>
        <v>97.592000000000013</v>
      </c>
      <c r="AA409" s="107">
        <f t="shared" si="178"/>
        <v>126.73100000000001</v>
      </c>
      <c r="AB409" s="107">
        <f t="shared" si="179"/>
        <v>170.37899999999999</v>
      </c>
      <c r="AD409" s="107">
        <f t="shared" si="180"/>
        <v>154</v>
      </c>
      <c r="AE409" s="107">
        <f t="shared" si="181"/>
        <v>236.50000000000003</v>
      </c>
      <c r="AF409" s="107">
        <f t="shared" si="182"/>
        <v>292.60000000000002</v>
      </c>
      <c r="AH409" s="107">
        <v>37.03</v>
      </c>
      <c r="AI409" s="107">
        <v>52.97</v>
      </c>
      <c r="AJ409" s="107">
        <v>79.97</v>
      </c>
      <c r="AK409" s="107">
        <v>104.34</v>
      </c>
      <c r="AL409" s="107">
        <v>113.9</v>
      </c>
      <c r="AM409" s="107">
        <v>139.26</v>
      </c>
      <c r="AN409" s="107">
        <v>69.47999999999999</v>
      </c>
      <c r="AO409" s="107">
        <v>86.26</v>
      </c>
      <c r="AP409" s="107">
        <v>124.15</v>
      </c>
      <c r="AQ409" s="107">
        <v>88.72</v>
      </c>
      <c r="AR409" s="107">
        <v>115.21</v>
      </c>
      <c r="AS409" s="107">
        <v>154.88999999999999</v>
      </c>
      <c r="AT409" s="107">
        <v>140</v>
      </c>
      <c r="AU409" s="107">
        <v>215</v>
      </c>
      <c r="AV409" s="107">
        <v>266</v>
      </c>
    </row>
    <row r="410" spans="1:48" ht="30" customHeight="1" outlineLevel="1">
      <c r="A410" s="132" t="s">
        <v>1033</v>
      </c>
      <c r="B410" s="133" t="s">
        <v>1034</v>
      </c>
      <c r="C410" s="101"/>
      <c r="N410" s="11" t="str">
        <f t="shared" si="168"/>
        <v/>
      </c>
      <c r="O410" s="11" t="str">
        <f t="shared" si="169"/>
        <v/>
      </c>
      <c r="P410" s="11" t="str">
        <f t="shared" si="170"/>
        <v/>
      </c>
      <c r="R410" s="11" t="str">
        <f t="shared" si="171"/>
        <v/>
      </c>
      <c r="S410" s="11" t="str">
        <f t="shared" si="172"/>
        <v/>
      </c>
      <c r="T410" s="11" t="str">
        <f t="shared" si="173"/>
        <v/>
      </c>
      <c r="V410" s="11" t="str">
        <f t="shared" si="174"/>
        <v/>
      </c>
      <c r="W410" s="11" t="str">
        <f t="shared" si="175"/>
        <v/>
      </c>
      <c r="X410" s="11" t="str">
        <f t="shared" si="176"/>
        <v/>
      </c>
      <c r="Z410" s="11" t="str">
        <f t="shared" si="177"/>
        <v/>
      </c>
      <c r="AA410" s="11" t="str">
        <f t="shared" si="178"/>
        <v/>
      </c>
      <c r="AB410" s="11" t="str">
        <f t="shared" si="179"/>
        <v/>
      </c>
      <c r="AD410" s="11" t="str">
        <f t="shared" si="180"/>
        <v/>
      </c>
      <c r="AE410" s="11" t="str">
        <f t="shared" si="181"/>
        <v/>
      </c>
      <c r="AF410" s="11" t="str">
        <f t="shared" si="182"/>
        <v/>
      </c>
    </row>
    <row r="411" spans="1:48" ht="30" customHeight="1" outlineLevel="2">
      <c r="A411" s="116" t="s">
        <v>1035</v>
      </c>
      <c r="B411" s="117" t="s">
        <v>1036</v>
      </c>
      <c r="C411" s="134" t="s">
        <v>242</v>
      </c>
      <c r="E411" s="105">
        <f>MIN(N411,R411,V411,Z411,AD411)</f>
        <v>317.33900000000006</v>
      </c>
      <c r="F411" s="105">
        <f>AVERAGE(N411,R411,V411,Z411,AD411)</f>
        <v>404.18180000000001</v>
      </c>
      <c r="G411" s="105">
        <f>MAX(N411,R411,V411,Z411,AD411)</f>
        <v>489.50000000000006</v>
      </c>
      <c r="H411" s="106"/>
      <c r="I411" s="105">
        <f>MIN(T411,X411,AB411,AF411,P411)</f>
        <v>578.95200000000011</v>
      </c>
      <c r="J411" s="105">
        <f>AVERAGE(P411,T411,X411,AB411,AF411)</f>
        <v>699.65500000000009</v>
      </c>
      <c r="K411" s="105">
        <f>MAX(P411,T411,X411,AB411,AF411)</f>
        <v>865.7</v>
      </c>
      <c r="N411" s="107">
        <f t="shared" si="168"/>
        <v>329.12</v>
      </c>
      <c r="O411" s="107">
        <f t="shared" si="169"/>
        <v>439.78000000000003</v>
      </c>
      <c r="P411" s="107">
        <f t="shared" si="170"/>
        <v>600.40200000000016</v>
      </c>
      <c r="R411" s="107">
        <f t="shared" si="171"/>
        <v>411.95000000000005</v>
      </c>
      <c r="S411" s="107">
        <f t="shared" si="172"/>
        <v>499.44400000000007</v>
      </c>
      <c r="T411" s="107">
        <f t="shared" si="173"/>
        <v>578.95200000000011</v>
      </c>
      <c r="V411" s="107">
        <f t="shared" si="174"/>
        <v>317.33900000000006</v>
      </c>
      <c r="W411" s="107">
        <f t="shared" si="175"/>
        <v>485.15500000000003</v>
      </c>
      <c r="X411" s="107">
        <f t="shared" si="176"/>
        <v>663.42100000000005</v>
      </c>
      <c r="Z411" s="107">
        <f t="shared" si="177"/>
        <v>473.00000000000006</v>
      </c>
      <c r="AA411" s="107">
        <f t="shared" si="178"/>
        <v>652.30000000000007</v>
      </c>
      <c r="AB411" s="107">
        <f t="shared" si="179"/>
        <v>789.80000000000007</v>
      </c>
      <c r="AD411" s="107">
        <f t="shared" si="180"/>
        <v>489.50000000000006</v>
      </c>
      <c r="AE411" s="107">
        <f t="shared" si="181"/>
        <v>720.50000000000011</v>
      </c>
      <c r="AF411" s="107">
        <f t="shared" si="182"/>
        <v>865.7</v>
      </c>
      <c r="AH411" s="107">
        <v>299.2</v>
      </c>
      <c r="AI411" s="107">
        <v>399.8</v>
      </c>
      <c r="AJ411" s="107">
        <v>545.82000000000005</v>
      </c>
      <c r="AK411" s="107">
        <v>374.5</v>
      </c>
      <c r="AL411" s="107">
        <v>454.04</v>
      </c>
      <c r="AM411" s="107">
        <v>526.32000000000005</v>
      </c>
      <c r="AN411" s="107">
        <v>288.49</v>
      </c>
      <c r="AO411" s="107">
        <v>441.05</v>
      </c>
      <c r="AP411" s="107">
        <v>603.11</v>
      </c>
      <c r="AQ411" s="107">
        <v>430</v>
      </c>
      <c r="AR411" s="107">
        <v>593</v>
      </c>
      <c r="AS411" s="107">
        <v>718</v>
      </c>
      <c r="AT411" s="107">
        <v>445</v>
      </c>
      <c r="AU411" s="107">
        <v>655</v>
      </c>
      <c r="AV411" s="107">
        <v>787</v>
      </c>
    </row>
    <row r="412" spans="1:48" ht="30" customHeight="1" outlineLevel="2">
      <c r="A412" s="116" t="s">
        <v>1037</v>
      </c>
      <c r="B412" s="117" t="s">
        <v>1038</v>
      </c>
      <c r="C412" s="134" t="s">
        <v>242</v>
      </c>
      <c r="E412" s="105">
        <f>MIN(N412,R412,V412,Z412,AD412)</f>
        <v>198.62700000000001</v>
      </c>
      <c r="F412" s="105">
        <f>AVERAGE(N412,R412,V412,Z412,AD412)</f>
        <v>361.95280000000002</v>
      </c>
      <c r="G412" s="105">
        <f>MAX(N412,R412,V412,Z412,AD412)</f>
        <v>623.70000000000005</v>
      </c>
      <c r="H412" s="106"/>
      <c r="I412" s="105">
        <f>MIN(T412,X412,AB412,AF412,P412)</f>
        <v>390.83000000000004</v>
      </c>
      <c r="J412" s="105">
        <f>AVERAGE(P412,T412,X412,AB412,AF412)</f>
        <v>563.25060000000008</v>
      </c>
      <c r="K412" s="105">
        <f>MAX(P412,T412,X412,AB412,AF412)</f>
        <v>995.50000000000011</v>
      </c>
      <c r="N412" s="107">
        <f t="shared" si="168"/>
        <v>198.62700000000001</v>
      </c>
      <c r="O412" s="107">
        <f t="shared" si="169"/>
        <v>276.41900000000004</v>
      </c>
      <c r="P412" s="107">
        <f t="shared" si="170"/>
        <v>390.83000000000004</v>
      </c>
      <c r="R412" s="107">
        <f t="shared" si="171"/>
        <v>481.94300000000004</v>
      </c>
      <c r="S412" s="107">
        <f t="shared" si="172"/>
        <v>477.20200000000006</v>
      </c>
      <c r="T412" s="107">
        <f t="shared" si="173"/>
        <v>494.94500000000005</v>
      </c>
      <c r="V412" s="107">
        <f t="shared" si="174"/>
        <v>227.43600000000001</v>
      </c>
      <c r="W412" s="107">
        <f t="shared" si="175"/>
        <v>339.52600000000007</v>
      </c>
      <c r="X412" s="107">
        <f t="shared" si="176"/>
        <v>466.82900000000001</v>
      </c>
      <c r="Z412" s="107">
        <f t="shared" si="177"/>
        <v>278.05800000000005</v>
      </c>
      <c r="AA412" s="107">
        <f t="shared" si="178"/>
        <v>379.39</v>
      </c>
      <c r="AB412" s="107">
        <f t="shared" si="179"/>
        <v>468.149</v>
      </c>
      <c r="AD412" s="107">
        <f t="shared" si="180"/>
        <v>623.70000000000005</v>
      </c>
      <c r="AE412" s="107">
        <f t="shared" si="181"/>
        <v>852.50000000000011</v>
      </c>
      <c r="AF412" s="107">
        <f t="shared" si="182"/>
        <v>995.50000000000011</v>
      </c>
      <c r="AH412" s="107">
        <v>180.57</v>
      </c>
      <c r="AI412" s="107">
        <v>251.29</v>
      </c>
      <c r="AJ412" s="107">
        <v>355.3</v>
      </c>
      <c r="AK412" s="107">
        <v>438.13</v>
      </c>
      <c r="AL412" s="107">
        <v>433.82</v>
      </c>
      <c r="AM412" s="107">
        <v>449.95</v>
      </c>
      <c r="AN412" s="107">
        <v>206.76</v>
      </c>
      <c r="AO412" s="107">
        <v>308.66000000000003</v>
      </c>
      <c r="AP412" s="107">
        <v>424.39</v>
      </c>
      <c r="AQ412" s="107">
        <v>252.78</v>
      </c>
      <c r="AR412" s="107">
        <v>344.9</v>
      </c>
      <c r="AS412" s="107">
        <v>425.59</v>
      </c>
      <c r="AT412" s="107">
        <v>567</v>
      </c>
      <c r="AU412" s="107">
        <v>775</v>
      </c>
      <c r="AV412" s="107">
        <v>905</v>
      </c>
    </row>
    <row r="413" spans="1:48" ht="30" customHeight="1" outlineLevel="2" thickBot="1">
      <c r="A413" s="116" t="s">
        <v>1039</v>
      </c>
      <c r="B413" s="117" t="s">
        <v>1040</v>
      </c>
      <c r="C413" s="134" t="s">
        <v>242</v>
      </c>
      <c r="E413" s="105">
        <f>MIN(N413,R413,V413,Z413,AD413)</f>
        <v>54.505000000000003</v>
      </c>
      <c r="F413" s="105">
        <f>AVERAGE(N413,R413,V413,Z413,AD413)</f>
        <v>233.58940000000001</v>
      </c>
      <c r="G413" s="105">
        <f>MAX(N413,R413,V413,Z413,AD413)</f>
        <v>379.50000000000006</v>
      </c>
      <c r="H413" s="106"/>
      <c r="I413" s="105">
        <f>MIN(T413,X413,AB413,AF413,P413)</f>
        <v>114.92800000000001</v>
      </c>
      <c r="J413" s="105">
        <f>AVERAGE(P413,T413,X413,AB413,AF413)</f>
        <v>401.86959999999999</v>
      </c>
      <c r="K413" s="105">
        <f>MAX(P413,T413,X413,AB413,AF413)</f>
        <v>666.6</v>
      </c>
      <c r="N413" s="107">
        <f t="shared" si="168"/>
        <v>54.505000000000003</v>
      </c>
      <c r="O413" s="107">
        <f t="shared" si="169"/>
        <v>77.51700000000001</v>
      </c>
      <c r="P413" s="107">
        <f t="shared" si="170"/>
        <v>114.92800000000001</v>
      </c>
      <c r="R413" s="107">
        <f t="shared" si="171"/>
        <v>250.07400000000001</v>
      </c>
      <c r="S413" s="107">
        <f t="shared" si="172"/>
        <v>301.01499999999999</v>
      </c>
      <c r="T413" s="107">
        <f t="shared" si="173"/>
        <v>356.13600000000002</v>
      </c>
      <c r="V413" s="107">
        <f t="shared" si="174"/>
        <v>121.968</v>
      </c>
      <c r="W413" s="107">
        <f t="shared" si="175"/>
        <v>168.66300000000004</v>
      </c>
      <c r="X413" s="107">
        <f t="shared" si="176"/>
        <v>236.15900000000002</v>
      </c>
      <c r="Z413" s="107">
        <f t="shared" si="177"/>
        <v>379.50000000000006</v>
      </c>
      <c r="AA413" s="107">
        <f t="shared" si="178"/>
        <v>521.40000000000009</v>
      </c>
      <c r="AB413" s="107">
        <f t="shared" si="179"/>
        <v>635.52500000000009</v>
      </c>
      <c r="AD413" s="107">
        <f t="shared" si="180"/>
        <v>361.90000000000003</v>
      </c>
      <c r="AE413" s="107">
        <f t="shared" si="181"/>
        <v>548.90000000000009</v>
      </c>
      <c r="AF413" s="107">
        <f t="shared" si="182"/>
        <v>666.6</v>
      </c>
      <c r="AH413" s="107">
        <v>49.55</v>
      </c>
      <c r="AI413" s="107">
        <v>70.47</v>
      </c>
      <c r="AJ413" s="107">
        <v>104.48</v>
      </c>
      <c r="AK413" s="107">
        <v>227.34</v>
      </c>
      <c r="AL413" s="107">
        <v>273.64999999999998</v>
      </c>
      <c r="AM413" s="107">
        <v>323.76</v>
      </c>
      <c r="AN413" s="107">
        <v>110.88</v>
      </c>
      <c r="AO413" s="107">
        <v>153.33000000000001</v>
      </c>
      <c r="AP413" s="107">
        <v>214.69</v>
      </c>
      <c r="AQ413" s="107">
        <v>345</v>
      </c>
      <c r="AR413" s="107">
        <v>474</v>
      </c>
      <c r="AS413" s="107">
        <v>577.75</v>
      </c>
      <c r="AT413" s="107">
        <v>329</v>
      </c>
      <c r="AU413" s="107">
        <v>499</v>
      </c>
      <c r="AV413" s="107">
        <v>606</v>
      </c>
    </row>
    <row r="414" spans="1:48" ht="30" customHeight="1" thickBot="1">
      <c r="A414" s="96" t="s">
        <v>1041</v>
      </c>
      <c r="B414" s="115" t="s">
        <v>1042</v>
      </c>
      <c r="C414" s="98"/>
      <c r="N414" s="11" t="str">
        <f t="shared" si="168"/>
        <v/>
      </c>
      <c r="O414" s="11" t="str">
        <f t="shared" si="169"/>
        <v/>
      </c>
      <c r="P414" s="11" t="str">
        <f t="shared" si="170"/>
        <v/>
      </c>
      <c r="R414" s="11" t="str">
        <f t="shared" si="171"/>
        <v/>
      </c>
      <c r="S414" s="11" t="str">
        <f t="shared" si="172"/>
        <v/>
      </c>
      <c r="T414" s="11" t="str">
        <f t="shared" si="173"/>
        <v/>
      </c>
      <c r="V414" s="11" t="str">
        <f t="shared" si="174"/>
        <v/>
      </c>
      <c r="W414" s="11" t="str">
        <f t="shared" si="175"/>
        <v/>
      </c>
      <c r="X414" s="11" t="str">
        <f t="shared" si="176"/>
        <v/>
      </c>
      <c r="Z414" s="11" t="str">
        <f t="shared" si="177"/>
        <v/>
      </c>
      <c r="AA414" s="11" t="str">
        <f t="shared" si="178"/>
        <v/>
      </c>
      <c r="AB414" s="11" t="str">
        <f t="shared" si="179"/>
        <v/>
      </c>
      <c r="AD414" s="11" t="str">
        <f t="shared" si="180"/>
        <v/>
      </c>
      <c r="AE414" s="11" t="str">
        <f t="shared" si="181"/>
        <v/>
      </c>
      <c r="AF414" s="11" t="str">
        <f t="shared" si="182"/>
        <v/>
      </c>
    </row>
    <row r="415" spans="1:48" ht="30" customHeight="1" outlineLevel="1">
      <c r="A415" s="132" t="s">
        <v>1043</v>
      </c>
      <c r="B415" s="133" t="s">
        <v>1044</v>
      </c>
      <c r="C415" s="101"/>
      <c r="N415" s="11" t="str">
        <f t="shared" si="168"/>
        <v/>
      </c>
      <c r="O415" s="11" t="str">
        <f t="shared" si="169"/>
        <v/>
      </c>
      <c r="P415" s="11" t="str">
        <f t="shared" si="170"/>
        <v/>
      </c>
      <c r="R415" s="11" t="str">
        <f t="shared" si="171"/>
        <v/>
      </c>
      <c r="S415" s="11" t="str">
        <f t="shared" si="172"/>
        <v/>
      </c>
      <c r="T415" s="11" t="str">
        <f t="shared" si="173"/>
        <v/>
      </c>
      <c r="V415" s="11" t="str">
        <f t="shared" si="174"/>
        <v/>
      </c>
      <c r="W415" s="11" t="str">
        <f t="shared" si="175"/>
        <v/>
      </c>
      <c r="X415" s="11" t="str">
        <f t="shared" si="176"/>
        <v/>
      </c>
      <c r="Z415" s="11" t="str">
        <f t="shared" si="177"/>
        <v/>
      </c>
      <c r="AA415" s="11" t="str">
        <f t="shared" si="178"/>
        <v/>
      </c>
      <c r="AB415" s="11" t="str">
        <f t="shared" si="179"/>
        <v/>
      </c>
      <c r="AD415" s="11" t="str">
        <f t="shared" si="180"/>
        <v/>
      </c>
      <c r="AE415" s="11" t="str">
        <f t="shared" si="181"/>
        <v/>
      </c>
      <c r="AF415" s="11" t="str">
        <f t="shared" si="182"/>
        <v/>
      </c>
    </row>
    <row r="416" spans="1:48" ht="30" customHeight="1" outlineLevel="2">
      <c r="A416" s="116" t="s">
        <v>1045</v>
      </c>
      <c r="B416" s="117" t="s">
        <v>1046</v>
      </c>
      <c r="C416" s="134" t="s">
        <v>242</v>
      </c>
      <c r="E416" s="105">
        <f>MIN(N416,R416,V416,Z416,AD416)</f>
        <v>31.746000000000002</v>
      </c>
      <c r="F416" s="105">
        <f>AVERAGE(N416,R416,V416,Z416,AD416)</f>
        <v>83.333800000000025</v>
      </c>
      <c r="G416" s="105">
        <f>MAX(N416,R416,V416,Z416,AD416)</f>
        <v>136.54300000000001</v>
      </c>
      <c r="H416" s="106"/>
      <c r="I416" s="105">
        <f>MIN(T416,X416,AB416,AF416,P416)</f>
        <v>65.802000000000007</v>
      </c>
      <c r="J416" s="105">
        <f>AVERAGE(P416,T416,X416,AB416,AF416)</f>
        <v>148.37900000000002</v>
      </c>
      <c r="K416" s="105">
        <f>MAX(P416,T416,X416,AB416,AF416)</f>
        <v>268.02600000000001</v>
      </c>
      <c r="N416" s="107">
        <f t="shared" si="168"/>
        <v>31.746000000000002</v>
      </c>
      <c r="O416" s="107">
        <f t="shared" si="169"/>
        <v>43.802000000000007</v>
      </c>
      <c r="P416" s="107">
        <f t="shared" si="170"/>
        <v>65.802000000000007</v>
      </c>
      <c r="R416" s="107">
        <f t="shared" si="171"/>
        <v>71.52200000000002</v>
      </c>
      <c r="S416" s="107">
        <f t="shared" si="172"/>
        <v>70.708000000000013</v>
      </c>
      <c r="T416" s="107">
        <f t="shared" si="173"/>
        <v>91.058000000000007</v>
      </c>
      <c r="V416" s="107">
        <f t="shared" si="174"/>
        <v>136.54300000000001</v>
      </c>
      <c r="W416" s="107">
        <f t="shared" si="175"/>
        <v>192.25800000000001</v>
      </c>
      <c r="X416" s="107">
        <f t="shared" si="176"/>
        <v>268.02600000000001</v>
      </c>
      <c r="Z416" s="107">
        <f t="shared" si="177"/>
        <v>62.458000000000006</v>
      </c>
      <c r="AA416" s="107">
        <f t="shared" si="178"/>
        <v>77.539000000000001</v>
      </c>
      <c r="AB416" s="107">
        <f t="shared" si="179"/>
        <v>112.40900000000001</v>
      </c>
      <c r="AD416" s="107">
        <f t="shared" si="180"/>
        <v>114.4</v>
      </c>
      <c r="AE416" s="107">
        <f t="shared" si="181"/>
        <v>167.20000000000002</v>
      </c>
      <c r="AF416" s="107">
        <f t="shared" si="182"/>
        <v>204.60000000000002</v>
      </c>
      <c r="AH416" s="107">
        <v>28.86</v>
      </c>
      <c r="AI416" s="107">
        <v>39.82</v>
      </c>
      <c r="AJ416" s="107">
        <v>59.82</v>
      </c>
      <c r="AK416" s="107">
        <v>65.02000000000001</v>
      </c>
      <c r="AL416" s="107">
        <v>64.28</v>
      </c>
      <c r="AM416" s="107">
        <v>82.78</v>
      </c>
      <c r="AN416" s="107">
        <v>124.13</v>
      </c>
      <c r="AO416" s="107">
        <v>174.78</v>
      </c>
      <c r="AP416" s="107">
        <v>243.66</v>
      </c>
      <c r="AQ416" s="107">
        <v>56.78</v>
      </c>
      <c r="AR416" s="107">
        <v>70.489999999999995</v>
      </c>
      <c r="AS416" s="107">
        <v>102.19</v>
      </c>
      <c r="AT416" s="107">
        <v>104</v>
      </c>
      <c r="AU416" s="107">
        <v>152</v>
      </c>
      <c r="AV416" s="107">
        <v>186</v>
      </c>
    </row>
    <row r="417" spans="1:48" ht="30" customHeight="1" outlineLevel="2">
      <c r="A417" s="116" t="s">
        <v>1047</v>
      </c>
      <c r="B417" s="117" t="s">
        <v>1048</v>
      </c>
      <c r="C417" s="134" t="s">
        <v>242</v>
      </c>
      <c r="E417" s="105">
        <f>MIN(N417,R417,V417,Z417,AD417)</f>
        <v>96.41500000000002</v>
      </c>
      <c r="F417" s="105">
        <f>AVERAGE(N417,R417,V417,Z417,AD417)</f>
        <v>170.42300000000003</v>
      </c>
      <c r="G417" s="105">
        <f>MAX(N417,R417,V417,Z417,AD417)</f>
        <v>257.30100000000004</v>
      </c>
      <c r="H417" s="106"/>
      <c r="I417" s="105">
        <f>MIN(T417,X417,AB417,AF417,P417)</f>
        <v>183.18300000000002</v>
      </c>
      <c r="J417" s="105">
        <f>AVERAGE(P417,T417,X417,AB417,AF417)</f>
        <v>309.26720000000006</v>
      </c>
      <c r="K417" s="105">
        <f>MAX(P417,T417,X417,AB417,AF417)</f>
        <v>532.13600000000008</v>
      </c>
      <c r="N417" s="107">
        <f t="shared" si="168"/>
        <v>96.41500000000002</v>
      </c>
      <c r="O417" s="107">
        <f t="shared" si="169"/>
        <v>130.38300000000001</v>
      </c>
      <c r="P417" s="107">
        <f t="shared" si="170"/>
        <v>183.18300000000002</v>
      </c>
      <c r="R417" s="107">
        <f t="shared" si="171"/>
        <v>135.56399999999999</v>
      </c>
      <c r="S417" s="107">
        <f t="shared" si="172"/>
        <v>152.31700000000001</v>
      </c>
      <c r="T417" s="107">
        <f t="shared" si="173"/>
        <v>184.38200000000003</v>
      </c>
      <c r="V417" s="107">
        <f t="shared" si="174"/>
        <v>257.30100000000004</v>
      </c>
      <c r="W417" s="107">
        <f t="shared" si="175"/>
        <v>387.904</v>
      </c>
      <c r="X417" s="107">
        <f t="shared" si="176"/>
        <v>532.13600000000008</v>
      </c>
      <c r="Z417" s="107">
        <f t="shared" si="177"/>
        <v>202.23500000000001</v>
      </c>
      <c r="AA417" s="107">
        <f t="shared" si="178"/>
        <v>273.22899999999998</v>
      </c>
      <c r="AB417" s="107">
        <f t="shared" si="179"/>
        <v>343.03500000000003</v>
      </c>
      <c r="AD417" s="107">
        <f t="shared" si="180"/>
        <v>160.60000000000002</v>
      </c>
      <c r="AE417" s="107">
        <f t="shared" si="181"/>
        <v>246.40000000000003</v>
      </c>
      <c r="AF417" s="107">
        <f t="shared" si="182"/>
        <v>303.60000000000002</v>
      </c>
      <c r="AH417" s="107">
        <v>87.65</v>
      </c>
      <c r="AI417" s="107">
        <v>118.53</v>
      </c>
      <c r="AJ417" s="107">
        <v>166.53</v>
      </c>
      <c r="AK417" s="107">
        <v>123.24</v>
      </c>
      <c r="AL417" s="107">
        <v>138.47</v>
      </c>
      <c r="AM417" s="107">
        <v>167.62</v>
      </c>
      <c r="AN417" s="107">
        <v>233.91</v>
      </c>
      <c r="AO417" s="107">
        <v>352.64</v>
      </c>
      <c r="AP417" s="107">
        <v>483.76</v>
      </c>
      <c r="AQ417" s="107">
        <v>183.85</v>
      </c>
      <c r="AR417" s="107">
        <v>248.39</v>
      </c>
      <c r="AS417" s="107">
        <v>311.85000000000002</v>
      </c>
      <c r="AT417" s="107">
        <v>146</v>
      </c>
      <c r="AU417" s="107">
        <v>224</v>
      </c>
      <c r="AV417" s="107">
        <v>276</v>
      </c>
    </row>
    <row r="418" spans="1:48" ht="30" customHeight="1" outlineLevel="2">
      <c r="A418" s="116" t="s">
        <v>1049</v>
      </c>
      <c r="B418" s="117" t="s">
        <v>1050</v>
      </c>
      <c r="C418" s="134" t="s">
        <v>242</v>
      </c>
      <c r="E418" s="105">
        <f>MIN(N418,R418,V418,Z418,AD418)</f>
        <v>38.852000000000004</v>
      </c>
      <c r="F418" s="105">
        <f>AVERAGE(N418,R418,V418,Z418,AD418)</f>
        <v>73.722000000000008</v>
      </c>
      <c r="G418" s="105">
        <f>MAX(N418,R418,V418,Z418,AD418)</f>
        <v>99.847000000000008</v>
      </c>
      <c r="H418" s="106"/>
      <c r="I418" s="105">
        <f>MIN(T418,X418,AB418,AF418,P418)</f>
        <v>78.176999999999992</v>
      </c>
      <c r="J418" s="105">
        <f>AVERAGE(P418,T418,X418,AB418,AF418)</f>
        <v>127.6066</v>
      </c>
      <c r="K418" s="105">
        <f>MAX(P418,T418,X418,AB418,AF418)</f>
        <v>174.09700000000004</v>
      </c>
      <c r="N418" s="107">
        <f t="shared" si="168"/>
        <v>38.852000000000004</v>
      </c>
      <c r="O418" s="107">
        <f t="shared" si="169"/>
        <v>53.097000000000008</v>
      </c>
      <c r="P418" s="107">
        <f t="shared" si="170"/>
        <v>78.176999999999992</v>
      </c>
      <c r="R418" s="107">
        <f t="shared" si="171"/>
        <v>77.572000000000017</v>
      </c>
      <c r="S418" s="107">
        <f t="shared" si="172"/>
        <v>76.923000000000016</v>
      </c>
      <c r="T418" s="107">
        <f t="shared" si="173"/>
        <v>97.38300000000001</v>
      </c>
      <c r="V418" s="107">
        <f t="shared" si="174"/>
        <v>76.439000000000021</v>
      </c>
      <c r="W418" s="107">
        <f t="shared" si="175"/>
        <v>94.897000000000006</v>
      </c>
      <c r="X418" s="107">
        <f t="shared" si="176"/>
        <v>136.57599999999999</v>
      </c>
      <c r="Z418" s="107">
        <f t="shared" si="177"/>
        <v>99.847000000000008</v>
      </c>
      <c r="AA418" s="107">
        <f t="shared" si="178"/>
        <v>129.88800000000001</v>
      </c>
      <c r="AB418" s="107">
        <f t="shared" si="179"/>
        <v>174.09700000000004</v>
      </c>
      <c r="AD418" s="107">
        <f t="shared" si="180"/>
        <v>75.900000000000006</v>
      </c>
      <c r="AE418" s="107">
        <f t="shared" si="181"/>
        <v>119.9</v>
      </c>
      <c r="AF418" s="107">
        <f t="shared" si="182"/>
        <v>151.80000000000001</v>
      </c>
      <c r="AH418" s="107">
        <v>35.32</v>
      </c>
      <c r="AI418" s="107">
        <v>48.27</v>
      </c>
      <c r="AJ418" s="107">
        <v>71.069999999999993</v>
      </c>
      <c r="AK418" s="107">
        <v>70.52000000000001</v>
      </c>
      <c r="AL418" s="107">
        <v>69.930000000000007</v>
      </c>
      <c r="AM418" s="107">
        <v>88.53</v>
      </c>
      <c r="AN418" s="107">
        <v>69.490000000000009</v>
      </c>
      <c r="AO418" s="107">
        <v>86.27</v>
      </c>
      <c r="AP418" s="107">
        <v>124.16</v>
      </c>
      <c r="AQ418" s="107">
        <v>90.77</v>
      </c>
      <c r="AR418" s="107">
        <v>118.08</v>
      </c>
      <c r="AS418" s="107">
        <v>158.27000000000001</v>
      </c>
      <c r="AT418" s="107">
        <v>69</v>
      </c>
      <c r="AU418" s="107">
        <v>109</v>
      </c>
      <c r="AV418" s="107">
        <v>138</v>
      </c>
    </row>
    <row r="419" spans="1:48" ht="30" customHeight="1" outlineLevel="2">
      <c r="A419" s="116" t="s">
        <v>1051</v>
      </c>
      <c r="B419" s="117" t="s">
        <v>1052</v>
      </c>
      <c r="C419" s="134" t="s">
        <v>242</v>
      </c>
      <c r="E419" s="105">
        <f>MIN(N419,R419,V419,Z419,AD419)</f>
        <v>96.41500000000002</v>
      </c>
      <c r="F419" s="105">
        <f>AVERAGE(N419,R419,V419,Z419,AD419)</f>
        <v>225.50660000000002</v>
      </c>
      <c r="G419" s="105">
        <f>MAX(N419,R419,V419,Z419,AD419)</f>
        <v>377.90500000000003</v>
      </c>
      <c r="H419" s="106"/>
      <c r="I419" s="105">
        <f>MIN(T419,X419,AB419,AF419,P419)</f>
        <v>183.18300000000002</v>
      </c>
      <c r="J419" s="105">
        <f>AVERAGE(P419,T419,X419,AB419,AF419)</f>
        <v>385.649</v>
      </c>
      <c r="K419" s="105">
        <f>MAX(P419,T419,X419,AB419,AF419)</f>
        <v>632.89600000000007</v>
      </c>
      <c r="N419" s="107">
        <f t="shared" si="168"/>
        <v>96.41500000000002</v>
      </c>
      <c r="O419" s="107">
        <f t="shared" si="169"/>
        <v>130.38300000000001</v>
      </c>
      <c r="P419" s="107">
        <f t="shared" si="170"/>
        <v>183.18300000000002</v>
      </c>
      <c r="R419" s="107">
        <f t="shared" si="171"/>
        <v>282.34800000000001</v>
      </c>
      <c r="S419" s="107">
        <f t="shared" si="172"/>
        <v>330.74800000000005</v>
      </c>
      <c r="T419" s="107">
        <f t="shared" si="173"/>
        <v>383.96600000000001</v>
      </c>
      <c r="V419" s="107">
        <f t="shared" si="174"/>
        <v>197.06500000000003</v>
      </c>
      <c r="W419" s="107">
        <f t="shared" si="175"/>
        <v>290.31200000000007</v>
      </c>
      <c r="X419" s="107">
        <f t="shared" si="176"/>
        <v>400.40000000000003</v>
      </c>
      <c r="Z419" s="107">
        <f t="shared" si="177"/>
        <v>377.90500000000003</v>
      </c>
      <c r="AA419" s="107">
        <f t="shared" si="178"/>
        <v>519.16700000000003</v>
      </c>
      <c r="AB419" s="107">
        <f t="shared" si="179"/>
        <v>632.89600000000007</v>
      </c>
      <c r="AD419" s="107">
        <f t="shared" si="180"/>
        <v>173.8</v>
      </c>
      <c r="AE419" s="107">
        <f t="shared" si="181"/>
        <v>266.20000000000005</v>
      </c>
      <c r="AF419" s="107">
        <f t="shared" si="182"/>
        <v>327.8</v>
      </c>
      <c r="AH419" s="107">
        <v>87.65</v>
      </c>
      <c r="AI419" s="107">
        <v>118.53</v>
      </c>
      <c r="AJ419" s="107">
        <v>166.53</v>
      </c>
      <c r="AK419" s="107">
        <v>256.68</v>
      </c>
      <c r="AL419" s="107">
        <v>300.68</v>
      </c>
      <c r="AM419" s="107">
        <v>349.06</v>
      </c>
      <c r="AN419" s="107">
        <v>179.15</v>
      </c>
      <c r="AO419" s="107">
        <v>263.92</v>
      </c>
      <c r="AP419" s="107">
        <v>364</v>
      </c>
      <c r="AQ419" s="107">
        <v>343.55</v>
      </c>
      <c r="AR419" s="107">
        <v>471.97</v>
      </c>
      <c r="AS419" s="107">
        <v>575.36</v>
      </c>
      <c r="AT419" s="107">
        <v>158</v>
      </c>
      <c r="AU419" s="107">
        <v>242</v>
      </c>
      <c r="AV419" s="107">
        <v>298</v>
      </c>
    </row>
    <row r="420" spans="1:48" ht="30" customHeight="1" outlineLevel="1">
      <c r="A420" s="132" t="s">
        <v>1053</v>
      </c>
      <c r="B420" s="133" t="s">
        <v>1054</v>
      </c>
      <c r="C420" s="101"/>
      <c r="N420" s="11" t="str">
        <f t="shared" si="168"/>
        <v/>
      </c>
      <c r="O420" s="11" t="str">
        <f t="shared" si="169"/>
        <v/>
      </c>
      <c r="P420" s="11" t="str">
        <f t="shared" si="170"/>
        <v/>
      </c>
      <c r="R420" s="11" t="str">
        <f t="shared" si="171"/>
        <v/>
      </c>
      <c r="S420" s="11" t="str">
        <f t="shared" si="172"/>
        <v/>
      </c>
      <c r="T420" s="11" t="str">
        <f t="shared" si="173"/>
        <v/>
      </c>
      <c r="V420" s="11" t="str">
        <f t="shared" si="174"/>
        <v/>
      </c>
      <c r="W420" s="11" t="str">
        <f t="shared" si="175"/>
        <v/>
      </c>
      <c r="X420" s="11" t="str">
        <f t="shared" si="176"/>
        <v/>
      </c>
      <c r="Z420" s="11" t="str">
        <f t="shared" si="177"/>
        <v/>
      </c>
      <c r="AA420" s="11" t="str">
        <f t="shared" si="178"/>
        <v/>
      </c>
      <c r="AB420" s="11" t="str">
        <f t="shared" si="179"/>
        <v/>
      </c>
      <c r="AD420" s="11" t="str">
        <f t="shared" si="180"/>
        <v/>
      </c>
      <c r="AE420" s="11" t="str">
        <f t="shared" si="181"/>
        <v/>
      </c>
      <c r="AF420" s="11" t="str">
        <f t="shared" si="182"/>
        <v/>
      </c>
    </row>
    <row r="421" spans="1:48" ht="30" customHeight="1" outlineLevel="2">
      <c r="A421" s="116" t="s">
        <v>1055</v>
      </c>
      <c r="B421" s="117" t="s">
        <v>1056</v>
      </c>
      <c r="C421" s="134" t="s">
        <v>242</v>
      </c>
      <c r="E421" s="105">
        <f t="shared" ref="E421:E432" si="189">MIN(N421,R421,V421,Z421,AD421)</f>
        <v>53.823000000000008</v>
      </c>
      <c r="F421" s="105">
        <f t="shared" ref="F421:F432" si="190">AVERAGE(N421,R421,V421,Z421,AD421)</f>
        <v>83.142400000000009</v>
      </c>
      <c r="G421" s="105">
        <f t="shared" ref="G421:G432" si="191">MAX(N421,R421,V421,Z421,AD421)</f>
        <v>117.31500000000001</v>
      </c>
      <c r="H421" s="106"/>
      <c r="I421" s="105">
        <f t="shared" ref="I421:I432" si="192">MIN(T421,X421,AB421,AF421,P421)</f>
        <v>98.153000000000006</v>
      </c>
      <c r="J421" s="105">
        <f t="shared" ref="J421:J432" si="193">AVERAGE(P421,T421,X421,AB421,AF421)</f>
        <v>140.536</v>
      </c>
      <c r="K421" s="105">
        <f t="shared" ref="K421:K432" si="194">MAX(P421,T421,X421,AB421,AF421)</f>
        <v>202.983</v>
      </c>
      <c r="N421" s="107">
        <f t="shared" si="168"/>
        <v>64.075000000000003</v>
      </c>
      <c r="O421" s="107">
        <f t="shared" si="169"/>
        <v>87.087000000000003</v>
      </c>
      <c r="P421" s="107">
        <f t="shared" si="170"/>
        <v>124.49800000000002</v>
      </c>
      <c r="R421" s="107">
        <f t="shared" si="171"/>
        <v>117.31500000000001</v>
      </c>
      <c r="S421" s="107">
        <f t="shared" si="172"/>
        <v>124.04700000000001</v>
      </c>
      <c r="T421" s="107">
        <f t="shared" si="173"/>
        <v>149.44600000000003</v>
      </c>
      <c r="V421" s="107">
        <f t="shared" si="174"/>
        <v>106.79900000000001</v>
      </c>
      <c r="W421" s="107">
        <f t="shared" si="175"/>
        <v>144.078</v>
      </c>
      <c r="X421" s="107">
        <f t="shared" si="176"/>
        <v>202.983</v>
      </c>
      <c r="Z421" s="107">
        <f t="shared" si="177"/>
        <v>53.823000000000008</v>
      </c>
      <c r="AA421" s="107">
        <f t="shared" si="178"/>
        <v>58.32200000000001</v>
      </c>
      <c r="AB421" s="107">
        <f t="shared" si="179"/>
        <v>98.153000000000006</v>
      </c>
      <c r="AD421" s="107">
        <f t="shared" si="180"/>
        <v>73.7</v>
      </c>
      <c r="AE421" s="107">
        <f t="shared" si="181"/>
        <v>103.4</v>
      </c>
      <c r="AF421" s="107">
        <f t="shared" si="182"/>
        <v>127.60000000000001</v>
      </c>
      <c r="AH421" s="107">
        <v>58.25</v>
      </c>
      <c r="AI421" s="107">
        <v>79.17</v>
      </c>
      <c r="AJ421" s="107">
        <v>113.18</v>
      </c>
      <c r="AK421" s="107">
        <v>106.65</v>
      </c>
      <c r="AL421" s="107">
        <v>112.77</v>
      </c>
      <c r="AM421" s="107">
        <v>135.86000000000001</v>
      </c>
      <c r="AN421" s="107">
        <v>97.09</v>
      </c>
      <c r="AO421" s="107">
        <v>130.97999999999999</v>
      </c>
      <c r="AP421" s="107">
        <v>184.53</v>
      </c>
      <c r="AQ421" s="107">
        <v>48.93</v>
      </c>
      <c r="AR421" s="107">
        <v>53.02</v>
      </c>
      <c r="AS421" s="107">
        <v>89.23</v>
      </c>
      <c r="AT421" s="107">
        <v>67</v>
      </c>
      <c r="AU421" s="107">
        <v>94</v>
      </c>
      <c r="AV421" s="107">
        <v>116</v>
      </c>
    </row>
    <row r="422" spans="1:48" ht="30" customHeight="1" outlineLevel="2">
      <c r="A422" s="116" t="s">
        <v>1057</v>
      </c>
      <c r="B422" s="117" t="s">
        <v>1058</v>
      </c>
      <c r="C422" s="134" t="s">
        <v>242</v>
      </c>
      <c r="E422" s="105">
        <f t="shared" si="189"/>
        <v>53.283999999999999</v>
      </c>
      <c r="F422" s="105">
        <f t="shared" si="190"/>
        <v>83.034599999999998</v>
      </c>
      <c r="G422" s="105">
        <f t="shared" si="191"/>
        <v>117.31500000000001</v>
      </c>
      <c r="H422" s="106"/>
      <c r="I422" s="105">
        <f t="shared" si="192"/>
        <v>97.27300000000001</v>
      </c>
      <c r="J422" s="105">
        <f t="shared" si="193"/>
        <v>140.36000000000001</v>
      </c>
      <c r="K422" s="105">
        <f t="shared" si="194"/>
        <v>202.983</v>
      </c>
      <c r="N422" s="107">
        <f t="shared" si="168"/>
        <v>64.075000000000003</v>
      </c>
      <c r="O422" s="107">
        <f t="shared" si="169"/>
        <v>87.087000000000003</v>
      </c>
      <c r="P422" s="107">
        <f t="shared" si="170"/>
        <v>124.49800000000002</v>
      </c>
      <c r="R422" s="107">
        <f t="shared" si="171"/>
        <v>117.31500000000001</v>
      </c>
      <c r="S422" s="107">
        <f t="shared" si="172"/>
        <v>124.04700000000001</v>
      </c>
      <c r="T422" s="107">
        <f t="shared" si="173"/>
        <v>149.44600000000003</v>
      </c>
      <c r="V422" s="107">
        <f t="shared" si="174"/>
        <v>106.79900000000001</v>
      </c>
      <c r="W422" s="107">
        <f t="shared" si="175"/>
        <v>144.078</v>
      </c>
      <c r="X422" s="107">
        <f t="shared" si="176"/>
        <v>202.983</v>
      </c>
      <c r="Z422" s="107">
        <f t="shared" si="177"/>
        <v>53.283999999999999</v>
      </c>
      <c r="AA422" s="107">
        <f t="shared" si="178"/>
        <v>57.794000000000004</v>
      </c>
      <c r="AB422" s="107">
        <f t="shared" si="179"/>
        <v>97.27300000000001</v>
      </c>
      <c r="AD422" s="107">
        <f t="shared" si="180"/>
        <v>73.7</v>
      </c>
      <c r="AE422" s="107">
        <f t="shared" si="181"/>
        <v>103.4</v>
      </c>
      <c r="AF422" s="107">
        <f t="shared" si="182"/>
        <v>127.60000000000001</v>
      </c>
      <c r="AH422" s="107">
        <v>58.25</v>
      </c>
      <c r="AI422" s="107">
        <v>79.17</v>
      </c>
      <c r="AJ422" s="107">
        <v>113.18</v>
      </c>
      <c r="AK422" s="107">
        <v>106.65</v>
      </c>
      <c r="AL422" s="107">
        <v>112.77</v>
      </c>
      <c r="AM422" s="107">
        <v>135.86000000000001</v>
      </c>
      <c r="AN422" s="107">
        <v>97.09</v>
      </c>
      <c r="AO422" s="107">
        <v>130.97999999999999</v>
      </c>
      <c r="AP422" s="107">
        <v>184.53</v>
      </c>
      <c r="AQ422" s="107">
        <v>48.44</v>
      </c>
      <c r="AR422" s="107">
        <v>52.54</v>
      </c>
      <c r="AS422" s="107">
        <v>88.43</v>
      </c>
      <c r="AT422" s="107">
        <v>67</v>
      </c>
      <c r="AU422" s="107">
        <v>94</v>
      </c>
      <c r="AV422" s="107">
        <v>116</v>
      </c>
    </row>
    <row r="423" spans="1:48" ht="30" customHeight="1" outlineLevel="2">
      <c r="A423" s="116" t="s">
        <v>1059</v>
      </c>
      <c r="B423" s="117" t="s">
        <v>1060</v>
      </c>
      <c r="C423" s="134" t="s">
        <v>242</v>
      </c>
      <c r="E423" s="105">
        <f t="shared" si="189"/>
        <v>38.852000000000004</v>
      </c>
      <c r="F423" s="105">
        <f t="shared" si="190"/>
        <v>72.468000000000004</v>
      </c>
      <c r="G423" s="105">
        <f t="shared" si="191"/>
        <v>129.56900000000002</v>
      </c>
      <c r="H423" s="106"/>
      <c r="I423" s="105">
        <f t="shared" si="192"/>
        <v>78.176999999999992</v>
      </c>
      <c r="J423" s="105">
        <f t="shared" si="193"/>
        <v>127.864</v>
      </c>
      <c r="K423" s="105">
        <f t="shared" si="194"/>
        <v>252.78000000000003</v>
      </c>
      <c r="N423" s="107">
        <f t="shared" si="168"/>
        <v>38.852000000000004</v>
      </c>
      <c r="O423" s="107">
        <f t="shared" si="169"/>
        <v>53.097000000000008</v>
      </c>
      <c r="P423" s="107">
        <f t="shared" si="170"/>
        <v>78.176999999999992</v>
      </c>
      <c r="R423" s="107">
        <f t="shared" si="171"/>
        <v>71.52200000000002</v>
      </c>
      <c r="S423" s="107">
        <f t="shared" si="172"/>
        <v>70.697000000000003</v>
      </c>
      <c r="T423" s="107">
        <f t="shared" si="173"/>
        <v>91.058000000000007</v>
      </c>
      <c r="V423" s="107">
        <f t="shared" si="174"/>
        <v>129.56900000000002</v>
      </c>
      <c r="W423" s="107">
        <f t="shared" si="175"/>
        <v>180.97200000000004</v>
      </c>
      <c r="X423" s="107">
        <f t="shared" si="176"/>
        <v>252.78000000000003</v>
      </c>
      <c r="Z423" s="107">
        <f t="shared" si="177"/>
        <v>48.69700000000001</v>
      </c>
      <c r="AA423" s="107">
        <f t="shared" si="178"/>
        <v>53.306000000000004</v>
      </c>
      <c r="AB423" s="107">
        <f t="shared" si="179"/>
        <v>89.704999999999998</v>
      </c>
      <c r="AD423" s="107">
        <f t="shared" si="180"/>
        <v>73.7</v>
      </c>
      <c r="AE423" s="107">
        <f t="shared" si="181"/>
        <v>103.4</v>
      </c>
      <c r="AF423" s="107">
        <f t="shared" si="182"/>
        <v>127.60000000000001</v>
      </c>
      <c r="AH423" s="107">
        <v>35.32</v>
      </c>
      <c r="AI423" s="107">
        <v>48.27</v>
      </c>
      <c r="AJ423" s="107">
        <v>71.069999999999993</v>
      </c>
      <c r="AK423" s="107">
        <v>65.02000000000001</v>
      </c>
      <c r="AL423" s="107">
        <v>64.27</v>
      </c>
      <c r="AM423" s="107">
        <v>82.78</v>
      </c>
      <c r="AN423" s="107">
        <v>117.79</v>
      </c>
      <c r="AO423" s="107">
        <v>164.52</v>
      </c>
      <c r="AP423" s="107">
        <v>229.8</v>
      </c>
      <c r="AQ423" s="107">
        <v>44.27</v>
      </c>
      <c r="AR423" s="107">
        <v>48.46</v>
      </c>
      <c r="AS423" s="107">
        <v>81.55</v>
      </c>
      <c r="AT423" s="107">
        <v>67</v>
      </c>
      <c r="AU423" s="107">
        <v>94</v>
      </c>
      <c r="AV423" s="107">
        <v>116</v>
      </c>
    </row>
    <row r="424" spans="1:48" ht="30" customHeight="1" outlineLevel="2">
      <c r="A424" s="116" t="s">
        <v>1061</v>
      </c>
      <c r="B424" s="117" t="s">
        <v>1062</v>
      </c>
      <c r="C424" s="134" t="s">
        <v>242</v>
      </c>
      <c r="E424" s="105">
        <f t="shared" si="189"/>
        <v>247.21400000000003</v>
      </c>
      <c r="F424" s="105">
        <f t="shared" si="190"/>
        <v>487.68940000000003</v>
      </c>
      <c r="G424" s="105">
        <f t="shared" si="191"/>
        <v>868.70300000000009</v>
      </c>
      <c r="H424" s="106"/>
      <c r="I424" s="105">
        <f t="shared" si="192"/>
        <v>386.70500000000004</v>
      </c>
      <c r="J424" s="105">
        <f t="shared" si="193"/>
        <v>797.86959999999999</v>
      </c>
      <c r="K424" s="105">
        <f t="shared" si="194"/>
        <v>1442.7160000000001</v>
      </c>
      <c r="N424" s="107">
        <f t="shared" si="168"/>
        <v>247.21400000000003</v>
      </c>
      <c r="O424" s="107">
        <f t="shared" si="169"/>
        <v>303.09400000000005</v>
      </c>
      <c r="P424" s="107">
        <f t="shared" si="170"/>
        <v>386.70500000000004</v>
      </c>
      <c r="R424" s="107">
        <f t="shared" si="171"/>
        <v>469.83200000000005</v>
      </c>
      <c r="S424" s="107">
        <f t="shared" si="172"/>
        <v>480.75500000000005</v>
      </c>
      <c r="T424" s="107">
        <f t="shared" si="173"/>
        <v>508.92600000000004</v>
      </c>
      <c r="V424" s="107">
        <f t="shared" si="174"/>
        <v>513.89800000000002</v>
      </c>
      <c r="W424" s="107">
        <f t="shared" si="175"/>
        <v>803.572</v>
      </c>
      <c r="X424" s="107">
        <f t="shared" si="176"/>
        <v>1093.3010000000002</v>
      </c>
      <c r="Z424" s="107">
        <f t="shared" si="177"/>
        <v>868.70300000000009</v>
      </c>
      <c r="AA424" s="107">
        <f t="shared" si="178"/>
        <v>1206.2819999999999</v>
      </c>
      <c r="AB424" s="107">
        <f t="shared" si="179"/>
        <v>1442.7160000000001</v>
      </c>
      <c r="AD424" s="107">
        <f t="shared" si="180"/>
        <v>338.8</v>
      </c>
      <c r="AE424" s="107">
        <f t="shared" si="181"/>
        <v>471.90000000000003</v>
      </c>
      <c r="AF424" s="107">
        <f t="shared" si="182"/>
        <v>557.70000000000005</v>
      </c>
      <c r="AH424" s="107">
        <v>224.74</v>
      </c>
      <c r="AI424" s="107">
        <v>275.54000000000002</v>
      </c>
      <c r="AJ424" s="107">
        <v>351.55</v>
      </c>
      <c r="AK424" s="107">
        <v>427.12</v>
      </c>
      <c r="AL424" s="107">
        <v>437.05</v>
      </c>
      <c r="AM424" s="107">
        <v>462.66</v>
      </c>
      <c r="AN424" s="107">
        <v>467.18</v>
      </c>
      <c r="AO424" s="107">
        <v>730.52</v>
      </c>
      <c r="AP424" s="107">
        <v>993.91</v>
      </c>
      <c r="AQ424" s="107">
        <v>789.73</v>
      </c>
      <c r="AR424" s="107">
        <v>1096.6199999999999</v>
      </c>
      <c r="AS424" s="107">
        <v>1311.56</v>
      </c>
      <c r="AT424" s="107">
        <v>308</v>
      </c>
      <c r="AU424" s="107">
        <v>429</v>
      </c>
      <c r="AV424" s="107">
        <v>507</v>
      </c>
    </row>
    <row r="425" spans="1:48" ht="30" customHeight="1" outlineLevel="2">
      <c r="A425" s="116" t="s">
        <v>1063</v>
      </c>
      <c r="B425" s="117" t="s">
        <v>1064</v>
      </c>
      <c r="C425" s="134" t="s">
        <v>242</v>
      </c>
      <c r="E425" s="105">
        <f t="shared" si="189"/>
        <v>589.798</v>
      </c>
      <c r="F425" s="105">
        <f t="shared" si="190"/>
        <v>814.97240000000022</v>
      </c>
      <c r="G425" s="105">
        <f t="shared" si="191"/>
        <v>1124.5630000000001</v>
      </c>
      <c r="H425" s="106"/>
      <c r="I425" s="105">
        <f t="shared" si="192"/>
        <v>971.42100000000005</v>
      </c>
      <c r="J425" s="105">
        <f t="shared" si="193"/>
        <v>1184.0422000000003</v>
      </c>
      <c r="K425" s="105">
        <f t="shared" si="194"/>
        <v>1279.7730000000001</v>
      </c>
      <c r="N425" s="107">
        <f t="shared" si="168"/>
        <v>647.42700000000013</v>
      </c>
      <c r="O425" s="107">
        <f t="shared" si="169"/>
        <v>779.99900000000014</v>
      </c>
      <c r="P425" s="107">
        <f t="shared" si="170"/>
        <v>971.42100000000005</v>
      </c>
      <c r="R425" s="107">
        <f t="shared" si="171"/>
        <v>1124.5630000000001</v>
      </c>
      <c r="S425" s="107">
        <f t="shared" si="172"/>
        <v>1205.1600000000001</v>
      </c>
      <c r="T425" s="107">
        <f t="shared" si="173"/>
        <v>1279.7730000000001</v>
      </c>
      <c r="V425" s="107">
        <f t="shared" si="174"/>
        <v>589.798</v>
      </c>
      <c r="W425" s="107">
        <f t="shared" si="175"/>
        <v>926.53</v>
      </c>
      <c r="X425" s="107">
        <f t="shared" si="176"/>
        <v>1259.2909999999999</v>
      </c>
      <c r="Z425" s="107">
        <f t="shared" si="177"/>
        <v>730.77400000000011</v>
      </c>
      <c r="AA425" s="107">
        <f t="shared" si="178"/>
        <v>1013.1880000000001</v>
      </c>
      <c r="AB425" s="107">
        <f t="shared" si="179"/>
        <v>1215.1260000000002</v>
      </c>
      <c r="AD425" s="107">
        <f t="shared" si="180"/>
        <v>982.30000000000007</v>
      </c>
      <c r="AE425" s="107">
        <f t="shared" si="181"/>
        <v>1111</v>
      </c>
      <c r="AF425" s="107">
        <f t="shared" si="182"/>
        <v>1194.6000000000001</v>
      </c>
      <c r="AH425" s="107">
        <v>588.57000000000005</v>
      </c>
      <c r="AI425" s="107">
        <v>709.09</v>
      </c>
      <c r="AJ425" s="107">
        <v>883.11</v>
      </c>
      <c r="AK425" s="107">
        <v>1022.33</v>
      </c>
      <c r="AL425" s="107">
        <v>1095.5999999999999</v>
      </c>
      <c r="AM425" s="107">
        <v>1163.43</v>
      </c>
      <c r="AN425" s="107">
        <v>536.17999999999995</v>
      </c>
      <c r="AO425" s="107">
        <v>842.3</v>
      </c>
      <c r="AP425" s="107">
        <v>1144.81</v>
      </c>
      <c r="AQ425" s="107">
        <v>664.34</v>
      </c>
      <c r="AR425" s="107">
        <v>921.08</v>
      </c>
      <c r="AS425" s="107">
        <v>1104.6600000000001</v>
      </c>
      <c r="AT425" s="107">
        <v>893</v>
      </c>
      <c r="AU425" s="107">
        <v>1010</v>
      </c>
      <c r="AV425" s="107">
        <v>1086</v>
      </c>
    </row>
    <row r="426" spans="1:48" ht="30" customHeight="1" outlineLevel="2">
      <c r="A426" s="116" t="s">
        <v>1065</v>
      </c>
      <c r="B426" s="117" t="s">
        <v>1066</v>
      </c>
      <c r="C426" s="134" t="s">
        <v>242</v>
      </c>
      <c r="E426" s="105">
        <f t="shared" si="189"/>
        <v>276.10000000000002</v>
      </c>
      <c r="F426" s="105">
        <f t="shared" si="190"/>
        <v>422.11620000000005</v>
      </c>
      <c r="G426" s="105">
        <f t="shared" si="191"/>
        <v>588.654</v>
      </c>
      <c r="H426" s="106"/>
      <c r="I426" s="105">
        <f t="shared" si="192"/>
        <v>511.50000000000006</v>
      </c>
      <c r="J426" s="105">
        <f t="shared" si="193"/>
        <v>746.08380000000011</v>
      </c>
      <c r="K426" s="105">
        <f t="shared" si="194"/>
        <v>1123.5070000000001</v>
      </c>
      <c r="N426" s="107">
        <f t="shared" si="168"/>
        <v>588.654</v>
      </c>
      <c r="O426" s="107">
        <f t="shared" si="169"/>
        <v>808.87400000000014</v>
      </c>
      <c r="P426" s="107">
        <f t="shared" si="170"/>
        <v>1123.5070000000001</v>
      </c>
      <c r="R426" s="107">
        <f t="shared" si="171"/>
        <v>488.32300000000004</v>
      </c>
      <c r="S426" s="107">
        <f t="shared" si="172"/>
        <v>612.95300000000009</v>
      </c>
      <c r="T426" s="107">
        <f t="shared" si="173"/>
        <v>716.947</v>
      </c>
      <c r="V426" s="107">
        <f t="shared" si="174"/>
        <v>279.00400000000002</v>
      </c>
      <c r="W426" s="107">
        <f t="shared" si="175"/>
        <v>423.04900000000004</v>
      </c>
      <c r="X426" s="107">
        <f t="shared" si="176"/>
        <v>579.59</v>
      </c>
      <c r="Z426" s="107">
        <f t="shared" si="177"/>
        <v>478.50000000000006</v>
      </c>
      <c r="AA426" s="107">
        <f t="shared" si="178"/>
        <v>660</v>
      </c>
      <c r="AB426" s="107">
        <f t="shared" si="179"/>
        <v>798.87500000000011</v>
      </c>
      <c r="AD426" s="107">
        <f t="shared" si="180"/>
        <v>276.10000000000002</v>
      </c>
      <c r="AE426" s="107">
        <f t="shared" si="181"/>
        <v>420.20000000000005</v>
      </c>
      <c r="AF426" s="107">
        <f t="shared" si="182"/>
        <v>511.50000000000006</v>
      </c>
      <c r="AH426" s="107">
        <v>535.14</v>
      </c>
      <c r="AI426" s="107">
        <v>735.34</v>
      </c>
      <c r="AJ426" s="107">
        <v>1021.37</v>
      </c>
      <c r="AK426" s="107">
        <v>443.93</v>
      </c>
      <c r="AL426" s="107">
        <v>557.23</v>
      </c>
      <c r="AM426" s="107">
        <v>651.77</v>
      </c>
      <c r="AN426" s="107">
        <v>253.64</v>
      </c>
      <c r="AO426" s="107">
        <v>384.59</v>
      </c>
      <c r="AP426" s="107">
        <v>526.9</v>
      </c>
      <c r="AQ426" s="107">
        <v>435</v>
      </c>
      <c r="AR426" s="107">
        <v>600</v>
      </c>
      <c r="AS426" s="107">
        <v>726.25</v>
      </c>
      <c r="AT426" s="107">
        <v>251</v>
      </c>
      <c r="AU426" s="107">
        <v>382</v>
      </c>
      <c r="AV426" s="107">
        <v>465</v>
      </c>
    </row>
    <row r="427" spans="1:48" ht="30" customHeight="1" outlineLevel="2">
      <c r="A427" s="125" t="s">
        <v>1067</v>
      </c>
      <c r="B427" s="117" t="s">
        <v>1068</v>
      </c>
      <c r="C427" s="134" t="s">
        <v>242</v>
      </c>
      <c r="E427" s="105">
        <f t="shared" si="189"/>
        <v>665.83</v>
      </c>
      <c r="F427" s="105">
        <f t="shared" si="190"/>
        <v>1012.2683999999999</v>
      </c>
      <c r="G427" s="105">
        <f t="shared" si="191"/>
        <v>1273.3050000000001</v>
      </c>
      <c r="H427" s="106"/>
      <c r="I427" s="105">
        <f t="shared" si="192"/>
        <v>1425.5890000000002</v>
      </c>
      <c r="J427" s="105">
        <f t="shared" si="193"/>
        <v>1711.3228000000004</v>
      </c>
      <c r="K427" s="105">
        <f t="shared" si="194"/>
        <v>1922.8000000000002</v>
      </c>
      <c r="N427" s="107">
        <f t="shared" si="168"/>
        <v>936.65000000000009</v>
      </c>
      <c r="O427" s="107">
        <f t="shared" si="169"/>
        <v>1244.5180000000003</v>
      </c>
      <c r="P427" s="107">
        <f t="shared" si="170"/>
        <v>1682.3620000000003</v>
      </c>
      <c r="R427" s="107">
        <f t="shared" si="171"/>
        <v>1273.3050000000001</v>
      </c>
      <c r="S427" s="107">
        <f t="shared" si="172"/>
        <v>1432.8050000000001</v>
      </c>
      <c r="T427" s="107">
        <f t="shared" si="173"/>
        <v>1783.43</v>
      </c>
      <c r="V427" s="107">
        <f t="shared" si="174"/>
        <v>665.83</v>
      </c>
      <c r="W427" s="107">
        <f t="shared" si="175"/>
        <v>1049.7190000000001</v>
      </c>
      <c r="X427" s="107">
        <f t="shared" si="176"/>
        <v>1425.5890000000002</v>
      </c>
      <c r="Z427" s="107">
        <f t="shared" si="177"/>
        <v>1050.3570000000002</v>
      </c>
      <c r="AA427" s="107">
        <f t="shared" si="178"/>
        <v>1460.5910000000001</v>
      </c>
      <c r="AB427" s="107">
        <f t="shared" si="179"/>
        <v>1742.4330000000002</v>
      </c>
      <c r="AD427" s="107">
        <f t="shared" si="180"/>
        <v>1135.2</v>
      </c>
      <c r="AE427" s="107">
        <f t="shared" si="181"/>
        <v>1623.6000000000001</v>
      </c>
      <c r="AF427" s="107">
        <f t="shared" si="182"/>
        <v>1922.8000000000002</v>
      </c>
      <c r="AH427" s="107">
        <v>851.5</v>
      </c>
      <c r="AI427" s="107">
        <v>1131.3800000000001</v>
      </c>
      <c r="AJ427" s="107">
        <v>1529.42</v>
      </c>
      <c r="AK427" s="107">
        <v>1157.55</v>
      </c>
      <c r="AL427" s="107">
        <v>1302.55</v>
      </c>
      <c r="AM427" s="107">
        <v>1621.3</v>
      </c>
      <c r="AN427" s="107">
        <v>605.29999999999995</v>
      </c>
      <c r="AO427" s="107">
        <v>954.29</v>
      </c>
      <c r="AP427" s="107">
        <v>1295.99</v>
      </c>
      <c r="AQ427" s="107">
        <v>954.87</v>
      </c>
      <c r="AR427" s="107">
        <v>1327.81</v>
      </c>
      <c r="AS427" s="107">
        <v>1584.03</v>
      </c>
      <c r="AT427" s="107">
        <v>1032</v>
      </c>
      <c r="AU427" s="107">
        <v>1476</v>
      </c>
      <c r="AV427" s="107">
        <v>1748</v>
      </c>
    </row>
    <row r="428" spans="1:48" ht="30" customHeight="1" outlineLevel="2">
      <c r="A428" s="125" t="s">
        <v>1069</v>
      </c>
      <c r="B428" s="117" t="s">
        <v>1070</v>
      </c>
      <c r="C428" s="134" t="s">
        <v>242</v>
      </c>
      <c r="E428" s="105">
        <f t="shared" si="189"/>
        <v>925.55100000000004</v>
      </c>
      <c r="F428" s="105">
        <f t="shared" si="190"/>
        <v>1367.9094</v>
      </c>
      <c r="G428" s="105">
        <f t="shared" si="191"/>
        <v>1761.1660000000002</v>
      </c>
      <c r="H428" s="106"/>
      <c r="I428" s="105">
        <f t="shared" si="192"/>
        <v>1993.596</v>
      </c>
      <c r="J428" s="105">
        <f t="shared" si="193"/>
        <v>2297.7943999999998</v>
      </c>
      <c r="K428" s="105">
        <f t="shared" si="194"/>
        <v>2605.9</v>
      </c>
      <c r="N428" s="107">
        <f t="shared" si="168"/>
        <v>1279.135</v>
      </c>
      <c r="O428" s="107">
        <f t="shared" si="169"/>
        <v>1696.5520000000001</v>
      </c>
      <c r="P428" s="107">
        <f t="shared" si="170"/>
        <v>2288.4180000000001</v>
      </c>
      <c r="R428" s="107">
        <f t="shared" si="171"/>
        <v>1761.1660000000002</v>
      </c>
      <c r="S428" s="107">
        <f t="shared" si="172"/>
        <v>1989.3170000000002</v>
      </c>
      <c r="T428" s="107">
        <f t="shared" si="173"/>
        <v>2472.7780000000002</v>
      </c>
      <c r="V428" s="107">
        <f t="shared" si="174"/>
        <v>925.55100000000004</v>
      </c>
      <c r="W428" s="107">
        <f t="shared" si="175"/>
        <v>1470.4690000000001</v>
      </c>
      <c r="X428" s="107">
        <f t="shared" si="176"/>
        <v>1993.596</v>
      </c>
      <c r="Z428" s="107">
        <f t="shared" si="177"/>
        <v>1284.1950000000002</v>
      </c>
      <c r="AA428" s="107">
        <f t="shared" si="178"/>
        <v>1787.9840000000002</v>
      </c>
      <c r="AB428" s="107">
        <f t="shared" si="179"/>
        <v>2128.2800000000002</v>
      </c>
      <c r="AD428" s="107">
        <f t="shared" si="180"/>
        <v>1589.5000000000002</v>
      </c>
      <c r="AE428" s="107">
        <f t="shared" si="181"/>
        <v>2271.5</v>
      </c>
      <c r="AF428" s="107">
        <f t="shared" si="182"/>
        <v>2605.9</v>
      </c>
      <c r="AH428" s="107">
        <v>1162.8499999999999</v>
      </c>
      <c r="AI428" s="107">
        <v>1542.32</v>
      </c>
      <c r="AJ428" s="107">
        <v>2080.38</v>
      </c>
      <c r="AK428" s="107">
        <v>1601.06</v>
      </c>
      <c r="AL428" s="107">
        <v>1808.47</v>
      </c>
      <c r="AM428" s="107">
        <v>2247.98</v>
      </c>
      <c r="AN428" s="107">
        <v>841.41</v>
      </c>
      <c r="AO428" s="107">
        <v>1336.79</v>
      </c>
      <c r="AP428" s="107">
        <v>1812.36</v>
      </c>
      <c r="AQ428" s="107">
        <v>1167.45</v>
      </c>
      <c r="AR428" s="107">
        <v>1625.44</v>
      </c>
      <c r="AS428" s="107">
        <v>1934.8</v>
      </c>
      <c r="AT428" s="107">
        <v>1445</v>
      </c>
      <c r="AU428" s="107">
        <v>2065</v>
      </c>
      <c r="AV428" s="107">
        <v>2369</v>
      </c>
    </row>
    <row r="429" spans="1:48" ht="30" customHeight="1" outlineLevel="2">
      <c r="A429" s="125" t="s">
        <v>1071</v>
      </c>
      <c r="B429" s="117" t="s">
        <v>1072</v>
      </c>
      <c r="C429" s="134" t="s">
        <v>242</v>
      </c>
      <c r="E429" s="105">
        <f t="shared" si="189"/>
        <v>1195.2930000000001</v>
      </c>
      <c r="F429" s="105">
        <f t="shared" si="190"/>
        <v>1905.1758000000002</v>
      </c>
      <c r="G429" s="105">
        <f t="shared" si="191"/>
        <v>2453.77</v>
      </c>
      <c r="H429" s="106"/>
      <c r="I429" s="105">
        <f t="shared" si="192"/>
        <v>2583.5039999999999</v>
      </c>
      <c r="J429" s="105">
        <f t="shared" si="193"/>
        <v>3197.8254000000002</v>
      </c>
      <c r="K429" s="105">
        <f t="shared" si="194"/>
        <v>3718.0000000000005</v>
      </c>
      <c r="N429" s="107">
        <f t="shared" si="168"/>
        <v>1930.588</v>
      </c>
      <c r="O429" s="107">
        <f t="shared" si="169"/>
        <v>2567.125</v>
      </c>
      <c r="P429" s="107">
        <f t="shared" si="170"/>
        <v>3467.0240000000003</v>
      </c>
      <c r="R429" s="107">
        <f t="shared" si="171"/>
        <v>2453.77</v>
      </c>
      <c r="S429" s="107">
        <f t="shared" si="172"/>
        <v>2778.1600000000003</v>
      </c>
      <c r="T429" s="107">
        <f t="shared" si="173"/>
        <v>3447.9500000000003</v>
      </c>
      <c r="V429" s="107">
        <f t="shared" si="174"/>
        <v>1195.2930000000001</v>
      </c>
      <c r="W429" s="107">
        <f t="shared" si="175"/>
        <v>1907.4330000000002</v>
      </c>
      <c r="X429" s="107">
        <f t="shared" si="176"/>
        <v>2583.5039999999999</v>
      </c>
      <c r="Z429" s="107">
        <f t="shared" si="177"/>
        <v>1674.7280000000001</v>
      </c>
      <c r="AA429" s="107">
        <f t="shared" si="178"/>
        <v>2334.7170000000001</v>
      </c>
      <c r="AB429" s="107">
        <f t="shared" si="179"/>
        <v>2772.6490000000003</v>
      </c>
      <c r="AD429" s="107">
        <f t="shared" si="180"/>
        <v>2271.5</v>
      </c>
      <c r="AE429" s="107">
        <f t="shared" si="181"/>
        <v>3242.8</v>
      </c>
      <c r="AF429" s="107">
        <f t="shared" si="182"/>
        <v>3718.0000000000005</v>
      </c>
      <c r="AH429" s="107">
        <v>1755.08</v>
      </c>
      <c r="AI429" s="107">
        <v>2333.75</v>
      </c>
      <c r="AJ429" s="107">
        <v>3151.84</v>
      </c>
      <c r="AK429" s="107">
        <v>2230.6999999999998</v>
      </c>
      <c r="AL429" s="107">
        <v>2525.6</v>
      </c>
      <c r="AM429" s="107">
        <v>3134.5</v>
      </c>
      <c r="AN429" s="107">
        <v>1086.6300000000001</v>
      </c>
      <c r="AO429" s="107">
        <v>1734.03</v>
      </c>
      <c r="AP429" s="107">
        <v>2348.64</v>
      </c>
      <c r="AQ429" s="107">
        <v>1522.48</v>
      </c>
      <c r="AR429" s="107">
        <v>2122.4699999999998</v>
      </c>
      <c r="AS429" s="107">
        <v>2520.59</v>
      </c>
      <c r="AT429" s="107">
        <v>2065</v>
      </c>
      <c r="AU429" s="107">
        <v>2948</v>
      </c>
      <c r="AV429" s="107">
        <v>3380</v>
      </c>
    </row>
    <row r="430" spans="1:48" ht="30" customHeight="1" outlineLevel="2">
      <c r="A430" s="125" t="s">
        <v>1073</v>
      </c>
      <c r="B430" s="117" t="s">
        <v>1074</v>
      </c>
      <c r="C430" s="134" t="s">
        <v>242</v>
      </c>
      <c r="E430" s="105">
        <f t="shared" si="189"/>
        <v>1574.9580000000001</v>
      </c>
      <c r="F430" s="105">
        <f t="shared" si="190"/>
        <v>3106.8444000000004</v>
      </c>
      <c r="G430" s="105">
        <f t="shared" si="191"/>
        <v>4248.4639999999999</v>
      </c>
      <c r="H430" s="106"/>
      <c r="I430" s="105">
        <f t="shared" si="192"/>
        <v>3413.8389999999999</v>
      </c>
      <c r="J430" s="105">
        <f t="shared" si="193"/>
        <v>5152.2306000000008</v>
      </c>
      <c r="K430" s="105">
        <f t="shared" si="194"/>
        <v>6683.6</v>
      </c>
      <c r="N430" s="107">
        <f t="shared" si="168"/>
        <v>3190.3080000000004</v>
      </c>
      <c r="O430" s="107">
        <f t="shared" si="169"/>
        <v>4221.25</v>
      </c>
      <c r="P430" s="107">
        <f t="shared" si="170"/>
        <v>5675.6040000000012</v>
      </c>
      <c r="R430" s="107">
        <f t="shared" si="171"/>
        <v>4248.4639999999999</v>
      </c>
      <c r="S430" s="107">
        <f t="shared" si="172"/>
        <v>4820.5079999999998</v>
      </c>
      <c r="T430" s="107">
        <f t="shared" si="173"/>
        <v>5969.9420000000009</v>
      </c>
      <c r="V430" s="107">
        <f t="shared" si="174"/>
        <v>1574.9580000000001</v>
      </c>
      <c r="W430" s="107">
        <f t="shared" si="175"/>
        <v>2522.498</v>
      </c>
      <c r="X430" s="107">
        <f t="shared" si="176"/>
        <v>3413.8389999999999</v>
      </c>
      <c r="Z430" s="107">
        <f t="shared" si="177"/>
        <v>2429.5920000000001</v>
      </c>
      <c r="AA430" s="107">
        <f t="shared" si="178"/>
        <v>3391.52</v>
      </c>
      <c r="AB430" s="107">
        <f t="shared" si="179"/>
        <v>4018.1680000000006</v>
      </c>
      <c r="AD430" s="107">
        <f t="shared" si="180"/>
        <v>4090.9000000000005</v>
      </c>
      <c r="AE430" s="107">
        <f t="shared" si="181"/>
        <v>5836.6</v>
      </c>
      <c r="AF430" s="107">
        <f t="shared" si="182"/>
        <v>6683.6</v>
      </c>
      <c r="AH430" s="107">
        <v>2900.28</v>
      </c>
      <c r="AI430" s="107">
        <v>3837.5</v>
      </c>
      <c r="AJ430" s="107">
        <v>5159.6400000000003</v>
      </c>
      <c r="AK430" s="107">
        <v>3862.24</v>
      </c>
      <c r="AL430" s="107">
        <v>4382.28</v>
      </c>
      <c r="AM430" s="107">
        <v>5427.22</v>
      </c>
      <c r="AN430" s="107">
        <v>1431.78</v>
      </c>
      <c r="AO430" s="107">
        <v>2293.1799999999998</v>
      </c>
      <c r="AP430" s="107">
        <v>3103.49</v>
      </c>
      <c r="AQ430" s="107">
        <v>2208.7199999999998</v>
      </c>
      <c r="AR430" s="107">
        <v>3083.2</v>
      </c>
      <c r="AS430" s="107">
        <v>3652.88</v>
      </c>
      <c r="AT430" s="107">
        <v>3719</v>
      </c>
      <c r="AU430" s="107">
        <v>5306</v>
      </c>
      <c r="AV430" s="107">
        <v>6076</v>
      </c>
    </row>
    <row r="431" spans="1:48" ht="30" customHeight="1" outlineLevel="2">
      <c r="A431" s="125" t="s">
        <v>1075</v>
      </c>
      <c r="B431" s="117" t="s">
        <v>1076</v>
      </c>
      <c r="C431" s="134" t="s">
        <v>242</v>
      </c>
      <c r="E431" s="105">
        <f t="shared" si="189"/>
        <v>2893.4949999999999</v>
      </c>
      <c r="F431" s="105">
        <f t="shared" si="190"/>
        <v>4311.0605999999998</v>
      </c>
      <c r="G431" s="105">
        <f t="shared" si="191"/>
        <v>5633.6720000000005</v>
      </c>
      <c r="H431" s="106"/>
      <c r="I431" s="105">
        <f t="shared" si="192"/>
        <v>5271.3760000000002</v>
      </c>
      <c r="J431" s="105">
        <f t="shared" si="193"/>
        <v>7243.2690000000002</v>
      </c>
      <c r="K431" s="105">
        <f t="shared" si="194"/>
        <v>8910</v>
      </c>
      <c r="N431" s="107">
        <f t="shared" si="168"/>
        <v>4383.027000000001</v>
      </c>
      <c r="O431" s="107">
        <f t="shared" si="169"/>
        <v>5808.3850000000011</v>
      </c>
      <c r="P431" s="107">
        <f t="shared" si="170"/>
        <v>7817.1940000000004</v>
      </c>
      <c r="R431" s="107">
        <f t="shared" si="171"/>
        <v>5633.6720000000005</v>
      </c>
      <c r="S431" s="107">
        <f t="shared" si="172"/>
        <v>6398.1940000000004</v>
      </c>
      <c r="T431" s="107">
        <f t="shared" si="173"/>
        <v>7920.286000000001</v>
      </c>
      <c r="V431" s="107">
        <f t="shared" si="174"/>
        <v>2893.4949999999999</v>
      </c>
      <c r="W431" s="107">
        <f t="shared" si="175"/>
        <v>4658.5330000000004</v>
      </c>
      <c r="X431" s="107">
        <f t="shared" si="176"/>
        <v>6297.4890000000005</v>
      </c>
      <c r="Z431" s="107">
        <f t="shared" si="177"/>
        <v>3189.1090000000004</v>
      </c>
      <c r="AA431" s="107">
        <f t="shared" si="178"/>
        <v>4454.8460000000005</v>
      </c>
      <c r="AB431" s="107">
        <f t="shared" si="179"/>
        <v>5271.3760000000002</v>
      </c>
      <c r="AD431" s="107">
        <f t="shared" si="180"/>
        <v>5456</v>
      </c>
      <c r="AE431" s="107">
        <f t="shared" si="181"/>
        <v>7782.5000000000009</v>
      </c>
      <c r="AF431" s="107">
        <f t="shared" si="182"/>
        <v>8910</v>
      </c>
      <c r="AH431" s="107">
        <v>3984.57</v>
      </c>
      <c r="AI431" s="107">
        <v>5280.35</v>
      </c>
      <c r="AJ431" s="107">
        <v>7106.54</v>
      </c>
      <c r="AK431" s="107">
        <v>5121.5200000000004</v>
      </c>
      <c r="AL431" s="107">
        <v>5816.54</v>
      </c>
      <c r="AM431" s="107">
        <v>7200.26</v>
      </c>
      <c r="AN431" s="107">
        <v>2630.45</v>
      </c>
      <c r="AO431" s="107">
        <v>4235.03</v>
      </c>
      <c r="AP431" s="107">
        <v>5724.99</v>
      </c>
      <c r="AQ431" s="107">
        <v>2899.19</v>
      </c>
      <c r="AR431" s="107">
        <v>4049.86</v>
      </c>
      <c r="AS431" s="107">
        <v>4792.16</v>
      </c>
      <c r="AT431" s="107">
        <v>4960</v>
      </c>
      <c r="AU431" s="107">
        <v>7075</v>
      </c>
      <c r="AV431" s="107">
        <v>8100</v>
      </c>
    </row>
    <row r="432" spans="1:48" ht="30" customHeight="1" outlineLevel="2">
      <c r="A432" s="125" t="s">
        <v>1077</v>
      </c>
      <c r="B432" s="117" t="s">
        <v>1078</v>
      </c>
      <c r="C432" s="134" t="s">
        <v>242</v>
      </c>
      <c r="E432" s="105">
        <f t="shared" si="189"/>
        <v>3452.9660000000003</v>
      </c>
      <c r="F432" s="105">
        <f t="shared" si="190"/>
        <v>5658.9654</v>
      </c>
      <c r="G432" s="105">
        <f t="shared" si="191"/>
        <v>7585.1160000000009</v>
      </c>
      <c r="H432" s="106"/>
      <c r="I432" s="105">
        <f t="shared" si="192"/>
        <v>6988.0250000000005</v>
      </c>
      <c r="J432" s="105">
        <f t="shared" si="193"/>
        <v>9460.3123999999989</v>
      </c>
      <c r="K432" s="105">
        <f t="shared" si="194"/>
        <v>11873.400000000001</v>
      </c>
      <c r="N432" s="107">
        <f t="shared" si="168"/>
        <v>5752.9450000000006</v>
      </c>
      <c r="O432" s="107">
        <f t="shared" si="169"/>
        <v>7616.5430000000006</v>
      </c>
      <c r="P432" s="107">
        <f t="shared" si="170"/>
        <v>10241.407000000001</v>
      </c>
      <c r="R432" s="107">
        <f t="shared" si="171"/>
        <v>7585.1160000000009</v>
      </c>
      <c r="S432" s="107">
        <f t="shared" si="172"/>
        <v>8624.2420000000002</v>
      </c>
      <c r="T432" s="107">
        <f t="shared" si="173"/>
        <v>10677.678</v>
      </c>
      <c r="V432" s="107">
        <f t="shared" si="174"/>
        <v>3452.9660000000003</v>
      </c>
      <c r="W432" s="107">
        <f t="shared" si="175"/>
        <v>5564.8779999999997</v>
      </c>
      <c r="X432" s="107">
        <f t="shared" si="176"/>
        <v>7521.0520000000006</v>
      </c>
      <c r="Z432" s="107">
        <f t="shared" si="177"/>
        <v>4229.5</v>
      </c>
      <c r="AA432" s="107">
        <f t="shared" si="178"/>
        <v>5911.4000000000005</v>
      </c>
      <c r="AB432" s="107">
        <f t="shared" si="179"/>
        <v>6988.0250000000005</v>
      </c>
      <c r="AD432" s="107">
        <f t="shared" si="180"/>
        <v>7274.3</v>
      </c>
      <c r="AE432" s="107">
        <f t="shared" si="181"/>
        <v>10374.1</v>
      </c>
      <c r="AF432" s="107">
        <f t="shared" si="182"/>
        <v>11873.400000000001</v>
      </c>
      <c r="AH432" s="107">
        <v>5229.95</v>
      </c>
      <c r="AI432" s="107">
        <v>6924.13</v>
      </c>
      <c r="AJ432" s="107">
        <v>9310.3700000000008</v>
      </c>
      <c r="AK432" s="107">
        <v>6895.56</v>
      </c>
      <c r="AL432" s="107">
        <v>7840.22</v>
      </c>
      <c r="AM432" s="107">
        <v>9706.98</v>
      </c>
      <c r="AN432" s="107">
        <v>3139.06</v>
      </c>
      <c r="AO432" s="107">
        <v>5058.9799999999996</v>
      </c>
      <c r="AP432" s="107">
        <v>6837.32</v>
      </c>
      <c r="AQ432" s="107">
        <v>3845</v>
      </c>
      <c r="AR432" s="107">
        <v>5374</v>
      </c>
      <c r="AS432" s="107">
        <v>6352.75</v>
      </c>
      <c r="AT432" s="107">
        <v>6613</v>
      </c>
      <c r="AU432" s="107">
        <v>9431</v>
      </c>
      <c r="AV432" s="107">
        <v>10794</v>
      </c>
    </row>
    <row r="433" spans="1:48" ht="30" customHeight="1" outlineLevel="1">
      <c r="A433" s="132" t="s">
        <v>1079</v>
      </c>
      <c r="B433" s="133" t="s">
        <v>1080</v>
      </c>
      <c r="C433" s="101"/>
      <c r="N433" s="11" t="str">
        <f t="shared" si="168"/>
        <v/>
      </c>
      <c r="O433" s="11" t="str">
        <f t="shared" si="169"/>
        <v/>
      </c>
      <c r="P433" s="11" t="str">
        <f t="shared" si="170"/>
        <v/>
      </c>
      <c r="R433" s="11" t="str">
        <f t="shared" si="171"/>
        <v/>
      </c>
      <c r="S433" s="11" t="str">
        <f t="shared" si="172"/>
        <v/>
      </c>
      <c r="T433" s="11" t="str">
        <f t="shared" si="173"/>
        <v/>
      </c>
      <c r="V433" s="11" t="str">
        <f t="shared" si="174"/>
        <v/>
      </c>
      <c r="W433" s="11" t="str">
        <f t="shared" si="175"/>
        <v/>
      </c>
      <c r="X433" s="11" t="str">
        <f t="shared" si="176"/>
        <v/>
      </c>
      <c r="Z433" s="11" t="str">
        <f t="shared" si="177"/>
        <v/>
      </c>
      <c r="AA433" s="11" t="str">
        <f t="shared" si="178"/>
        <v/>
      </c>
      <c r="AB433" s="11" t="str">
        <f t="shared" si="179"/>
        <v/>
      </c>
      <c r="AD433" s="11" t="str">
        <f t="shared" si="180"/>
        <v/>
      </c>
      <c r="AE433" s="11" t="str">
        <f t="shared" si="181"/>
        <v/>
      </c>
      <c r="AF433" s="11" t="str">
        <f t="shared" si="182"/>
        <v/>
      </c>
    </row>
    <row r="434" spans="1:48" ht="30" customHeight="1" outlineLevel="2">
      <c r="A434" s="116" t="s">
        <v>1081</v>
      </c>
      <c r="B434" s="117" t="s">
        <v>1082</v>
      </c>
      <c r="C434" s="134" t="s">
        <v>242</v>
      </c>
      <c r="E434" s="105">
        <f t="shared" ref="E434:E442" si="195">MIN(N434,R434,V434,Z434,AD434)</f>
        <v>1299.1000000000001</v>
      </c>
      <c r="F434" s="105">
        <f t="shared" ref="F434:F442" si="196">AVERAGE(N434,R434,V434,Z434,AD434)</f>
        <v>2090.5368000000003</v>
      </c>
      <c r="G434" s="105">
        <f t="shared" ref="G434:G442" si="197">MAX(N434,R434,V434,Z434,AD434)</f>
        <v>2954.413</v>
      </c>
      <c r="H434" s="106"/>
      <c r="I434" s="105">
        <f t="shared" ref="I434:I442" si="198">MIN(T434,X434,AB434,AF434,P434)</f>
        <v>2352.9</v>
      </c>
      <c r="J434" s="105">
        <f t="shared" ref="J434:J442" si="199">AVERAGE(P434,T434,X434,AB434,AF434)</f>
        <v>3668.5814000000005</v>
      </c>
      <c r="K434" s="105">
        <f t="shared" ref="K434:K442" si="200">MAX(P434,T434,X434,AB434,AF434)</f>
        <v>4930.0020000000004</v>
      </c>
      <c r="N434" s="107">
        <f t="shared" si="168"/>
        <v>2245.221</v>
      </c>
      <c r="O434" s="107">
        <f t="shared" si="169"/>
        <v>3013.2300000000005</v>
      </c>
      <c r="P434" s="107">
        <f t="shared" si="170"/>
        <v>4097.9400000000005</v>
      </c>
      <c r="R434" s="107">
        <f t="shared" si="171"/>
        <v>2954.413</v>
      </c>
      <c r="S434" s="107">
        <f t="shared" si="172"/>
        <v>3034.0310000000004</v>
      </c>
      <c r="T434" s="107">
        <f t="shared" si="173"/>
        <v>4171.2440000000006</v>
      </c>
      <c r="V434" s="107">
        <f t="shared" si="174"/>
        <v>2268.2110000000002</v>
      </c>
      <c r="W434" s="107">
        <f t="shared" si="175"/>
        <v>3645.576</v>
      </c>
      <c r="X434" s="107">
        <f t="shared" si="176"/>
        <v>4930.0020000000004</v>
      </c>
      <c r="Z434" s="107">
        <f t="shared" si="177"/>
        <v>1685.739</v>
      </c>
      <c r="AA434" s="107">
        <f t="shared" si="178"/>
        <v>2350.1390000000001</v>
      </c>
      <c r="AB434" s="107">
        <f t="shared" si="179"/>
        <v>2790.8210000000004</v>
      </c>
      <c r="AD434" s="107">
        <f t="shared" si="180"/>
        <v>1299.1000000000001</v>
      </c>
      <c r="AE434" s="107">
        <f t="shared" si="181"/>
        <v>1954.7</v>
      </c>
      <c r="AF434" s="107">
        <f t="shared" si="182"/>
        <v>2352.9</v>
      </c>
      <c r="AH434" s="107">
        <v>2041.11</v>
      </c>
      <c r="AI434" s="107">
        <v>2739.3</v>
      </c>
      <c r="AJ434" s="107">
        <v>3725.4</v>
      </c>
      <c r="AK434" s="107">
        <v>2685.83</v>
      </c>
      <c r="AL434" s="107">
        <v>2758.21</v>
      </c>
      <c r="AM434" s="107">
        <v>3792.04</v>
      </c>
      <c r="AN434" s="107">
        <v>2062.0100000000002</v>
      </c>
      <c r="AO434" s="107">
        <v>3314.16</v>
      </c>
      <c r="AP434" s="107">
        <v>4481.82</v>
      </c>
      <c r="AQ434" s="107">
        <v>1532.49</v>
      </c>
      <c r="AR434" s="107">
        <v>2136.4899999999998</v>
      </c>
      <c r="AS434" s="107">
        <v>2537.11</v>
      </c>
      <c r="AT434" s="107">
        <v>1181</v>
      </c>
      <c r="AU434" s="107">
        <v>1777</v>
      </c>
      <c r="AV434" s="107">
        <v>2139</v>
      </c>
    </row>
    <row r="435" spans="1:48" ht="30" customHeight="1" outlineLevel="2">
      <c r="A435" s="116" t="s">
        <v>1083</v>
      </c>
      <c r="B435" s="117" t="s">
        <v>1084</v>
      </c>
      <c r="C435" s="134" t="s">
        <v>242</v>
      </c>
      <c r="E435" s="105">
        <f t="shared" si="195"/>
        <v>112.36500000000001</v>
      </c>
      <c r="F435" s="105">
        <f t="shared" si="196"/>
        <v>274.34220000000005</v>
      </c>
      <c r="G435" s="105">
        <f t="shared" si="197"/>
        <v>427.90000000000003</v>
      </c>
      <c r="H435" s="106"/>
      <c r="I435" s="105">
        <f t="shared" si="198"/>
        <v>199.13300000000001</v>
      </c>
      <c r="J435" s="105">
        <f t="shared" si="199"/>
        <v>478.73320000000001</v>
      </c>
      <c r="K435" s="105">
        <f t="shared" si="200"/>
        <v>785.40000000000009</v>
      </c>
      <c r="N435" s="107">
        <f t="shared" si="168"/>
        <v>112.36500000000001</v>
      </c>
      <c r="O435" s="107">
        <f t="shared" si="169"/>
        <v>146.33300000000003</v>
      </c>
      <c r="P435" s="107">
        <f t="shared" si="170"/>
        <v>199.13300000000001</v>
      </c>
      <c r="R435" s="107">
        <f t="shared" si="171"/>
        <v>290.851</v>
      </c>
      <c r="S435" s="107">
        <f t="shared" si="172"/>
        <v>356.24600000000004</v>
      </c>
      <c r="T435" s="107">
        <f t="shared" si="173"/>
        <v>420.73900000000003</v>
      </c>
      <c r="V435" s="107">
        <f t="shared" si="174"/>
        <v>219.06500000000003</v>
      </c>
      <c r="W435" s="107">
        <f t="shared" si="175"/>
        <v>325.952</v>
      </c>
      <c r="X435" s="107">
        <f t="shared" si="176"/>
        <v>448.51400000000007</v>
      </c>
      <c r="Z435" s="107">
        <f t="shared" si="177"/>
        <v>321.53000000000003</v>
      </c>
      <c r="AA435" s="107">
        <f t="shared" si="178"/>
        <v>440.24200000000008</v>
      </c>
      <c r="AB435" s="107">
        <f t="shared" si="179"/>
        <v>539.88000000000011</v>
      </c>
      <c r="AD435" s="107">
        <f t="shared" si="180"/>
        <v>427.90000000000003</v>
      </c>
      <c r="AE435" s="107">
        <f t="shared" si="181"/>
        <v>647.90000000000009</v>
      </c>
      <c r="AF435" s="107">
        <f t="shared" si="182"/>
        <v>785.40000000000009</v>
      </c>
      <c r="AH435" s="107">
        <v>102.15</v>
      </c>
      <c r="AI435" s="107">
        <v>133.03</v>
      </c>
      <c r="AJ435" s="107">
        <v>181.03</v>
      </c>
      <c r="AK435" s="107">
        <v>264.40999999999997</v>
      </c>
      <c r="AL435" s="107">
        <v>323.86</v>
      </c>
      <c r="AM435" s="107">
        <v>382.49</v>
      </c>
      <c r="AN435" s="107">
        <v>199.15</v>
      </c>
      <c r="AO435" s="107">
        <v>296.32</v>
      </c>
      <c r="AP435" s="107">
        <v>407.74</v>
      </c>
      <c r="AQ435" s="107">
        <v>292.3</v>
      </c>
      <c r="AR435" s="107">
        <v>400.22</v>
      </c>
      <c r="AS435" s="107">
        <v>490.8</v>
      </c>
      <c r="AT435" s="107">
        <v>389</v>
      </c>
      <c r="AU435" s="107">
        <v>589</v>
      </c>
      <c r="AV435" s="107">
        <v>714</v>
      </c>
    </row>
    <row r="436" spans="1:48" ht="30" customHeight="1" outlineLevel="2">
      <c r="A436" s="116" t="s">
        <v>1085</v>
      </c>
      <c r="B436" s="117" t="s">
        <v>1086</v>
      </c>
      <c r="C436" s="134" t="s">
        <v>242</v>
      </c>
      <c r="E436" s="105">
        <f t="shared" si="195"/>
        <v>109.83500000000001</v>
      </c>
      <c r="F436" s="105">
        <f t="shared" si="196"/>
        <v>228.47660000000002</v>
      </c>
      <c r="G436" s="105">
        <f t="shared" si="197"/>
        <v>366.3</v>
      </c>
      <c r="H436" s="106"/>
      <c r="I436" s="105">
        <f t="shared" si="198"/>
        <v>209.62700000000001</v>
      </c>
      <c r="J436" s="105">
        <f t="shared" si="199"/>
        <v>387.18240000000003</v>
      </c>
      <c r="K436" s="105">
        <f t="shared" si="200"/>
        <v>674.30000000000007</v>
      </c>
      <c r="N436" s="107">
        <f t="shared" si="168"/>
        <v>139.90900000000002</v>
      </c>
      <c r="O436" s="107">
        <f t="shared" si="169"/>
        <v>184.83300000000003</v>
      </c>
      <c r="P436" s="107">
        <f t="shared" si="170"/>
        <v>253.04400000000001</v>
      </c>
      <c r="R436" s="107">
        <f t="shared" si="171"/>
        <v>308.59400000000005</v>
      </c>
      <c r="S436" s="107">
        <f t="shared" si="172"/>
        <v>369.08300000000003</v>
      </c>
      <c r="T436" s="107">
        <f t="shared" si="173"/>
        <v>430.32000000000005</v>
      </c>
      <c r="V436" s="107">
        <f t="shared" si="174"/>
        <v>109.83500000000001</v>
      </c>
      <c r="W436" s="107">
        <f t="shared" si="175"/>
        <v>149.00600000000003</v>
      </c>
      <c r="X436" s="107">
        <f t="shared" si="176"/>
        <v>209.62700000000001</v>
      </c>
      <c r="Z436" s="107">
        <f t="shared" si="177"/>
        <v>217.745</v>
      </c>
      <c r="AA436" s="107">
        <f t="shared" si="178"/>
        <v>294.94300000000004</v>
      </c>
      <c r="AB436" s="107">
        <f t="shared" si="179"/>
        <v>368.62100000000004</v>
      </c>
      <c r="AD436" s="107">
        <f t="shared" si="180"/>
        <v>366.3</v>
      </c>
      <c r="AE436" s="107">
        <f t="shared" si="181"/>
        <v>555.5</v>
      </c>
      <c r="AF436" s="107">
        <f t="shared" si="182"/>
        <v>674.30000000000007</v>
      </c>
      <c r="AH436" s="107">
        <v>127.19</v>
      </c>
      <c r="AI436" s="107">
        <v>168.03</v>
      </c>
      <c r="AJ436" s="107">
        <v>230.04</v>
      </c>
      <c r="AK436" s="107">
        <v>280.54000000000002</v>
      </c>
      <c r="AL436" s="107">
        <v>335.53</v>
      </c>
      <c r="AM436" s="107">
        <v>391.2</v>
      </c>
      <c r="AN436" s="107">
        <v>99.85</v>
      </c>
      <c r="AO436" s="107">
        <v>135.46</v>
      </c>
      <c r="AP436" s="107">
        <v>190.57</v>
      </c>
      <c r="AQ436" s="107">
        <v>197.95</v>
      </c>
      <c r="AR436" s="107">
        <v>268.13</v>
      </c>
      <c r="AS436" s="107">
        <v>335.11</v>
      </c>
      <c r="AT436" s="107">
        <v>333</v>
      </c>
      <c r="AU436" s="107">
        <v>505</v>
      </c>
      <c r="AV436" s="107">
        <v>613</v>
      </c>
    </row>
    <row r="437" spans="1:48" ht="30" customHeight="1" outlineLevel="2">
      <c r="A437" s="116" t="s">
        <v>1087</v>
      </c>
      <c r="B437" s="117" t="s">
        <v>1088</v>
      </c>
      <c r="C437" s="134" t="s">
        <v>242</v>
      </c>
      <c r="E437" s="105">
        <f t="shared" si="195"/>
        <v>245.3</v>
      </c>
      <c r="F437" s="105">
        <f t="shared" si="196"/>
        <v>361.48419999999999</v>
      </c>
      <c r="G437" s="105">
        <f t="shared" si="197"/>
        <v>523.31400000000008</v>
      </c>
      <c r="H437" s="106"/>
      <c r="I437" s="105">
        <f t="shared" si="198"/>
        <v>456.50000000000006</v>
      </c>
      <c r="J437" s="105">
        <f t="shared" si="199"/>
        <v>613.34460000000013</v>
      </c>
      <c r="K437" s="105">
        <f t="shared" si="200"/>
        <v>849.0680000000001</v>
      </c>
      <c r="N437" s="107">
        <f t="shared" si="168"/>
        <v>250.10700000000003</v>
      </c>
      <c r="O437" s="107">
        <f t="shared" si="169"/>
        <v>338.84400000000005</v>
      </c>
      <c r="P437" s="107">
        <f t="shared" si="170"/>
        <v>468.66600000000005</v>
      </c>
      <c r="R437" s="107">
        <f t="shared" si="171"/>
        <v>523.31400000000008</v>
      </c>
      <c r="S437" s="107">
        <f t="shared" si="172"/>
        <v>623.63400000000013</v>
      </c>
      <c r="T437" s="107">
        <f t="shared" si="173"/>
        <v>711.21600000000001</v>
      </c>
      <c r="V437" s="107">
        <f t="shared" si="174"/>
        <v>279.774</v>
      </c>
      <c r="W437" s="107">
        <f t="shared" si="175"/>
        <v>424.30300000000005</v>
      </c>
      <c r="X437" s="107">
        <f t="shared" si="176"/>
        <v>581.27300000000002</v>
      </c>
      <c r="Z437" s="107">
        <f t="shared" si="177"/>
        <v>508.92600000000004</v>
      </c>
      <c r="AA437" s="107">
        <f t="shared" si="178"/>
        <v>702.5920000000001</v>
      </c>
      <c r="AB437" s="107">
        <f t="shared" si="179"/>
        <v>849.0680000000001</v>
      </c>
      <c r="AD437" s="107">
        <f t="shared" si="180"/>
        <v>245.3</v>
      </c>
      <c r="AE437" s="107">
        <f t="shared" si="181"/>
        <v>374.00000000000006</v>
      </c>
      <c r="AF437" s="107">
        <f t="shared" si="182"/>
        <v>456.50000000000006</v>
      </c>
      <c r="AH437" s="107">
        <v>227.37</v>
      </c>
      <c r="AI437" s="107">
        <v>308.04000000000002</v>
      </c>
      <c r="AJ437" s="107">
        <v>426.06</v>
      </c>
      <c r="AK437" s="107">
        <v>475.74</v>
      </c>
      <c r="AL437" s="107">
        <v>566.94000000000005</v>
      </c>
      <c r="AM437" s="107">
        <v>646.55999999999995</v>
      </c>
      <c r="AN437" s="107">
        <v>254.34</v>
      </c>
      <c r="AO437" s="107">
        <v>385.73</v>
      </c>
      <c r="AP437" s="107">
        <v>528.42999999999995</v>
      </c>
      <c r="AQ437" s="107">
        <v>462.66</v>
      </c>
      <c r="AR437" s="107">
        <v>638.72</v>
      </c>
      <c r="AS437" s="107">
        <v>771.88</v>
      </c>
      <c r="AT437" s="107">
        <v>223</v>
      </c>
      <c r="AU437" s="107">
        <v>340</v>
      </c>
      <c r="AV437" s="107">
        <v>415</v>
      </c>
    </row>
    <row r="438" spans="1:48" ht="30" customHeight="1" outlineLevel="2">
      <c r="A438" s="116" t="s">
        <v>1089</v>
      </c>
      <c r="B438" s="117" t="s">
        <v>1090</v>
      </c>
      <c r="C438" s="134" t="s">
        <v>242</v>
      </c>
      <c r="E438" s="105">
        <f t="shared" si="195"/>
        <v>245.3</v>
      </c>
      <c r="F438" s="105">
        <f t="shared" si="196"/>
        <v>360.61960000000005</v>
      </c>
      <c r="G438" s="105">
        <f t="shared" si="197"/>
        <v>508.92600000000004</v>
      </c>
      <c r="H438" s="106"/>
      <c r="I438" s="105">
        <f t="shared" si="198"/>
        <v>456.50000000000006</v>
      </c>
      <c r="J438" s="105">
        <f t="shared" si="199"/>
        <v>625.90880000000004</v>
      </c>
      <c r="K438" s="105">
        <f t="shared" si="200"/>
        <v>849.0680000000001</v>
      </c>
      <c r="N438" s="107">
        <f t="shared" si="168"/>
        <v>250.10700000000003</v>
      </c>
      <c r="O438" s="107">
        <f t="shared" si="169"/>
        <v>338.84400000000005</v>
      </c>
      <c r="P438" s="107">
        <f t="shared" si="170"/>
        <v>468.66600000000005</v>
      </c>
      <c r="R438" s="107">
        <f t="shared" si="171"/>
        <v>466.63100000000003</v>
      </c>
      <c r="S438" s="107">
        <f t="shared" si="172"/>
        <v>569.61300000000006</v>
      </c>
      <c r="T438" s="107">
        <f t="shared" si="173"/>
        <v>659.52700000000016</v>
      </c>
      <c r="V438" s="107">
        <f t="shared" si="174"/>
        <v>332.13400000000001</v>
      </c>
      <c r="W438" s="107">
        <f t="shared" si="175"/>
        <v>509.12400000000002</v>
      </c>
      <c r="X438" s="107">
        <f t="shared" si="176"/>
        <v>695.78300000000002</v>
      </c>
      <c r="Z438" s="107">
        <f t="shared" si="177"/>
        <v>508.92600000000004</v>
      </c>
      <c r="AA438" s="107">
        <f t="shared" si="178"/>
        <v>702.5920000000001</v>
      </c>
      <c r="AB438" s="107">
        <f t="shared" si="179"/>
        <v>849.0680000000001</v>
      </c>
      <c r="AD438" s="107">
        <f t="shared" si="180"/>
        <v>245.3</v>
      </c>
      <c r="AE438" s="107">
        <f t="shared" si="181"/>
        <v>374.00000000000006</v>
      </c>
      <c r="AF438" s="107">
        <f t="shared" si="182"/>
        <v>456.50000000000006</v>
      </c>
      <c r="AH438" s="107">
        <v>227.37</v>
      </c>
      <c r="AI438" s="107">
        <v>308.04000000000002</v>
      </c>
      <c r="AJ438" s="107">
        <v>426.06</v>
      </c>
      <c r="AK438" s="107">
        <v>424.21</v>
      </c>
      <c r="AL438" s="107">
        <v>517.83000000000004</v>
      </c>
      <c r="AM438" s="107">
        <v>599.57000000000005</v>
      </c>
      <c r="AN438" s="107">
        <v>301.94</v>
      </c>
      <c r="AO438" s="107">
        <v>462.84</v>
      </c>
      <c r="AP438" s="107">
        <v>632.53</v>
      </c>
      <c r="AQ438" s="107">
        <v>462.66</v>
      </c>
      <c r="AR438" s="107">
        <v>638.72</v>
      </c>
      <c r="AS438" s="107">
        <v>771.88</v>
      </c>
      <c r="AT438" s="107">
        <v>223</v>
      </c>
      <c r="AU438" s="107">
        <v>340</v>
      </c>
      <c r="AV438" s="107">
        <v>415</v>
      </c>
    </row>
    <row r="439" spans="1:48" ht="30" customHeight="1" outlineLevel="2">
      <c r="A439" s="116" t="s">
        <v>1091</v>
      </c>
      <c r="B439" s="117" t="s">
        <v>1092</v>
      </c>
      <c r="C439" s="134" t="s">
        <v>242</v>
      </c>
      <c r="E439" s="105">
        <f t="shared" si="195"/>
        <v>386.68299999999999</v>
      </c>
      <c r="F439" s="105">
        <f t="shared" si="196"/>
        <v>839.97759999999994</v>
      </c>
      <c r="G439" s="105">
        <f t="shared" si="197"/>
        <v>1308.2740000000001</v>
      </c>
      <c r="H439" s="106"/>
      <c r="I439" s="105">
        <f t="shared" si="198"/>
        <v>763.38900000000012</v>
      </c>
      <c r="J439" s="105">
        <f t="shared" si="199"/>
        <v>1443.2594000000001</v>
      </c>
      <c r="K439" s="105">
        <f t="shared" si="200"/>
        <v>2168.0120000000002</v>
      </c>
      <c r="N439" s="107">
        <f t="shared" si="168"/>
        <v>386.68299999999999</v>
      </c>
      <c r="O439" s="107">
        <f t="shared" si="169"/>
        <v>541.16700000000003</v>
      </c>
      <c r="P439" s="107">
        <f t="shared" si="170"/>
        <v>763.38900000000012</v>
      </c>
      <c r="R439" s="107">
        <f t="shared" si="171"/>
        <v>1083.962</v>
      </c>
      <c r="S439" s="107">
        <f t="shared" si="172"/>
        <v>1295.4370000000001</v>
      </c>
      <c r="T439" s="107">
        <f t="shared" si="173"/>
        <v>1458.0830000000001</v>
      </c>
      <c r="V439" s="107">
        <f t="shared" si="174"/>
        <v>735.66899999999998</v>
      </c>
      <c r="W439" s="107">
        <f t="shared" si="175"/>
        <v>1162.8540000000003</v>
      </c>
      <c r="X439" s="107">
        <f t="shared" si="176"/>
        <v>1578.3130000000001</v>
      </c>
      <c r="Z439" s="107">
        <f t="shared" si="177"/>
        <v>1308.2740000000001</v>
      </c>
      <c r="AA439" s="107">
        <f t="shared" si="178"/>
        <v>1821.6880000000001</v>
      </c>
      <c r="AB439" s="107">
        <f t="shared" si="179"/>
        <v>2168.0120000000002</v>
      </c>
      <c r="AD439" s="107">
        <f t="shared" si="180"/>
        <v>685.30000000000007</v>
      </c>
      <c r="AE439" s="107">
        <f t="shared" si="181"/>
        <v>1034</v>
      </c>
      <c r="AF439" s="107">
        <f t="shared" si="182"/>
        <v>1248.5</v>
      </c>
      <c r="AH439" s="107">
        <v>351.53</v>
      </c>
      <c r="AI439" s="107">
        <v>491.97</v>
      </c>
      <c r="AJ439" s="107">
        <v>693.99</v>
      </c>
      <c r="AK439" s="107">
        <v>985.42</v>
      </c>
      <c r="AL439" s="107">
        <v>1177.67</v>
      </c>
      <c r="AM439" s="107">
        <v>1325.53</v>
      </c>
      <c r="AN439" s="107">
        <v>668.79</v>
      </c>
      <c r="AO439" s="107">
        <v>1057.1400000000001</v>
      </c>
      <c r="AP439" s="107">
        <v>1434.83</v>
      </c>
      <c r="AQ439" s="107">
        <v>1189.3399999999999</v>
      </c>
      <c r="AR439" s="107">
        <v>1656.08</v>
      </c>
      <c r="AS439" s="107">
        <v>1970.92</v>
      </c>
      <c r="AT439" s="107">
        <v>623</v>
      </c>
      <c r="AU439" s="107">
        <v>940</v>
      </c>
      <c r="AV439" s="107">
        <v>1135</v>
      </c>
    </row>
    <row r="440" spans="1:48" ht="30" customHeight="1" outlineLevel="2">
      <c r="A440" s="116" t="s">
        <v>1093</v>
      </c>
      <c r="B440" s="117" t="s">
        <v>1094</v>
      </c>
      <c r="C440" s="134" t="s">
        <v>242</v>
      </c>
      <c r="E440" s="105">
        <f t="shared" si="195"/>
        <v>52.899000000000008</v>
      </c>
      <c r="F440" s="105">
        <f t="shared" si="196"/>
        <v>164.6986</v>
      </c>
      <c r="G440" s="105">
        <f t="shared" si="197"/>
        <v>342.1</v>
      </c>
      <c r="H440" s="106"/>
      <c r="I440" s="105">
        <f t="shared" si="198"/>
        <v>113.322</v>
      </c>
      <c r="J440" s="105">
        <f t="shared" si="199"/>
        <v>294.39960000000002</v>
      </c>
      <c r="K440" s="105">
        <f t="shared" si="200"/>
        <v>630.30000000000007</v>
      </c>
      <c r="N440" s="107">
        <f t="shared" si="168"/>
        <v>52.899000000000008</v>
      </c>
      <c r="O440" s="107">
        <f t="shared" si="169"/>
        <v>75.911000000000016</v>
      </c>
      <c r="P440" s="107">
        <f t="shared" si="170"/>
        <v>113.322</v>
      </c>
      <c r="R440" s="107">
        <f t="shared" si="171"/>
        <v>123.53</v>
      </c>
      <c r="S440" s="107">
        <f t="shared" si="172"/>
        <v>140.78900000000002</v>
      </c>
      <c r="T440" s="107">
        <f t="shared" si="173"/>
        <v>173.19499999999999</v>
      </c>
      <c r="V440" s="107">
        <f t="shared" si="174"/>
        <v>136.37800000000001</v>
      </c>
      <c r="W440" s="107">
        <f t="shared" si="175"/>
        <v>191.994</v>
      </c>
      <c r="X440" s="107">
        <f t="shared" si="176"/>
        <v>267.66300000000001</v>
      </c>
      <c r="Z440" s="107">
        <f t="shared" si="177"/>
        <v>168.58600000000001</v>
      </c>
      <c r="AA440" s="107">
        <f t="shared" si="178"/>
        <v>226.12700000000001</v>
      </c>
      <c r="AB440" s="107">
        <f t="shared" si="179"/>
        <v>287.51800000000003</v>
      </c>
      <c r="AD440" s="107">
        <f t="shared" si="180"/>
        <v>342.1</v>
      </c>
      <c r="AE440" s="107">
        <f t="shared" si="181"/>
        <v>519.20000000000005</v>
      </c>
      <c r="AF440" s="107">
        <f t="shared" si="182"/>
        <v>630.30000000000007</v>
      </c>
      <c r="AH440" s="107">
        <v>48.09</v>
      </c>
      <c r="AI440" s="107">
        <v>69.010000000000005</v>
      </c>
      <c r="AJ440" s="107">
        <v>103.02</v>
      </c>
      <c r="AK440" s="107">
        <v>112.3</v>
      </c>
      <c r="AL440" s="107">
        <v>127.99000000000001</v>
      </c>
      <c r="AM440" s="107">
        <v>157.44999999999999</v>
      </c>
      <c r="AN440" s="107">
        <v>123.98</v>
      </c>
      <c r="AO440" s="107">
        <v>174.54</v>
      </c>
      <c r="AP440" s="107">
        <v>243.33</v>
      </c>
      <c r="AQ440" s="107">
        <v>153.26</v>
      </c>
      <c r="AR440" s="107">
        <v>205.57</v>
      </c>
      <c r="AS440" s="107">
        <v>261.38</v>
      </c>
      <c r="AT440" s="107">
        <v>311</v>
      </c>
      <c r="AU440" s="107">
        <v>472</v>
      </c>
      <c r="AV440" s="107">
        <v>573</v>
      </c>
    </row>
    <row r="441" spans="1:48" ht="30" customHeight="1" outlineLevel="2">
      <c r="A441" s="116" t="s">
        <v>1095</v>
      </c>
      <c r="B441" s="117" t="s">
        <v>1096</v>
      </c>
      <c r="C441" s="134" t="s">
        <v>242</v>
      </c>
      <c r="E441" s="105">
        <f t="shared" si="195"/>
        <v>52.899000000000008</v>
      </c>
      <c r="F441" s="105">
        <f t="shared" si="196"/>
        <v>182.92340000000002</v>
      </c>
      <c r="G441" s="105">
        <f t="shared" si="197"/>
        <v>335.21400000000006</v>
      </c>
      <c r="H441" s="106"/>
      <c r="I441" s="105">
        <f t="shared" si="198"/>
        <v>113.322</v>
      </c>
      <c r="J441" s="105">
        <f t="shared" si="199"/>
        <v>315.53059999999999</v>
      </c>
      <c r="K441" s="105">
        <f t="shared" si="200"/>
        <v>562.452</v>
      </c>
      <c r="N441" s="107">
        <f t="shared" si="168"/>
        <v>52.899000000000008</v>
      </c>
      <c r="O441" s="107">
        <f t="shared" si="169"/>
        <v>75.911000000000016</v>
      </c>
      <c r="P441" s="107">
        <f t="shared" si="170"/>
        <v>113.322</v>
      </c>
      <c r="R441" s="107">
        <f t="shared" si="171"/>
        <v>157.46500000000003</v>
      </c>
      <c r="S441" s="107">
        <f t="shared" si="172"/>
        <v>184.8</v>
      </c>
      <c r="T441" s="107">
        <f t="shared" si="173"/>
        <v>224.10300000000001</v>
      </c>
      <c r="V441" s="107">
        <f t="shared" si="174"/>
        <v>76.439000000000021</v>
      </c>
      <c r="W441" s="107">
        <f t="shared" si="175"/>
        <v>94.897000000000006</v>
      </c>
      <c r="X441" s="107">
        <f t="shared" si="176"/>
        <v>136.57599999999999</v>
      </c>
      <c r="Z441" s="107">
        <f t="shared" si="177"/>
        <v>335.21400000000006</v>
      </c>
      <c r="AA441" s="107">
        <f t="shared" si="178"/>
        <v>459.404</v>
      </c>
      <c r="AB441" s="107">
        <f t="shared" si="179"/>
        <v>562.452</v>
      </c>
      <c r="AD441" s="107">
        <f t="shared" si="180"/>
        <v>292.60000000000002</v>
      </c>
      <c r="AE441" s="107">
        <f t="shared" si="181"/>
        <v>444.40000000000003</v>
      </c>
      <c r="AF441" s="107">
        <f t="shared" si="182"/>
        <v>541.20000000000005</v>
      </c>
      <c r="AH441" s="107">
        <v>48.09</v>
      </c>
      <c r="AI441" s="107">
        <v>69.010000000000005</v>
      </c>
      <c r="AJ441" s="107">
        <v>103.02</v>
      </c>
      <c r="AK441" s="107">
        <v>143.15</v>
      </c>
      <c r="AL441" s="107">
        <v>168</v>
      </c>
      <c r="AM441" s="107">
        <v>203.73</v>
      </c>
      <c r="AN441" s="107">
        <v>69.490000000000009</v>
      </c>
      <c r="AO441" s="107">
        <v>86.27</v>
      </c>
      <c r="AP441" s="107">
        <v>124.16</v>
      </c>
      <c r="AQ441" s="107">
        <v>304.74</v>
      </c>
      <c r="AR441" s="107">
        <v>417.64</v>
      </c>
      <c r="AS441" s="107">
        <v>511.32</v>
      </c>
      <c r="AT441" s="107">
        <v>266</v>
      </c>
      <c r="AU441" s="107">
        <v>404</v>
      </c>
      <c r="AV441" s="107">
        <v>492</v>
      </c>
    </row>
    <row r="442" spans="1:48" ht="30" customHeight="1" outlineLevel="2">
      <c r="A442" s="116" t="s">
        <v>1097</v>
      </c>
      <c r="B442" s="117" t="s">
        <v>1098</v>
      </c>
      <c r="C442" s="134" t="s">
        <v>242</v>
      </c>
      <c r="E442" s="105">
        <f t="shared" si="195"/>
        <v>52.899000000000008</v>
      </c>
      <c r="F442" s="105">
        <f t="shared" si="196"/>
        <v>191.08540000000002</v>
      </c>
      <c r="G442" s="105">
        <f t="shared" si="197"/>
        <v>335.21400000000006</v>
      </c>
      <c r="H442" s="106"/>
      <c r="I442" s="105">
        <f t="shared" si="198"/>
        <v>113.322</v>
      </c>
      <c r="J442" s="105">
        <f t="shared" si="199"/>
        <v>330.1782</v>
      </c>
      <c r="K442" s="105">
        <f t="shared" si="200"/>
        <v>562.452</v>
      </c>
      <c r="N442" s="107">
        <f t="shared" si="168"/>
        <v>52.899000000000008</v>
      </c>
      <c r="O442" s="107">
        <f t="shared" si="169"/>
        <v>75.911000000000016</v>
      </c>
      <c r="P442" s="107">
        <f t="shared" si="170"/>
        <v>113.322</v>
      </c>
      <c r="R442" s="107">
        <f t="shared" si="171"/>
        <v>236.23600000000002</v>
      </c>
      <c r="S442" s="107">
        <f t="shared" si="172"/>
        <v>287.19900000000001</v>
      </c>
      <c r="T442" s="107">
        <f t="shared" si="173"/>
        <v>342.25400000000002</v>
      </c>
      <c r="V442" s="107">
        <f t="shared" si="174"/>
        <v>136.37800000000001</v>
      </c>
      <c r="W442" s="107">
        <f t="shared" si="175"/>
        <v>191.994</v>
      </c>
      <c r="X442" s="107">
        <f t="shared" si="176"/>
        <v>267.66300000000001</v>
      </c>
      <c r="Z442" s="107">
        <f t="shared" si="177"/>
        <v>335.21400000000006</v>
      </c>
      <c r="AA442" s="107">
        <f t="shared" si="178"/>
        <v>459.404</v>
      </c>
      <c r="AB442" s="107">
        <f t="shared" si="179"/>
        <v>562.452</v>
      </c>
      <c r="AD442" s="107">
        <f t="shared" si="180"/>
        <v>194.70000000000002</v>
      </c>
      <c r="AE442" s="107">
        <f t="shared" si="181"/>
        <v>298.10000000000002</v>
      </c>
      <c r="AF442" s="107">
        <f t="shared" si="182"/>
        <v>365.20000000000005</v>
      </c>
      <c r="AH442" s="107">
        <v>48.09</v>
      </c>
      <c r="AI442" s="107">
        <v>69.010000000000005</v>
      </c>
      <c r="AJ442" s="107">
        <v>103.02</v>
      </c>
      <c r="AK442" s="107">
        <v>214.76</v>
      </c>
      <c r="AL442" s="107">
        <v>261.08999999999997</v>
      </c>
      <c r="AM442" s="107">
        <v>311.14</v>
      </c>
      <c r="AN442" s="107">
        <v>123.98</v>
      </c>
      <c r="AO442" s="107">
        <v>174.54</v>
      </c>
      <c r="AP442" s="107">
        <v>243.33</v>
      </c>
      <c r="AQ442" s="107">
        <v>304.74</v>
      </c>
      <c r="AR442" s="107">
        <v>417.64</v>
      </c>
      <c r="AS442" s="107">
        <v>511.32</v>
      </c>
      <c r="AT442" s="107">
        <v>177</v>
      </c>
      <c r="AU442" s="107">
        <v>271</v>
      </c>
      <c r="AV442" s="107">
        <v>332</v>
      </c>
    </row>
    <row r="443" spans="1:48" ht="30" customHeight="1" outlineLevel="1">
      <c r="A443" s="132" t="s">
        <v>1099</v>
      </c>
      <c r="B443" s="133" t="s">
        <v>1100</v>
      </c>
      <c r="C443" s="101"/>
      <c r="N443" s="11" t="str">
        <f t="shared" si="168"/>
        <v/>
      </c>
      <c r="O443" s="11" t="str">
        <f t="shared" si="169"/>
        <v/>
      </c>
      <c r="P443" s="11" t="str">
        <f t="shared" si="170"/>
        <v/>
      </c>
      <c r="R443" s="11" t="str">
        <f t="shared" si="171"/>
        <v/>
      </c>
      <c r="S443" s="11" t="str">
        <f t="shared" si="172"/>
        <v/>
      </c>
      <c r="T443" s="11" t="str">
        <f t="shared" si="173"/>
        <v/>
      </c>
      <c r="V443" s="11" t="str">
        <f t="shared" si="174"/>
        <v/>
      </c>
      <c r="W443" s="11" t="str">
        <f t="shared" si="175"/>
        <v/>
      </c>
      <c r="X443" s="11" t="str">
        <f t="shared" si="176"/>
        <v/>
      </c>
      <c r="Z443" s="11" t="str">
        <f t="shared" si="177"/>
        <v/>
      </c>
      <c r="AA443" s="11" t="str">
        <f t="shared" si="178"/>
        <v/>
      </c>
      <c r="AB443" s="11" t="str">
        <f t="shared" si="179"/>
        <v/>
      </c>
      <c r="AD443" s="11" t="str">
        <f t="shared" si="180"/>
        <v/>
      </c>
      <c r="AE443" s="11" t="str">
        <f t="shared" si="181"/>
        <v/>
      </c>
      <c r="AF443" s="11" t="str">
        <f t="shared" si="182"/>
        <v/>
      </c>
    </row>
    <row r="444" spans="1:48" ht="30" customHeight="1" outlineLevel="2">
      <c r="A444" s="116" t="s">
        <v>1101</v>
      </c>
      <c r="B444" s="117" t="s">
        <v>1102</v>
      </c>
      <c r="C444" s="134" t="s">
        <v>242</v>
      </c>
      <c r="E444" s="105">
        <f>MIN(N444,R444,V444,Z444,AD444)</f>
        <v>245.3</v>
      </c>
      <c r="F444" s="105">
        <f>AVERAGE(N444,R444,V444,Z444,AD444)</f>
        <v>421.11520000000007</v>
      </c>
      <c r="G444" s="105">
        <f>MAX(N444,R444,V444,Z444,AD444)</f>
        <v>605.85800000000006</v>
      </c>
      <c r="H444" s="106"/>
      <c r="I444" s="105">
        <f>MIN(T444,X444,AB444,AF444,P444)</f>
        <v>456.50000000000006</v>
      </c>
      <c r="J444" s="105">
        <f>AVERAGE(P444,T444,X444,AB444,AF444)</f>
        <v>723.19280000000003</v>
      </c>
      <c r="K444" s="105">
        <f>MAX(P444,T444,X444,AB444,AF444)</f>
        <v>908.46800000000007</v>
      </c>
      <c r="N444" s="107">
        <f t="shared" si="168"/>
        <v>393.34899999999999</v>
      </c>
      <c r="O444" s="107">
        <f t="shared" si="169"/>
        <v>539.06600000000003</v>
      </c>
      <c r="P444" s="107">
        <f t="shared" si="170"/>
        <v>748.96800000000007</v>
      </c>
      <c r="R444" s="107">
        <f t="shared" si="171"/>
        <v>605.85800000000006</v>
      </c>
      <c r="S444" s="107">
        <f t="shared" si="172"/>
        <v>734.37100000000009</v>
      </c>
      <c r="T444" s="107">
        <f t="shared" si="173"/>
        <v>841.18100000000015</v>
      </c>
      <c r="V444" s="107">
        <f t="shared" si="174"/>
        <v>316.15100000000007</v>
      </c>
      <c r="W444" s="107">
        <f t="shared" si="175"/>
        <v>483.24100000000004</v>
      </c>
      <c r="X444" s="107">
        <f t="shared" si="176"/>
        <v>660.84699999999998</v>
      </c>
      <c r="Z444" s="107">
        <f t="shared" si="177"/>
        <v>544.91800000000001</v>
      </c>
      <c r="AA444" s="107">
        <f t="shared" si="178"/>
        <v>752.99400000000003</v>
      </c>
      <c r="AB444" s="107">
        <f t="shared" si="179"/>
        <v>908.46800000000007</v>
      </c>
      <c r="AD444" s="107">
        <f t="shared" si="180"/>
        <v>245.3</v>
      </c>
      <c r="AE444" s="107">
        <f t="shared" si="181"/>
        <v>374.00000000000006</v>
      </c>
      <c r="AF444" s="107">
        <f t="shared" si="182"/>
        <v>456.50000000000006</v>
      </c>
      <c r="AH444" s="107">
        <v>357.59</v>
      </c>
      <c r="AI444" s="107">
        <v>490.06</v>
      </c>
      <c r="AJ444" s="107">
        <v>680.88</v>
      </c>
      <c r="AK444" s="107">
        <v>550.78</v>
      </c>
      <c r="AL444" s="107">
        <v>667.61</v>
      </c>
      <c r="AM444" s="107">
        <v>764.71</v>
      </c>
      <c r="AN444" s="107">
        <v>287.41000000000003</v>
      </c>
      <c r="AO444" s="107">
        <v>439.31</v>
      </c>
      <c r="AP444" s="107">
        <v>600.77</v>
      </c>
      <c r="AQ444" s="107">
        <v>495.38</v>
      </c>
      <c r="AR444" s="107">
        <v>684.54</v>
      </c>
      <c r="AS444" s="107">
        <v>825.88</v>
      </c>
      <c r="AT444" s="107">
        <v>223</v>
      </c>
      <c r="AU444" s="107">
        <v>340</v>
      </c>
      <c r="AV444" s="107">
        <v>415</v>
      </c>
    </row>
    <row r="445" spans="1:48" ht="30" customHeight="1" outlineLevel="2" thickBot="1">
      <c r="A445" s="116" t="s">
        <v>1103</v>
      </c>
      <c r="B445" s="117" t="s">
        <v>1104</v>
      </c>
      <c r="C445" s="134" t="s">
        <v>242</v>
      </c>
      <c r="E445" s="105">
        <f>MIN(N445,R445,V445,Z445,AD445)</f>
        <v>80.454000000000008</v>
      </c>
      <c r="F445" s="105">
        <f>AVERAGE(N445,R445,V445,Z445,AD445)</f>
        <v>203.17000000000002</v>
      </c>
      <c r="G445" s="105">
        <f>MAX(N445,R445,V445,Z445,AD445)</f>
        <v>390.50000000000006</v>
      </c>
      <c r="H445" s="106"/>
      <c r="I445" s="105">
        <f>MIN(T445,X445,AB445,AF445,P445)</f>
        <v>167.22200000000004</v>
      </c>
      <c r="J445" s="105">
        <f>AVERAGE(P445,T445,X445,AB445,AF445)</f>
        <v>352.47740000000005</v>
      </c>
      <c r="K445" s="105">
        <f>MAX(P445,T445,X445,AB445,AF445)</f>
        <v>653.67500000000007</v>
      </c>
      <c r="N445" s="107">
        <f t="shared" si="168"/>
        <v>80.454000000000008</v>
      </c>
      <c r="O445" s="107">
        <f t="shared" si="169"/>
        <v>114.42200000000001</v>
      </c>
      <c r="P445" s="107">
        <f t="shared" si="170"/>
        <v>167.22200000000004</v>
      </c>
      <c r="R445" s="107">
        <f t="shared" si="171"/>
        <v>213.81800000000001</v>
      </c>
      <c r="S445" s="107">
        <f t="shared" si="172"/>
        <v>258.00500000000005</v>
      </c>
      <c r="T445" s="107">
        <f t="shared" si="173"/>
        <v>308.62700000000001</v>
      </c>
      <c r="V445" s="107">
        <f t="shared" si="174"/>
        <v>136.37800000000001</v>
      </c>
      <c r="W445" s="107">
        <f t="shared" si="175"/>
        <v>191.994</v>
      </c>
      <c r="X445" s="107">
        <f t="shared" si="176"/>
        <v>267.66300000000001</v>
      </c>
      <c r="Z445" s="107">
        <f t="shared" si="177"/>
        <v>390.50000000000006</v>
      </c>
      <c r="AA445" s="107">
        <f t="shared" si="178"/>
        <v>536.80000000000007</v>
      </c>
      <c r="AB445" s="107">
        <f t="shared" si="179"/>
        <v>653.67500000000007</v>
      </c>
      <c r="AD445" s="107">
        <f t="shared" si="180"/>
        <v>194.70000000000002</v>
      </c>
      <c r="AE445" s="107">
        <f t="shared" si="181"/>
        <v>298.10000000000002</v>
      </c>
      <c r="AF445" s="107">
        <f t="shared" si="182"/>
        <v>365.20000000000005</v>
      </c>
      <c r="AH445" s="107">
        <v>73.14</v>
      </c>
      <c r="AI445" s="107">
        <v>104.02</v>
      </c>
      <c r="AJ445" s="107">
        <v>152.02000000000001</v>
      </c>
      <c r="AK445" s="107">
        <v>194.38</v>
      </c>
      <c r="AL445" s="107">
        <v>234.55</v>
      </c>
      <c r="AM445" s="107">
        <v>280.57</v>
      </c>
      <c r="AN445" s="107">
        <v>123.98</v>
      </c>
      <c r="AO445" s="107">
        <v>174.54</v>
      </c>
      <c r="AP445" s="107">
        <v>243.33</v>
      </c>
      <c r="AQ445" s="107">
        <v>355</v>
      </c>
      <c r="AR445" s="107">
        <v>488</v>
      </c>
      <c r="AS445" s="107">
        <v>594.25</v>
      </c>
      <c r="AT445" s="107">
        <v>177</v>
      </c>
      <c r="AU445" s="107">
        <v>271</v>
      </c>
      <c r="AV445" s="107">
        <v>332</v>
      </c>
    </row>
    <row r="446" spans="1:48" ht="30" customHeight="1" thickBot="1">
      <c r="A446" s="96" t="s">
        <v>1105</v>
      </c>
      <c r="B446" s="115" t="s">
        <v>1106</v>
      </c>
      <c r="C446" s="98"/>
      <c r="N446" s="11" t="str">
        <f t="shared" si="168"/>
        <v/>
      </c>
      <c r="O446" s="11" t="str">
        <f t="shared" si="169"/>
        <v/>
      </c>
      <c r="P446" s="11" t="str">
        <f t="shared" si="170"/>
        <v/>
      </c>
      <c r="R446" s="11" t="str">
        <f t="shared" si="171"/>
        <v/>
      </c>
      <c r="S446" s="11" t="str">
        <f t="shared" si="172"/>
        <v/>
      </c>
      <c r="T446" s="11" t="str">
        <f t="shared" si="173"/>
        <v/>
      </c>
      <c r="V446" s="11" t="str">
        <f t="shared" si="174"/>
        <v/>
      </c>
      <c r="W446" s="11" t="str">
        <f t="shared" si="175"/>
        <v/>
      </c>
      <c r="X446" s="11" t="str">
        <f t="shared" si="176"/>
        <v/>
      </c>
      <c r="Z446" s="11" t="str">
        <f t="shared" si="177"/>
        <v/>
      </c>
      <c r="AA446" s="11" t="str">
        <f t="shared" si="178"/>
        <v/>
      </c>
      <c r="AB446" s="11" t="str">
        <f t="shared" si="179"/>
        <v/>
      </c>
      <c r="AD446" s="11" t="str">
        <f t="shared" si="180"/>
        <v/>
      </c>
      <c r="AE446" s="11" t="str">
        <f t="shared" si="181"/>
        <v/>
      </c>
      <c r="AF446" s="11" t="str">
        <f t="shared" si="182"/>
        <v/>
      </c>
    </row>
    <row r="447" spans="1:48" ht="30" customHeight="1" outlineLevel="1">
      <c r="A447" s="132" t="s">
        <v>1107</v>
      </c>
      <c r="B447" s="133" t="s">
        <v>1108</v>
      </c>
      <c r="C447" s="101"/>
      <c r="N447" s="11" t="str">
        <f t="shared" si="168"/>
        <v/>
      </c>
      <c r="O447" s="11" t="str">
        <f t="shared" si="169"/>
        <v/>
      </c>
      <c r="P447" s="11" t="str">
        <f t="shared" si="170"/>
        <v/>
      </c>
      <c r="R447" s="11" t="str">
        <f t="shared" si="171"/>
        <v/>
      </c>
      <c r="S447" s="11" t="str">
        <f t="shared" si="172"/>
        <v/>
      </c>
      <c r="T447" s="11" t="str">
        <f t="shared" si="173"/>
        <v/>
      </c>
      <c r="V447" s="11" t="str">
        <f t="shared" si="174"/>
        <v/>
      </c>
      <c r="W447" s="11" t="str">
        <f t="shared" si="175"/>
        <v/>
      </c>
      <c r="X447" s="11" t="str">
        <f t="shared" si="176"/>
        <v/>
      </c>
      <c r="Z447" s="11" t="str">
        <f t="shared" si="177"/>
        <v/>
      </c>
      <c r="AA447" s="11" t="str">
        <f t="shared" si="178"/>
        <v/>
      </c>
      <c r="AB447" s="11" t="str">
        <f t="shared" si="179"/>
        <v/>
      </c>
      <c r="AD447" s="11" t="str">
        <f t="shared" si="180"/>
        <v/>
      </c>
      <c r="AE447" s="11" t="str">
        <f t="shared" si="181"/>
        <v/>
      </c>
      <c r="AF447" s="11" t="str">
        <f t="shared" si="182"/>
        <v/>
      </c>
    </row>
    <row r="448" spans="1:48" ht="30" customHeight="1" outlineLevel="2">
      <c r="A448" s="116" t="s">
        <v>1109</v>
      </c>
      <c r="B448" s="117" t="s">
        <v>1110</v>
      </c>
      <c r="C448" s="134" t="s">
        <v>242</v>
      </c>
      <c r="E448" s="105">
        <f t="shared" ref="E448:E455" si="201">MIN(N448,R448,V448,Z448,AD448)</f>
        <v>114.4</v>
      </c>
      <c r="F448" s="105">
        <f t="shared" ref="F448:F455" si="202">AVERAGE(N448,R448,V448,Z448,AD448)</f>
        <v>208.79760000000002</v>
      </c>
      <c r="G448" s="105">
        <f t="shared" ref="G448:G455" si="203">MAX(N448,R448,V448,Z448,AD448)</f>
        <v>305.42600000000004</v>
      </c>
      <c r="H448" s="106"/>
      <c r="I448" s="105">
        <f t="shared" ref="I448:I455" si="204">MIN(T448,X448,AB448,AF448,P448)</f>
        <v>286</v>
      </c>
      <c r="J448" s="105">
        <f t="shared" ref="J448:J455" si="205">AVERAGE(P448,T448,X448,AB448,AF448)</f>
        <v>370.15880000000004</v>
      </c>
      <c r="K448" s="105">
        <f t="shared" ref="K448:K455" si="206">MAX(P448,T448,X448,AB448,AF448)</f>
        <v>447.56800000000004</v>
      </c>
      <c r="N448" s="107">
        <f t="shared" si="168"/>
        <v>187.03300000000002</v>
      </c>
      <c r="O448" s="107">
        <f t="shared" si="169"/>
        <v>253.869</v>
      </c>
      <c r="P448" s="107">
        <f t="shared" si="170"/>
        <v>352.88000000000005</v>
      </c>
      <c r="R448" s="107">
        <f t="shared" si="171"/>
        <v>305.42600000000004</v>
      </c>
      <c r="S448" s="107">
        <f t="shared" si="172"/>
        <v>346.31299999999999</v>
      </c>
      <c r="T448" s="107">
        <f t="shared" si="173"/>
        <v>394.48200000000003</v>
      </c>
      <c r="V448" s="107">
        <f t="shared" si="174"/>
        <v>218.636</v>
      </c>
      <c r="W448" s="107">
        <f t="shared" si="175"/>
        <v>325.25900000000001</v>
      </c>
      <c r="X448" s="107">
        <f t="shared" si="176"/>
        <v>447.56800000000004</v>
      </c>
      <c r="Z448" s="107">
        <f t="shared" si="177"/>
        <v>218.49300000000002</v>
      </c>
      <c r="AA448" s="107">
        <f t="shared" si="178"/>
        <v>295.988</v>
      </c>
      <c r="AB448" s="107">
        <f t="shared" si="179"/>
        <v>369.86400000000003</v>
      </c>
      <c r="AD448" s="107">
        <f t="shared" si="180"/>
        <v>114.4</v>
      </c>
      <c r="AE448" s="107">
        <f t="shared" si="181"/>
        <v>167.20000000000002</v>
      </c>
      <c r="AF448" s="107">
        <f t="shared" si="182"/>
        <v>286</v>
      </c>
      <c r="AH448" s="107">
        <v>170.03</v>
      </c>
      <c r="AI448" s="107">
        <v>230.79</v>
      </c>
      <c r="AJ448" s="107">
        <v>320.8</v>
      </c>
      <c r="AK448" s="107">
        <v>277.66000000000003</v>
      </c>
      <c r="AL448" s="107">
        <v>314.83</v>
      </c>
      <c r="AM448" s="107">
        <v>358.62</v>
      </c>
      <c r="AN448" s="107">
        <v>198.76</v>
      </c>
      <c r="AO448" s="107">
        <v>295.69</v>
      </c>
      <c r="AP448" s="107">
        <v>406.88</v>
      </c>
      <c r="AQ448" s="107">
        <v>198.63</v>
      </c>
      <c r="AR448" s="107">
        <v>269.08</v>
      </c>
      <c r="AS448" s="107">
        <v>336.24</v>
      </c>
      <c r="AT448" s="107">
        <v>104</v>
      </c>
      <c r="AU448" s="107">
        <v>152</v>
      </c>
      <c r="AV448" s="107">
        <v>260</v>
      </c>
    </row>
    <row r="449" spans="1:48" ht="30" customHeight="1" outlineLevel="2">
      <c r="A449" s="116" t="s">
        <v>1111</v>
      </c>
      <c r="B449" s="117" t="s">
        <v>1112</v>
      </c>
      <c r="C449" s="134" t="s">
        <v>242</v>
      </c>
      <c r="E449" s="105">
        <f t="shared" si="201"/>
        <v>250.10700000000003</v>
      </c>
      <c r="F449" s="105">
        <f t="shared" si="202"/>
        <v>367.69039999999995</v>
      </c>
      <c r="G449" s="105">
        <f t="shared" si="203"/>
        <v>463.1</v>
      </c>
      <c r="H449" s="106"/>
      <c r="I449" s="105">
        <f t="shared" si="204"/>
        <v>468.66600000000005</v>
      </c>
      <c r="J449" s="105">
        <f t="shared" si="205"/>
        <v>675.29000000000008</v>
      </c>
      <c r="K449" s="105">
        <f t="shared" si="206"/>
        <v>955.90000000000009</v>
      </c>
      <c r="N449" s="107">
        <f t="shared" si="168"/>
        <v>250.10700000000003</v>
      </c>
      <c r="O449" s="107">
        <f t="shared" si="169"/>
        <v>338.84400000000005</v>
      </c>
      <c r="P449" s="107">
        <f t="shared" si="170"/>
        <v>468.66600000000005</v>
      </c>
      <c r="R449" s="107">
        <f t="shared" si="171"/>
        <v>395.45000000000005</v>
      </c>
      <c r="S449" s="107">
        <f t="shared" si="172"/>
        <v>463.35300000000007</v>
      </c>
      <c r="T449" s="107">
        <f t="shared" si="173"/>
        <v>529.51800000000003</v>
      </c>
      <c r="V449" s="107">
        <f t="shared" si="174"/>
        <v>310.69499999999999</v>
      </c>
      <c r="W449" s="107">
        <f t="shared" si="175"/>
        <v>474.39699999999999</v>
      </c>
      <c r="X449" s="107">
        <f t="shared" si="176"/>
        <v>648.90100000000007</v>
      </c>
      <c r="Z449" s="107">
        <f t="shared" si="177"/>
        <v>463.1</v>
      </c>
      <c r="AA449" s="107">
        <f t="shared" si="178"/>
        <v>638.44000000000005</v>
      </c>
      <c r="AB449" s="107">
        <f t="shared" si="179"/>
        <v>773.46500000000003</v>
      </c>
      <c r="AD449" s="107">
        <f t="shared" si="180"/>
        <v>419.1</v>
      </c>
      <c r="AE449" s="107">
        <f t="shared" si="181"/>
        <v>613.80000000000007</v>
      </c>
      <c r="AF449" s="107">
        <f t="shared" si="182"/>
        <v>955.90000000000009</v>
      </c>
      <c r="AH449" s="107">
        <v>227.37</v>
      </c>
      <c r="AI449" s="107">
        <v>308.04000000000002</v>
      </c>
      <c r="AJ449" s="107">
        <v>426.06</v>
      </c>
      <c r="AK449" s="107">
        <v>359.5</v>
      </c>
      <c r="AL449" s="107">
        <v>421.23</v>
      </c>
      <c r="AM449" s="107">
        <v>481.38</v>
      </c>
      <c r="AN449" s="107">
        <v>282.45</v>
      </c>
      <c r="AO449" s="107">
        <v>431.27</v>
      </c>
      <c r="AP449" s="107">
        <v>589.91</v>
      </c>
      <c r="AQ449" s="107">
        <v>421</v>
      </c>
      <c r="AR449" s="107">
        <v>580.4</v>
      </c>
      <c r="AS449" s="107">
        <v>703.15</v>
      </c>
      <c r="AT449" s="107">
        <v>381</v>
      </c>
      <c r="AU449" s="107">
        <v>558</v>
      </c>
      <c r="AV449" s="107">
        <v>869</v>
      </c>
    </row>
    <row r="450" spans="1:48" ht="30" customHeight="1" outlineLevel="2">
      <c r="A450" s="116" t="s">
        <v>1113</v>
      </c>
      <c r="B450" s="117" t="s">
        <v>1114</v>
      </c>
      <c r="C450" s="134" t="s">
        <v>242</v>
      </c>
      <c r="E450" s="105">
        <f t="shared" si="201"/>
        <v>271.40300000000002</v>
      </c>
      <c r="F450" s="105">
        <f t="shared" si="202"/>
        <v>821.3348000000002</v>
      </c>
      <c r="G450" s="105">
        <f t="shared" si="203"/>
        <v>1236.4660000000001</v>
      </c>
      <c r="H450" s="106"/>
      <c r="I450" s="105">
        <f t="shared" si="204"/>
        <v>562.95799999999997</v>
      </c>
      <c r="J450" s="105">
        <f t="shared" si="205"/>
        <v>1479.3636000000001</v>
      </c>
      <c r="K450" s="105">
        <f t="shared" si="206"/>
        <v>2049.509</v>
      </c>
      <c r="N450" s="107">
        <f t="shared" si="168"/>
        <v>813.30700000000002</v>
      </c>
      <c r="O450" s="107">
        <f t="shared" si="169"/>
        <v>1055.4390000000001</v>
      </c>
      <c r="P450" s="107">
        <f t="shared" si="170"/>
        <v>1400.8720000000001</v>
      </c>
      <c r="R450" s="107">
        <f t="shared" si="171"/>
        <v>1047.3980000000001</v>
      </c>
      <c r="S450" s="107">
        <f t="shared" si="172"/>
        <v>1313.8730000000003</v>
      </c>
      <c r="T450" s="107">
        <f t="shared" si="173"/>
        <v>1513.4790000000003</v>
      </c>
      <c r="V450" s="107">
        <f t="shared" si="174"/>
        <v>271.40300000000002</v>
      </c>
      <c r="W450" s="107">
        <f t="shared" si="175"/>
        <v>410.74</v>
      </c>
      <c r="X450" s="107">
        <f t="shared" si="176"/>
        <v>562.95799999999997</v>
      </c>
      <c r="Z450" s="107">
        <f t="shared" si="177"/>
        <v>1236.4660000000001</v>
      </c>
      <c r="AA450" s="107">
        <f t="shared" si="178"/>
        <v>1721.1480000000001</v>
      </c>
      <c r="AB450" s="107">
        <f t="shared" si="179"/>
        <v>2049.509</v>
      </c>
      <c r="AD450" s="107">
        <f t="shared" si="180"/>
        <v>738.1</v>
      </c>
      <c r="AE450" s="107">
        <f t="shared" si="181"/>
        <v>1100</v>
      </c>
      <c r="AF450" s="107">
        <f t="shared" si="182"/>
        <v>1870.0000000000002</v>
      </c>
      <c r="AH450" s="107">
        <v>739.37</v>
      </c>
      <c r="AI450" s="107">
        <v>959.49</v>
      </c>
      <c r="AJ450" s="107">
        <v>1273.52</v>
      </c>
      <c r="AK450" s="107">
        <v>952.18</v>
      </c>
      <c r="AL450" s="107">
        <v>1194.43</v>
      </c>
      <c r="AM450" s="107">
        <v>1375.89</v>
      </c>
      <c r="AN450" s="107">
        <v>246.73</v>
      </c>
      <c r="AO450" s="107">
        <v>373.4</v>
      </c>
      <c r="AP450" s="107">
        <v>511.78</v>
      </c>
      <c r="AQ450" s="107">
        <v>1124.06</v>
      </c>
      <c r="AR450" s="107">
        <v>1564.68</v>
      </c>
      <c r="AS450" s="107">
        <v>1863.19</v>
      </c>
      <c r="AT450" s="107">
        <v>671</v>
      </c>
      <c r="AU450" s="107">
        <v>1000</v>
      </c>
      <c r="AV450" s="107">
        <v>1700</v>
      </c>
    </row>
    <row r="451" spans="1:48" ht="30" customHeight="1" outlineLevel="2">
      <c r="A451" s="116" t="s">
        <v>1115</v>
      </c>
      <c r="B451" s="117" t="s">
        <v>1116</v>
      </c>
      <c r="C451" s="134" t="s">
        <v>242</v>
      </c>
      <c r="E451" s="105">
        <f t="shared" si="201"/>
        <v>271.40300000000002</v>
      </c>
      <c r="F451" s="105">
        <f t="shared" si="202"/>
        <v>854.69119999999998</v>
      </c>
      <c r="G451" s="105">
        <f t="shared" si="203"/>
        <v>1529.0000000000002</v>
      </c>
      <c r="H451" s="106"/>
      <c r="I451" s="105">
        <f t="shared" si="204"/>
        <v>562.95799999999997</v>
      </c>
      <c r="J451" s="105">
        <f t="shared" si="205"/>
        <v>1541.1418000000001</v>
      </c>
      <c r="K451" s="105">
        <f t="shared" si="206"/>
        <v>2532.2000000000003</v>
      </c>
      <c r="N451" s="107">
        <f t="shared" si="168"/>
        <v>781.40700000000004</v>
      </c>
      <c r="O451" s="107">
        <f t="shared" si="169"/>
        <v>1023.5390000000001</v>
      </c>
      <c r="P451" s="107">
        <f t="shared" si="170"/>
        <v>1368.972</v>
      </c>
      <c r="R451" s="107">
        <f t="shared" si="171"/>
        <v>953.54600000000005</v>
      </c>
      <c r="S451" s="107">
        <f t="shared" si="172"/>
        <v>1191.4430000000002</v>
      </c>
      <c r="T451" s="107">
        <f t="shared" si="173"/>
        <v>1371.5790000000002</v>
      </c>
      <c r="V451" s="107">
        <f t="shared" si="174"/>
        <v>271.40300000000002</v>
      </c>
      <c r="W451" s="107">
        <f t="shared" si="175"/>
        <v>410.74</v>
      </c>
      <c r="X451" s="107">
        <f t="shared" si="176"/>
        <v>562.95799999999997</v>
      </c>
      <c r="Z451" s="107">
        <f t="shared" si="177"/>
        <v>1529.0000000000002</v>
      </c>
      <c r="AA451" s="107">
        <f t="shared" si="178"/>
        <v>2130.7000000000003</v>
      </c>
      <c r="AB451" s="107">
        <f t="shared" si="179"/>
        <v>2532.2000000000003</v>
      </c>
      <c r="AD451" s="107">
        <f t="shared" si="180"/>
        <v>738.1</v>
      </c>
      <c r="AE451" s="107">
        <f t="shared" si="181"/>
        <v>1100</v>
      </c>
      <c r="AF451" s="107">
        <f t="shared" si="182"/>
        <v>1870.0000000000002</v>
      </c>
      <c r="AH451" s="107">
        <v>710.37</v>
      </c>
      <c r="AI451" s="107">
        <v>930.49</v>
      </c>
      <c r="AJ451" s="107">
        <v>1244.52</v>
      </c>
      <c r="AK451" s="107">
        <v>866.86</v>
      </c>
      <c r="AL451" s="107">
        <v>1083.1300000000001</v>
      </c>
      <c r="AM451" s="107">
        <v>1246.8900000000001</v>
      </c>
      <c r="AN451" s="107">
        <v>246.73</v>
      </c>
      <c r="AO451" s="107">
        <v>373.4</v>
      </c>
      <c r="AP451" s="107">
        <v>511.78</v>
      </c>
      <c r="AQ451" s="107">
        <v>1390</v>
      </c>
      <c r="AR451" s="107">
        <v>1937</v>
      </c>
      <c r="AS451" s="107">
        <v>2302</v>
      </c>
      <c r="AT451" s="107">
        <v>671</v>
      </c>
      <c r="AU451" s="107">
        <v>1000</v>
      </c>
      <c r="AV451" s="107">
        <v>1700</v>
      </c>
    </row>
    <row r="452" spans="1:48" ht="30" customHeight="1" outlineLevel="2">
      <c r="A452" s="116" t="s">
        <v>1117</v>
      </c>
      <c r="B452" s="117" t="s">
        <v>1118</v>
      </c>
      <c r="C452" s="134" t="s">
        <v>242</v>
      </c>
      <c r="E452" s="105">
        <f t="shared" si="201"/>
        <v>75.900000000000006</v>
      </c>
      <c r="F452" s="105">
        <f t="shared" si="202"/>
        <v>129.33580000000001</v>
      </c>
      <c r="G452" s="105">
        <f t="shared" si="203"/>
        <v>160.32500000000002</v>
      </c>
      <c r="H452" s="106"/>
      <c r="I452" s="105">
        <f t="shared" si="204"/>
        <v>195.393</v>
      </c>
      <c r="J452" s="105">
        <f t="shared" si="205"/>
        <v>242.0924</v>
      </c>
      <c r="K452" s="105">
        <f t="shared" si="206"/>
        <v>300.86099999999999</v>
      </c>
      <c r="N452" s="107">
        <f t="shared" ref="N452:N515" si="207" xml:space="preserve"> IF(ISBLANK(AH452),"",_k_EIFFAGE * AH452)</f>
        <v>115.98400000000001</v>
      </c>
      <c r="O452" s="107">
        <f t="shared" ref="O452:O515" si="208" xml:space="preserve"> IF(ISBLANK(AI452),"",_k_EIFFAGE * AI452)</f>
        <v>160.90800000000002</v>
      </c>
      <c r="P452" s="107">
        <f t="shared" ref="P452:P515" si="209" xml:space="preserve"> IF(ISBLANK(AJ452),"",_k_EIFFAGE * AJ452)</f>
        <v>229.119</v>
      </c>
      <c r="R452" s="107">
        <f t="shared" ref="R452:R515" si="210" xml:space="preserve"> IF(ISBLANK(AK452),"",_k_ERI * AK452)</f>
        <v>142.91200000000003</v>
      </c>
      <c r="S452" s="107">
        <f t="shared" ref="S452:S515" si="211" xml:space="preserve"> IF(ISBLANK(AL452),"",_k_ERI * AL452)</f>
        <v>161.876</v>
      </c>
      <c r="T452" s="107">
        <f t="shared" ref="T452:T515" si="212" xml:space="preserve"> IF(ISBLANK(AM452),"",_k_ERI * AM452)</f>
        <v>195.393</v>
      </c>
      <c r="V452" s="107">
        <f t="shared" ref="V452:V515" si="213" xml:space="preserve"> IF(ISBLANK(AN452),"",_k_INEO * AN452)</f>
        <v>151.55800000000002</v>
      </c>
      <c r="W452" s="107">
        <f t="shared" ref="W452:W515" si="214" xml:space="preserve"> IF(ISBLANK(AO452),"",_k_INEO * AO452)</f>
        <v>216.59000000000003</v>
      </c>
      <c r="X452" s="107">
        <f t="shared" ref="X452:X515" si="215" xml:space="preserve"> IF(ISBLANK(AP452),"",_k_INEO * AP452)</f>
        <v>300.86099999999999</v>
      </c>
      <c r="Z452" s="107">
        <f t="shared" ref="Z452:Z515" si="216" xml:space="preserve"> IF(ISBLANK(AQ452),"",_k_SDEL * AQ452)</f>
        <v>160.32500000000002</v>
      </c>
      <c r="AA452" s="107">
        <f t="shared" ref="AA452:AA515" si="217" xml:space="preserve"> IF(ISBLANK(AR452),"",_k_SDEL * AR452)</f>
        <v>214.55500000000004</v>
      </c>
      <c r="AB452" s="107">
        <f t="shared" ref="AB452:AB515" si="218" xml:space="preserve"> IF(ISBLANK(AS452),"",_k_SDEL * AS452)</f>
        <v>273.88900000000001</v>
      </c>
      <c r="AD452" s="107">
        <f t="shared" ref="AD452:AD515" si="219" xml:space="preserve"> IF(ISBLANK(AT452),"",_k_SOGETREL * AT452)</f>
        <v>75.900000000000006</v>
      </c>
      <c r="AE452" s="107">
        <f t="shared" ref="AE452:AE515" si="220" xml:space="preserve"> IF(ISBLANK(AU452),"",_k_SOGETREL * AU452)</f>
        <v>119.9</v>
      </c>
      <c r="AF452" s="107">
        <f t="shared" ref="AF452:AF515" si="221" xml:space="preserve"> IF(ISBLANK(AV452),"",_k_SOGETREL * AV452)</f>
        <v>211.20000000000002</v>
      </c>
      <c r="AH452" s="107">
        <v>105.44</v>
      </c>
      <c r="AI452" s="107">
        <v>146.28</v>
      </c>
      <c r="AJ452" s="107">
        <v>208.29</v>
      </c>
      <c r="AK452" s="107">
        <v>129.92000000000002</v>
      </c>
      <c r="AL452" s="107">
        <v>147.16</v>
      </c>
      <c r="AM452" s="107">
        <v>177.63</v>
      </c>
      <c r="AN452" s="107">
        <v>137.78</v>
      </c>
      <c r="AO452" s="107">
        <v>196.9</v>
      </c>
      <c r="AP452" s="107">
        <v>273.51</v>
      </c>
      <c r="AQ452" s="107">
        <v>145.75</v>
      </c>
      <c r="AR452" s="107">
        <v>195.05</v>
      </c>
      <c r="AS452" s="107">
        <v>248.99</v>
      </c>
      <c r="AT452" s="107">
        <v>69</v>
      </c>
      <c r="AU452" s="107">
        <v>109</v>
      </c>
      <c r="AV452" s="107">
        <v>192</v>
      </c>
    </row>
    <row r="453" spans="1:48" ht="30" customHeight="1" outlineLevel="2">
      <c r="A453" s="116" t="s">
        <v>1119</v>
      </c>
      <c r="B453" s="117" t="s">
        <v>1120</v>
      </c>
      <c r="C453" s="134" t="s">
        <v>242</v>
      </c>
      <c r="E453" s="105">
        <f t="shared" si="201"/>
        <v>187.92400000000001</v>
      </c>
      <c r="F453" s="105">
        <f t="shared" si="202"/>
        <v>278.99520000000001</v>
      </c>
      <c r="G453" s="105">
        <f t="shared" si="203"/>
        <v>402.6</v>
      </c>
      <c r="H453" s="106"/>
      <c r="I453" s="105">
        <f t="shared" si="204"/>
        <v>262.911</v>
      </c>
      <c r="J453" s="105">
        <f t="shared" si="205"/>
        <v>532.63760000000002</v>
      </c>
      <c r="K453" s="105">
        <f t="shared" si="206"/>
        <v>888.80000000000007</v>
      </c>
      <c r="N453" s="107">
        <f t="shared" si="207"/>
        <v>226.18200000000002</v>
      </c>
      <c r="O453" s="107">
        <f t="shared" si="208"/>
        <v>314.91900000000004</v>
      </c>
      <c r="P453" s="107">
        <f t="shared" si="209"/>
        <v>444.74100000000004</v>
      </c>
      <c r="R453" s="107">
        <f t="shared" si="210"/>
        <v>187.92400000000001</v>
      </c>
      <c r="S453" s="107">
        <f t="shared" si="211"/>
        <v>220.38500000000002</v>
      </c>
      <c r="T453" s="107">
        <f t="shared" si="212"/>
        <v>262.911</v>
      </c>
      <c r="V453" s="107">
        <f t="shared" si="213"/>
        <v>249.20500000000004</v>
      </c>
      <c r="W453" s="107">
        <f t="shared" si="214"/>
        <v>374.78100000000001</v>
      </c>
      <c r="X453" s="107">
        <f t="shared" si="215"/>
        <v>514.42600000000004</v>
      </c>
      <c r="Z453" s="107">
        <f t="shared" si="216"/>
        <v>329.065</v>
      </c>
      <c r="AA453" s="107">
        <f t="shared" si="217"/>
        <v>450.79100000000005</v>
      </c>
      <c r="AB453" s="107">
        <f t="shared" si="218"/>
        <v>552.31000000000006</v>
      </c>
      <c r="AD453" s="107">
        <f t="shared" si="219"/>
        <v>402.6</v>
      </c>
      <c r="AE453" s="107">
        <f t="shared" si="220"/>
        <v>609.40000000000009</v>
      </c>
      <c r="AF453" s="107">
        <f t="shared" si="221"/>
        <v>888.80000000000007</v>
      </c>
      <c r="AH453" s="107">
        <v>205.62</v>
      </c>
      <c r="AI453" s="107">
        <v>286.29000000000002</v>
      </c>
      <c r="AJ453" s="107">
        <v>404.31</v>
      </c>
      <c r="AK453" s="107">
        <v>170.84</v>
      </c>
      <c r="AL453" s="107">
        <v>200.35</v>
      </c>
      <c r="AM453" s="107">
        <v>239.01</v>
      </c>
      <c r="AN453" s="107">
        <v>226.55</v>
      </c>
      <c r="AO453" s="107">
        <v>340.71</v>
      </c>
      <c r="AP453" s="107">
        <v>467.66</v>
      </c>
      <c r="AQ453" s="107">
        <v>299.14999999999998</v>
      </c>
      <c r="AR453" s="107">
        <v>409.81</v>
      </c>
      <c r="AS453" s="107">
        <v>502.1</v>
      </c>
      <c r="AT453" s="107">
        <v>366</v>
      </c>
      <c r="AU453" s="107">
        <v>554</v>
      </c>
      <c r="AV453" s="107">
        <v>808</v>
      </c>
    </row>
    <row r="454" spans="1:48" ht="30" customHeight="1" outlineLevel="2">
      <c r="A454" s="116" t="s">
        <v>1121</v>
      </c>
      <c r="B454" s="117" t="s">
        <v>1122</v>
      </c>
      <c r="C454" s="134" t="s">
        <v>242</v>
      </c>
      <c r="E454" s="105">
        <f t="shared" si="201"/>
        <v>85.426000000000002</v>
      </c>
      <c r="F454" s="105">
        <f t="shared" si="202"/>
        <v>457.80020000000002</v>
      </c>
      <c r="G454" s="105">
        <f t="shared" si="203"/>
        <v>918.50000000000011</v>
      </c>
      <c r="H454" s="106"/>
      <c r="I454" s="105">
        <f t="shared" si="204"/>
        <v>156.244</v>
      </c>
      <c r="J454" s="105">
        <f t="shared" si="205"/>
        <v>859.08240000000001</v>
      </c>
      <c r="K454" s="105">
        <f t="shared" si="206"/>
        <v>1524.8750000000002</v>
      </c>
      <c r="N454" s="107">
        <f t="shared" si="207"/>
        <v>171.08300000000003</v>
      </c>
      <c r="O454" s="107">
        <f t="shared" si="208"/>
        <v>237.91900000000001</v>
      </c>
      <c r="P454" s="107">
        <f t="shared" si="209"/>
        <v>336.93000000000006</v>
      </c>
      <c r="R454" s="107">
        <f t="shared" si="210"/>
        <v>543.0920000000001</v>
      </c>
      <c r="S454" s="107">
        <f t="shared" si="211"/>
        <v>681.67000000000007</v>
      </c>
      <c r="T454" s="107">
        <f t="shared" si="212"/>
        <v>795.66300000000012</v>
      </c>
      <c r="V454" s="107">
        <f t="shared" si="213"/>
        <v>85.426000000000002</v>
      </c>
      <c r="W454" s="107">
        <f t="shared" si="214"/>
        <v>109.46100000000001</v>
      </c>
      <c r="X454" s="107">
        <f t="shared" si="215"/>
        <v>156.244</v>
      </c>
      <c r="Z454" s="107">
        <f t="shared" si="216"/>
        <v>918.50000000000011</v>
      </c>
      <c r="AA454" s="107">
        <f t="shared" si="217"/>
        <v>1276</v>
      </c>
      <c r="AB454" s="107">
        <f t="shared" si="218"/>
        <v>1524.8750000000002</v>
      </c>
      <c r="AD454" s="107">
        <f t="shared" si="219"/>
        <v>570.90000000000009</v>
      </c>
      <c r="AE454" s="107">
        <f t="shared" si="220"/>
        <v>862.40000000000009</v>
      </c>
      <c r="AF454" s="107">
        <f t="shared" si="221"/>
        <v>1481.7</v>
      </c>
      <c r="AH454" s="107">
        <v>155.53</v>
      </c>
      <c r="AI454" s="107">
        <v>216.29</v>
      </c>
      <c r="AJ454" s="107">
        <v>306.3</v>
      </c>
      <c r="AK454" s="107">
        <v>493.72</v>
      </c>
      <c r="AL454" s="107">
        <v>619.70000000000005</v>
      </c>
      <c r="AM454" s="107">
        <v>723.33</v>
      </c>
      <c r="AN454" s="107">
        <v>77.66</v>
      </c>
      <c r="AO454" s="107">
        <v>99.51</v>
      </c>
      <c r="AP454" s="107">
        <v>142.04</v>
      </c>
      <c r="AQ454" s="107">
        <v>835</v>
      </c>
      <c r="AR454" s="107">
        <v>1160</v>
      </c>
      <c r="AS454" s="107">
        <v>1386.25</v>
      </c>
      <c r="AT454" s="107">
        <v>519</v>
      </c>
      <c r="AU454" s="107">
        <v>784</v>
      </c>
      <c r="AV454" s="107">
        <v>1347</v>
      </c>
    </row>
    <row r="455" spans="1:48" ht="30" customHeight="1" outlineLevel="2">
      <c r="A455" s="116" t="s">
        <v>1123</v>
      </c>
      <c r="B455" s="117" t="s">
        <v>1124</v>
      </c>
      <c r="C455" s="134" t="s">
        <v>242</v>
      </c>
      <c r="E455" s="105">
        <f t="shared" si="201"/>
        <v>392.19400000000007</v>
      </c>
      <c r="F455" s="105">
        <f t="shared" si="202"/>
        <v>928.36040000000014</v>
      </c>
      <c r="G455" s="105">
        <f t="shared" si="203"/>
        <v>1881.0000000000002</v>
      </c>
      <c r="H455" s="106"/>
      <c r="I455" s="105">
        <f t="shared" si="204"/>
        <v>716.1880000000001</v>
      </c>
      <c r="J455" s="105">
        <f t="shared" si="205"/>
        <v>1700.0588000000002</v>
      </c>
      <c r="K455" s="105">
        <f t="shared" si="206"/>
        <v>3113.0000000000005</v>
      </c>
      <c r="N455" s="107">
        <f t="shared" si="207"/>
        <v>392.19400000000007</v>
      </c>
      <c r="O455" s="107">
        <f t="shared" si="208"/>
        <v>524.76600000000008</v>
      </c>
      <c r="P455" s="107">
        <f t="shared" si="209"/>
        <v>716.1880000000001</v>
      </c>
      <c r="R455" s="107">
        <f t="shared" si="210"/>
        <v>1079.0780000000002</v>
      </c>
      <c r="S455" s="107">
        <f t="shared" si="211"/>
        <v>1357.5319999999999</v>
      </c>
      <c r="T455" s="107">
        <f t="shared" si="212"/>
        <v>1564.288</v>
      </c>
      <c r="V455" s="107">
        <f t="shared" si="213"/>
        <v>497.53000000000003</v>
      </c>
      <c r="W455" s="107">
        <f t="shared" si="214"/>
        <v>777.07299999999998</v>
      </c>
      <c r="X455" s="107">
        <f t="shared" si="215"/>
        <v>1057.518</v>
      </c>
      <c r="Z455" s="107">
        <f t="shared" si="216"/>
        <v>1881.0000000000002</v>
      </c>
      <c r="AA455" s="107">
        <f t="shared" si="217"/>
        <v>2623.5</v>
      </c>
      <c r="AB455" s="107">
        <f t="shared" si="218"/>
        <v>3113.0000000000005</v>
      </c>
      <c r="AD455" s="107">
        <f t="shared" si="219"/>
        <v>792.00000000000011</v>
      </c>
      <c r="AE455" s="107">
        <f t="shared" si="220"/>
        <v>1193.5</v>
      </c>
      <c r="AF455" s="107">
        <f t="shared" si="221"/>
        <v>2049.3000000000002</v>
      </c>
      <c r="AH455" s="107">
        <v>356.54</v>
      </c>
      <c r="AI455" s="107">
        <v>477.06</v>
      </c>
      <c r="AJ455" s="107">
        <v>651.08000000000004</v>
      </c>
      <c r="AK455" s="107">
        <v>980.98</v>
      </c>
      <c r="AL455" s="107">
        <v>1234.1199999999999</v>
      </c>
      <c r="AM455" s="107">
        <v>1422.08</v>
      </c>
      <c r="AN455" s="107">
        <v>452.3</v>
      </c>
      <c r="AO455" s="107">
        <v>706.43</v>
      </c>
      <c r="AP455" s="107">
        <v>961.38</v>
      </c>
      <c r="AQ455" s="107">
        <v>1710</v>
      </c>
      <c r="AR455" s="107">
        <v>2385</v>
      </c>
      <c r="AS455" s="107">
        <v>2830</v>
      </c>
      <c r="AT455" s="107">
        <v>720</v>
      </c>
      <c r="AU455" s="107">
        <v>1085</v>
      </c>
      <c r="AV455" s="107">
        <v>1863</v>
      </c>
    </row>
    <row r="456" spans="1:48" ht="30" customHeight="1" outlineLevel="1">
      <c r="A456" s="132" t="s">
        <v>1125</v>
      </c>
      <c r="B456" s="133" t="s">
        <v>1126</v>
      </c>
      <c r="C456" s="101"/>
      <c r="N456" s="11" t="str">
        <f t="shared" si="207"/>
        <v/>
      </c>
      <c r="O456" s="11" t="str">
        <f t="shared" si="208"/>
        <v/>
      </c>
      <c r="P456" s="11" t="str">
        <f t="shared" si="209"/>
        <v/>
      </c>
      <c r="R456" s="11" t="str">
        <f t="shared" si="210"/>
        <v/>
      </c>
      <c r="S456" s="11" t="str">
        <f t="shared" si="211"/>
        <v/>
      </c>
      <c r="T456" s="11" t="str">
        <f t="shared" si="212"/>
        <v/>
      </c>
      <c r="V456" s="11" t="str">
        <f t="shared" si="213"/>
        <v/>
      </c>
      <c r="W456" s="11" t="str">
        <f t="shared" si="214"/>
        <v/>
      </c>
      <c r="X456" s="11" t="str">
        <f t="shared" si="215"/>
        <v/>
      </c>
      <c r="Z456" s="11" t="str">
        <f t="shared" si="216"/>
        <v/>
      </c>
      <c r="AA456" s="11" t="str">
        <f t="shared" si="217"/>
        <v/>
      </c>
      <c r="AB456" s="11" t="str">
        <f t="shared" si="218"/>
        <v/>
      </c>
      <c r="AD456" s="11" t="str">
        <f t="shared" si="219"/>
        <v/>
      </c>
      <c r="AE456" s="11" t="str">
        <f t="shared" si="220"/>
        <v/>
      </c>
      <c r="AF456" s="11" t="str">
        <f t="shared" si="221"/>
        <v/>
      </c>
    </row>
    <row r="457" spans="1:48" ht="30" customHeight="1" outlineLevel="2">
      <c r="A457" s="116" t="s">
        <v>1127</v>
      </c>
      <c r="B457" s="117" t="s">
        <v>1128</v>
      </c>
      <c r="C457" s="134" t="s">
        <v>242</v>
      </c>
      <c r="E457" s="105">
        <f t="shared" ref="E457:E475" si="222">MIN(N457,R457,V457,Z457,AD457)</f>
        <v>151.33799999999999</v>
      </c>
      <c r="F457" s="105">
        <f t="shared" ref="F457:F475" si="223">AVERAGE(N457,R457,V457,Z457,AD457)</f>
        <v>224.72120000000001</v>
      </c>
      <c r="G457" s="105">
        <f t="shared" ref="G457:G475" si="224">MAX(N457,R457,V457,Z457,AD457)</f>
        <v>340.82400000000001</v>
      </c>
      <c r="H457" s="106"/>
      <c r="I457" s="105">
        <f t="shared" ref="I457:I475" si="225">MIN(T457,X457,AB457,AF457,P457)</f>
        <v>281.60000000000002</v>
      </c>
      <c r="J457" s="105">
        <f t="shared" ref="J457:J475" si="226">AVERAGE(P457,T457,X457,AB457,AF457)</f>
        <v>377.01840000000004</v>
      </c>
      <c r="K457" s="105">
        <f t="shared" ref="K457:K475" si="227">MAX(P457,T457,X457,AB457,AF457)</f>
        <v>464.75000000000006</v>
      </c>
      <c r="N457" s="107">
        <f t="shared" si="207"/>
        <v>242.13200000000003</v>
      </c>
      <c r="O457" s="107">
        <f t="shared" si="208"/>
        <v>330.86900000000003</v>
      </c>
      <c r="P457" s="107">
        <f t="shared" si="209"/>
        <v>460.69100000000003</v>
      </c>
      <c r="R457" s="107">
        <f t="shared" si="210"/>
        <v>340.82400000000001</v>
      </c>
      <c r="S457" s="107">
        <f t="shared" si="211"/>
        <v>402.64400000000006</v>
      </c>
      <c r="T457" s="107">
        <f t="shared" si="212"/>
        <v>464.75000000000006</v>
      </c>
      <c r="V457" s="107">
        <f t="shared" si="213"/>
        <v>151.33799999999999</v>
      </c>
      <c r="W457" s="107">
        <f t="shared" si="214"/>
        <v>216.23800000000003</v>
      </c>
      <c r="X457" s="107">
        <f t="shared" si="215"/>
        <v>300.399</v>
      </c>
      <c r="Z457" s="107">
        <f t="shared" si="216"/>
        <v>223.21200000000002</v>
      </c>
      <c r="AA457" s="107">
        <f t="shared" si="217"/>
        <v>302.59899999999999</v>
      </c>
      <c r="AB457" s="107">
        <f t="shared" si="218"/>
        <v>377.65200000000004</v>
      </c>
      <c r="AD457" s="107">
        <f t="shared" si="219"/>
        <v>166.10000000000002</v>
      </c>
      <c r="AE457" s="107">
        <f t="shared" si="220"/>
        <v>234.3</v>
      </c>
      <c r="AF457" s="107">
        <f t="shared" si="221"/>
        <v>281.60000000000002</v>
      </c>
      <c r="AH457" s="107">
        <v>220.12</v>
      </c>
      <c r="AI457" s="107">
        <v>300.79000000000002</v>
      </c>
      <c r="AJ457" s="107">
        <v>418.81</v>
      </c>
      <c r="AK457" s="107">
        <v>309.83999999999997</v>
      </c>
      <c r="AL457" s="107">
        <v>366.04</v>
      </c>
      <c r="AM457" s="107">
        <v>422.5</v>
      </c>
      <c r="AN457" s="107">
        <v>137.57999999999998</v>
      </c>
      <c r="AO457" s="107">
        <v>196.58</v>
      </c>
      <c r="AP457" s="107">
        <v>273.08999999999997</v>
      </c>
      <c r="AQ457" s="107">
        <v>202.92</v>
      </c>
      <c r="AR457" s="107">
        <v>275.08999999999997</v>
      </c>
      <c r="AS457" s="107">
        <v>343.32</v>
      </c>
      <c r="AT457" s="107">
        <v>151</v>
      </c>
      <c r="AU457" s="107">
        <v>213</v>
      </c>
      <c r="AV457" s="107">
        <v>256</v>
      </c>
    </row>
    <row r="458" spans="1:48" ht="30" customHeight="1" outlineLevel="2">
      <c r="A458" s="116" t="s">
        <v>1129</v>
      </c>
      <c r="B458" s="117" t="s">
        <v>1130</v>
      </c>
      <c r="C458" s="134" t="s">
        <v>242</v>
      </c>
      <c r="E458" s="105">
        <f t="shared" si="222"/>
        <v>269.5</v>
      </c>
      <c r="F458" s="105">
        <f t="shared" si="223"/>
        <v>379.99280000000005</v>
      </c>
      <c r="G458" s="105">
        <f t="shared" si="224"/>
        <v>580.53600000000006</v>
      </c>
      <c r="H458" s="106"/>
      <c r="I458" s="105">
        <f t="shared" si="225"/>
        <v>467.50000000000006</v>
      </c>
      <c r="J458" s="105">
        <f t="shared" si="226"/>
        <v>630.37700000000007</v>
      </c>
      <c r="K458" s="105">
        <f t="shared" si="227"/>
        <v>726.96800000000007</v>
      </c>
      <c r="N458" s="107">
        <f t="shared" si="207"/>
        <v>376.24400000000003</v>
      </c>
      <c r="O458" s="107">
        <f t="shared" si="208"/>
        <v>508.81600000000003</v>
      </c>
      <c r="P458" s="107">
        <f t="shared" si="209"/>
        <v>700.23800000000006</v>
      </c>
      <c r="R458" s="107">
        <f t="shared" si="210"/>
        <v>580.53600000000006</v>
      </c>
      <c r="S458" s="107">
        <f t="shared" si="211"/>
        <v>655.85300000000007</v>
      </c>
      <c r="T458" s="107">
        <f t="shared" si="212"/>
        <v>726.96800000000007</v>
      </c>
      <c r="V458" s="107">
        <f t="shared" si="213"/>
        <v>310.68400000000003</v>
      </c>
      <c r="W458" s="107">
        <f t="shared" si="214"/>
        <v>474.38600000000002</v>
      </c>
      <c r="X458" s="107">
        <f t="shared" si="215"/>
        <v>648.87900000000002</v>
      </c>
      <c r="Z458" s="107">
        <f t="shared" si="216"/>
        <v>363.00000000000006</v>
      </c>
      <c r="AA458" s="107">
        <f t="shared" si="217"/>
        <v>498.30000000000007</v>
      </c>
      <c r="AB458" s="107">
        <f t="shared" si="218"/>
        <v>608.30000000000007</v>
      </c>
      <c r="AD458" s="107">
        <f t="shared" si="219"/>
        <v>269.5</v>
      </c>
      <c r="AE458" s="107">
        <f t="shared" si="220"/>
        <v>389.40000000000003</v>
      </c>
      <c r="AF458" s="107">
        <f t="shared" si="221"/>
        <v>467.50000000000006</v>
      </c>
      <c r="AH458" s="107">
        <v>342.04</v>
      </c>
      <c r="AI458" s="107">
        <v>462.56</v>
      </c>
      <c r="AJ458" s="107">
        <v>636.58000000000004</v>
      </c>
      <c r="AK458" s="107">
        <v>527.76</v>
      </c>
      <c r="AL458" s="107">
        <v>596.23</v>
      </c>
      <c r="AM458" s="107">
        <v>660.88</v>
      </c>
      <c r="AN458" s="107">
        <v>282.44</v>
      </c>
      <c r="AO458" s="107">
        <v>431.26</v>
      </c>
      <c r="AP458" s="107">
        <v>589.89</v>
      </c>
      <c r="AQ458" s="107">
        <v>330</v>
      </c>
      <c r="AR458" s="107">
        <v>453</v>
      </c>
      <c r="AS458" s="107">
        <v>553</v>
      </c>
      <c r="AT458" s="107">
        <v>245</v>
      </c>
      <c r="AU458" s="107">
        <v>354</v>
      </c>
      <c r="AV458" s="107">
        <v>425</v>
      </c>
    </row>
    <row r="459" spans="1:48" ht="30" customHeight="1" outlineLevel="2">
      <c r="A459" s="116" t="s">
        <v>1131</v>
      </c>
      <c r="B459" s="117" t="s">
        <v>1132</v>
      </c>
      <c r="C459" s="134" t="s">
        <v>242</v>
      </c>
      <c r="E459" s="105">
        <f t="shared" si="222"/>
        <v>194.70000000000002</v>
      </c>
      <c r="F459" s="105">
        <f t="shared" si="223"/>
        <v>266.178</v>
      </c>
      <c r="G459" s="105">
        <f t="shared" si="224"/>
        <v>340.82400000000001</v>
      </c>
      <c r="H459" s="106"/>
      <c r="I459" s="105">
        <f t="shared" si="225"/>
        <v>365.20000000000005</v>
      </c>
      <c r="J459" s="105">
        <f t="shared" si="226"/>
        <v>463.96679999999998</v>
      </c>
      <c r="K459" s="105">
        <f t="shared" si="227"/>
        <v>529.79300000000001</v>
      </c>
      <c r="N459" s="107">
        <f t="shared" si="207"/>
        <v>242.13200000000003</v>
      </c>
      <c r="O459" s="107">
        <f t="shared" si="208"/>
        <v>330.86900000000003</v>
      </c>
      <c r="P459" s="107">
        <f t="shared" si="209"/>
        <v>460.69100000000003</v>
      </c>
      <c r="R459" s="107">
        <f t="shared" si="210"/>
        <v>340.82400000000001</v>
      </c>
      <c r="S459" s="107">
        <f t="shared" si="211"/>
        <v>402.64400000000006</v>
      </c>
      <c r="T459" s="107">
        <f t="shared" si="212"/>
        <v>464.75000000000006</v>
      </c>
      <c r="V459" s="107">
        <f t="shared" si="213"/>
        <v>256.23400000000004</v>
      </c>
      <c r="W459" s="107">
        <f t="shared" si="214"/>
        <v>386.16600000000005</v>
      </c>
      <c r="X459" s="107">
        <f t="shared" si="215"/>
        <v>529.79300000000001</v>
      </c>
      <c r="Z459" s="107">
        <f t="shared" si="216"/>
        <v>297</v>
      </c>
      <c r="AA459" s="107">
        <f t="shared" si="217"/>
        <v>405.90000000000003</v>
      </c>
      <c r="AB459" s="107">
        <f t="shared" si="218"/>
        <v>499.40000000000003</v>
      </c>
      <c r="AD459" s="107">
        <f t="shared" si="219"/>
        <v>194.70000000000002</v>
      </c>
      <c r="AE459" s="107">
        <f t="shared" si="220"/>
        <v>298.10000000000002</v>
      </c>
      <c r="AF459" s="107">
        <f t="shared" si="221"/>
        <v>365.20000000000005</v>
      </c>
      <c r="AH459" s="107">
        <v>220.12</v>
      </c>
      <c r="AI459" s="107">
        <v>300.79000000000002</v>
      </c>
      <c r="AJ459" s="107">
        <v>418.81</v>
      </c>
      <c r="AK459" s="107">
        <v>309.83999999999997</v>
      </c>
      <c r="AL459" s="107">
        <v>366.04</v>
      </c>
      <c r="AM459" s="107">
        <v>422.5</v>
      </c>
      <c r="AN459" s="107">
        <v>232.94</v>
      </c>
      <c r="AO459" s="107">
        <v>351.06</v>
      </c>
      <c r="AP459" s="107">
        <v>481.63</v>
      </c>
      <c r="AQ459" s="107">
        <v>270</v>
      </c>
      <c r="AR459" s="107">
        <v>369</v>
      </c>
      <c r="AS459" s="107">
        <v>454</v>
      </c>
      <c r="AT459" s="107">
        <v>177</v>
      </c>
      <c r="AU459" s="107">
        <v>271</v>
      </c>
      <c r="AV459" s="107">
        <v>332</v>
      </c>
    </row>
    <row r="460" spans="1:48" ht="30" customHeight="1" outlineLevel="2">
      <c r="A460" s="116" t="s">
        <v>1133</v>
      </c>
      <c r="B460" s="117" t="s">
        <v>1134</v>
      </c>
      <c r="C460" s="134" t="s">
        <v>242</v>
      </c>
      <c r="E460" s="105">
        <f t="shared" si="222"/>
        <v>288.20000000000005</v>
      </c>
      <c r="F460" s="105">
        <f t="shared" si="223"/>
        <v>385.17820000000006</v>
      </c>
      <c r="G460" s="105">
        <f t="shared" si="224"/>
        <v>532.41100000000006</v>
      </c>
      <c r="H460" s="106"/>
      <c r="I460" s="105">
        <f t="shared" si="225"/>
        <v>533.5</v>
      </c>
      <c r="J460" s="105">
        <f t="shared" si="226"/>
        <v>659.24099999999999</v>
      </c>
      <c r="K460" s="105">
        <f t="shared" si="227"/>
        <v>791.923</v>
      </c>
      <c r="N460" s="107">
        <f t="shared" si="207"/>
        <v>376.24400000000003</v>
      </c>
      <c r="O460" s="107">
        <f t="shared" si="208"/>
        <v>508.81600000000003</v>
      </c>
      <c r="P460" s="107">
        <f t="shared" si="209"/>
        <v>700.23800000000006</v>
      </c>
      <c r="R460" s="107">
        <f t="shared" si="210"/>
        <v>532.41100000000006</v>
      </c>
      <c r="S460" s="107">
        <f t="shared" si="211"/>
        <v>607.72800000000007</v>
      </c>
      <c r="T460" s="107">
        <f t="shared" si="212"/>
        <v>678.84300000000007</v>
      </c>
      <c r="V460" s="107">
        <f t="shared" si="213"/>
        <v>376.09000000000003</v>
      </c>
      <c r="W460" s="107">
        <f t="shared" si="214"/>
        <v>580.33800000000008</v>
      </c>
      <c r="X460" s="107">
        <f t="shared" si="215"/>
        <v>791.923</v>
      </c>
      <c r="Z460" s="107">
        <f t="shared" si="216"/>
        <v>352.94600000000003</v>
      </c>
      <c r="AA460" s="107">
        <f t="shared" si="217"/>
        <v>484.22</v>
      </c>
      <c r="AB460" s="107">
        <f t="shared" si="218"/>
        <v>591.70100000000002</v>
      </c>
      <c r="AD460" s="107">
        <f t="shared" si="219"/>
        <v>288.20000000000005</v>
      </c>
      <c r="AE460" s="107">
        <f t="shared" si="220"/>
        <v>437.8</v>
      </c>
      <c r="AF460" s="107">
        <f t="shared" si="221"/>
        <v>533.5</v>
      </c>
      <c r="AH460" s="107">
        <v>342.04</v>
      </c>
      <c r="AI460" s="107">
        <v>462.56</v>
      </c>
      <c r="AJ460" s="107">
        <v>636.58000000000004</v>
      </c>
      <c r="AK460" s="107">
        <v>484.01</v>
      </c>
      <c r="AL460" s="107">
        <v>552.48</v>
      </c>
      <c r="AM460" s="107">
        <v>617.13</v>
      </c>
      <c r="AN460" s="107">
        <v>341.9</v>
      </c>
      <c r="AO460" s="107">
        <v>527.58000000000004</v>
      </c>
      <c r="AP460" s="107">
        <v>719.93</v>
      </c>
      <c r="AQ460" s="107">
        <v>320.86</v>
      </c>
      <c r="AR460" s="107">
        <v>440.2</v>
      </c>
      <c r="AS460" s="107">
        <v>537.91</v>
      </c>
      <c r="AT460" s="107">
        <v>262</v>
      </c>
      <c r="AU460" s="107">
        <v>398</v>
      </c>
      <c r="AV460" s="107">
        <v>485</v>
      </c>
    </row>
    <row r="461" spans="1:48" ht="30" customHeight="1" outlineLevel="2">
      <c r="A461" s="116" t="s">
        <v>1135</v>
      </c>
      <c r="B461" s="117" t="s">
        <v>1136</v>
      </c>
      <c r="C461" s="134" t="s">
        <v>242</v>
      </c>
      <c r="E461" s="105">
        <f t="shared" si="222"/>
        <v>250.22800000000001</v>
      </c>
      <c r="F461" s="105">
        <f t="shared" si="223"/>
        <v>454.57499999999999</v>
      </c>
      <c r="G461" s="105">
        <f t="shared" si="224"/>
        <v>677.30300000000011</v>
      </c>
      <c r="H461" s="106"/>
      <c r="I461" s="105">
        <f t="shared" si="225"/>
        <v>516.65899999999999</v>
      </c>
      <c r="J461" s="105">
        <f t="shared" si="226"/>
        <v>779.37639999999999</v>
      </c>
      <c r="K461" s="105">
        <f t="shared" si="227"/>
        <v>978.52700000000016</v>
      </c>
      <c r="N461" s="107">
        <f t="shared" si="207"/>
        <v>360.29400000000004</v>
      </c>
      <c r="O461" s="107">
        <f t="shared" si="208"/>
        <v>492.86600000000004</v>
      </c>
      <c r="P461" s="107">
        <f t="shared" si="209"/>
        <v>684.28800000000012</v>
      </c>
      <c r="R461" s="107">
        <f t="shared" si="210"/>
        <v>677.30300000000011</v>
      </c>
      <c r="S461" s="107">
        <f t="shared" si="211"/>
        <v>845.05300000000011</v>
      </c>
      <c r="T461" s="107">
        <f t="shared" si="212"/>
        <v>978.52700000000016</v>
      </c>
      <c r="V461" s="107">
        <f t="shared" si="213"/>
        <v>250.22800000000001</v>
      </c>
      <c r="W461" s="107">
        <f t="shared" si="214"/>
        <v>376.43099999999998</v>
      </c>
      <c r="X461" s="107">
        <f t="shared" si="215"/>
        <v>516.65899999999999</v>
      </c>
      <c r="Z461" s="107">
        <f t="shared" si="216"/>
        <v>531.85</v>
      </c>
      <c r="AA461" s="107">
        <f t="shared" si="217"/>
        <v>734.69</v>
      </c>
      <c r="AB461" s="107">
        <f t="shared" si="218"/>
        <v>886.90800000000002</v>
      </c>
      <c r="AD461" s="107">
        <f t="shared" si="219"/>
        <v>453.20000000000005</v>
      </c>
      <c r="AE461" s="107">
        <f t="shared" si="220"/>
        <v>685.30000000000007</v>
      </c>
      <c r="AF461" s="107">
        <f t="shared" si="221"/>
        <v>830.50000000000011</v>
      </c>
      <c r="AH461" s="107">
        <v>327.54000000000002</v>
      </c>
      <c r="AI461" s="107">
        <v>448.06</v>
      </c>
      <c r="AJ461" s="107">
        <v>622.08000000000004</v>
      </c>
      <c r="AK461" s="107">
        <v>615.73</v>
      </c>
      <c r="AL461" s="107">
        <v>768.23</v>
      </c>
      <c r="AM461" s="107">
        <v>889.57</v>
      </c>
      <c r="AN461" s="107">
        <v>227.48</v>
      </c>
      <c r="AO461" s="107">
        <v>342.21</v>
      </c>
      <c r="AP461" s="107">
        <v>469.69</v>
      </c>
      <c r="AQ461" s="107">
        <v>483.5</v>
      </c>
      <c r="AR461" s="107">
        <v>667.9</v>
      </c>
      <c r="AS461" s="107">
        <v>806.28</v>
      </c>
      <c r="AT461" s="107">
        <v>412</v>
      </c>
      <c r="AU461" s="107">
        <v>623</v>
      </c>
      <c r="AV461" s="107">
        <v>755</v>
      </c>
    </row>
    <row r="462" spans="1:48" ht="30" customHeight="1" outlineLevel="2">
      <c r="A462" s="116" t="s">
        <v>1137</v>
      </c>
      <c r="B462" s="117" t="s">
        <v>1138</v>
      </c>
      <c r="C462" s="134" t="s">
        <v>242</v>
      </c>
      <c r="E462" s="105">
        <f t="shared" si="222"/>
        <v>483.95600000000002</v>
      </c>
      <c r="F462" s="105">
        <f t="shared" si="223"/>
        <v>944.57440000000008</v>
      </c>
      <c r="G462" s="105">
        <f t="shared" si="224"/>
        <v>1331</v>
      </c>
      <c r="H462" s="106"/>
      <c r="I462" s="105">
        <f t="shared" si="225"/>
        <v>1027.818</v>
      </c>
      <c r="J462" s="105">
        <f t="shared" si="226"/>
        <v>1626.1080000000002</v>
      </c>
      <c r="K462" s="105">
        <f t="shared" si="227"/>
        <v>2205.5</v>
      </c>
      <c r="N462" s="107">
        <f t="shared" si="207"/>
        <v>690.87700000000007</v>
      </c>
      <c r="O462" s="107">
        <f t="shared" si="208"/>
        <v>954.91000000000008</v>
      </c>
      <c r="P462" s="107">
        <f t="shared" si="209"/>
        <v>1331.1540000000002</v>
      </c>
      <c r="R462" s="107">
        <f t="shared" si="210"/>
        <v>1308.4390000000001</v>
      </c>
      <c r="S462" s="107">
        <f t="shared" si="211"/>
        <v>1340.7570000000001</v>
      </c>
      <c r="T462" s="107">
        <f t="shared" si="212"/>
        <v>1916.0680000000002</v>
      </c>
      <c r="V462" s="107">
        <f t="shared" si="213"/>
        <v>483.95600000000002</v>
      </c>
      <c r="W462" s="107">
        <f t="shared" si="214"/>
        <v>755.07299999999998</v>
      </c>
      <c r="X462" s="107">
        <f t="shared" si="215"/>
        <v>1027.818</v>
      </c>
      <c r="Z462" s="107">
        <f t="shared" si="216"/>
        <v>1331</v>
      </c>
      <c r="AA462" s="107">
        <f t="shared" si="217"/>
        <v>1853.5000000000002</v>
      </c>
      <c r="AB462" s="107">
        <f t="shared" si="218"/>
        <v>2205.5</v>
      </c>
      <c r="AD462" s="107">
        <f t="shared" si="219"/>
        <v>908.6</v>
      </c>
      <c r="AE462" s="107">
        <f t="shared" si="220"/>
        <v>1368.4</v>
      </c>
      <c r="AF462" s="107">
        <f t="shared" si="221"/>
        <v>1650.0000000000002</v>
      </c>
      <c r="AH462" s="107">
        <v>628.07000000000005</v>
      </c>
      <c r="AI462" s="107">
        <v>868.1</v>
      </c>
      <c r="AJ462" s="107">
        <v>1210.1400000000001</v>
      </c>
      <c r="AK462" s="107">
        <v>1189.49</v>
      </c>
      <c r="AL462" s="107">
        <v>1218.8699999999999</v>
      </c>
      <c r="AM462" s="107">
        <v>1741.88</v>
      </c>
      <c r="AN462" s="107">
        <v>439.96</v>
      </c>
      <c r="AO462" s="107">
        <v>686.43</v>
      </c>
      <c r="AP462" s="107">
        <v>934.38</v>
      </c>
      <c r="AQ462" s="107">
        <v>1210</v>
      </c>
      <c r="AR462" s="107">
        <v>1685</v>
      </c>
      <c r="AS462" s="107">
        <v>2005</v>
      </c>
      <c r="AT462" s="107">
        <v>826</v>
      </c>
      <c r="AU462" s="107">
        <v>1244</v>
      </c>
      <c r="AV462" s="107">
        <v>1500</v>
      </c>
    </row>
    <row r="463" spans="1:48" ht="30" customHeight="1" outlineLevel="2">
      <c r="A463" s="116" t="s">
        <v>1139</v>
      </c>
      <c r="B463" s="117" t="s">
        <v>1140</v>
      </c>
      <c r="C463" s="134" t="s">
        <v>242</v>
      </c>
      <c r="E463" s="105">
        <f t="shared" si="222"/>
        <v>549.87900000000002</v>
      </c>
      <c r="F463" s="105">
        <f t="shared" si="223"/>
        <v>1236.037</v>
      </c>
      <c r="G463" s="105">
        <f t="shared" si="224"/>
        <v>1863.0810000000001</v>
      </c>
      <c r="H463" s="106"/>
      <c r="I463" s="105">
        <f t="shared" si="225"/>
        <v>1171.9840000000002</v>
      </c>
      <c r="J463" s="105">
        <f t="shared" si="226"/>
        <v>2110.3236000000002</v>
      </c>
      <c r="K463" s="105">
        <f t="shared" si="227"/>
        <v>3083.4320000000002</v>
      </c>
      <c r="N463" s="107">
        <f t="shared" si="207"/>
        <v>911.26200000000006</v>
      </c>
      <c r="O463" s="107">
        <f t="shared" si="208"/>
        <v>1262.9430000000002</v>
      </c>
      <c r="P463" s="107">
        <f t="shared" si="209"/>
        <v>1762.3980000000001</v>
      </c>
      <c r="R463" s="107">
        <f t="shared" si="210"/>
        <v>1593.163</v>
      </c>
      <c r="S463" s="107">
        <f t="shared" si="211"/>
        <v>1629.0780000000002</v>
      </c>
      <c r="T463" s="107">
        <f t="shared" si="212"/>
        <v>2245.8040000000001</v>
      </c>
      <c r="V463" s="107">
        <f t="shared" si="213"/>
        <v>549.87900000000002</v>
      </c>
      <c r="W463" s="107">
        <f t="shared" si="214"/>
        <v>861.8610000000001</v>
      </c>
      <c r="X463" s="107">
        <f t="shared" si="215"/>
        <v>1171.9840000000002</v>
      </c>
      <c r="Z463" s="107">
        <f t="shared" si="216"/>
        <v>1863.0810000000001</v>
      </c>
      <c r="AA463" s="107">
        <f t="shared" si="217"/>
        <v>2598.42</v>
      </c>
      <c r="AB463" s="107">
        <f t="shared" si="218"/>
        <v>3083.4320000000002</v>
      </c>
      <c r="AD463" s="107">
        <f t="shared" si="219"/>
        <v>1262.8000000000002</v>
      </c>
      <c r="AE463" s="107">
        <f t="shared" si="220"/>
        <v>1899.7</v>
      </c>
      <c r="AF463" s="107">
        <f t="shared" si="221"/>
        <v>2288</v>
      </c>
      <c r="AH463" s="107">
        <v>828.42</v>
      </c>
      <c r="AI463" s="107">
        <v>1148.1300000000001</v>
      </c>
      <c r="AJ463" s="107">
        <v>1602.18</v>
      </c>
      <c r="AK463" s="107">
        <v>1448.33</v>
      </c>
      <c r="AL463" s="107">
        <v>1480.98</v>
      </c>
      <c r="AM463" s="107">
        <v>2041.64</v>
      </c>
      <c r="AN463" s="107">
        <v>499.89</v>
      </c>
      <c r="AO463" s="107">
        <v>783.51</v>
      </c>
      <c r="AP463" s="107">
        <v>1065.44</v>
      </c>
      <c r="AQ463" s="107">
        <v>1693.71</v>
      </c>
      <c r="AR463" s="107">
        <v>2362.1999999999998</v>
      </c>
      <c r="AS463" s="107">
        <v>2803.12</v>
      </c>
      <c r="AT463" s="107">
        <v>1148</v>
      </c>
      <c r="AU463" s="107">
        <v>1727</v>
      </c>
      <c r="AV463" s="107">
        <v>2080</v>
      </c>
    </row>
    <row r="464" spans="1:48" ht="30" customHeight="1" outlineLevel="2">
      <c r="A464" s="116" t="s">
        <v>1141</v>
      </c>
      <c r="B464" s="117" t="s">
        <v>1142</v>
      </c>
      <c r="C464" s="134" t="s">
        <v>242</v>
      </c>
      <c r="E464" s="105">
        <f t="shared" si="222"/>
        <v>119.108</v>
      </c>
      <c r="F464" s="105">
        <f t="shared" si="223"/>
        <v>150.41400000000002</v>
      </c>
      <c r="G464" s="105">
        <f t="shared" si="224"/>
        <v>256.23400000000004</v>
      </c>
      <c r="H464" s="106"/>
      <c r="I464" s="105">
        <f t="shared" si="225"/>
        <v>170.84100000000001</v>
      </c>
      <c r="J464" s="105">
        <f t="shared" si="226"/>
        <v>277.55860000000001</v>
      </c>
      <c r="K464" s="105">
        <f t="shared" si="227"/>
        <v>529.79300000000001</v>
      </c>
      <c r="N464" s="107">
        <f t="shared" si="207"/>
        <v>123.959</v>
      </c>
      <c r="O464" s="107">
        <f t="shared" si="208"/>
        <v>168.88300000000001</v>
      </c>
      <c r="P464" s="107">
        <f t="shared" si="209"/>
        <v>237.09400000000002</v>
      </c>
      <c r="R464" s="107">
        <f t="shared" si="210"/>
        <v>125.16900000000001</v>
      </c>
      <c r="S464" s="107">
        <f t="shared" si="211"/>
        <v>140.03000000000003</v>
      </c>
      <c r="T464" s="107">
        <f t="shared" si="212"/>
        <v>170.84100000000001</v>
      </c>
      <c r="V464" s="107">
        <f t="shared" si="213"/>
        <v>256.23400000000004</v>
      </c>
      <c r="W464" s="107">
        <f t="shared" si="214"/>
        <v>386.16600000000005</v>
      </c>
      <c r="X464" s="107">
        <f t="shared" si="215"/>
        <v>529.79300000000001</v>
      </c>
      <c r="Z464" s="107">
        <f t="shared" si="216"/>
        <v>119.108</v>
      </c>
      <c r="AA464" s="107">
        <f t="shared" si="217"/>
        <v>156.84900000000002</v>
      </c>
      <c r="AB464" s="107">
        <f t="shared" si="218"/>
        <v>205.86500000000001</v>
      </c>
      <c r="AD464" s="107">
        <f t="shared" si="219"/>
        <v>127.60000000000001</v>
      </c>
      <c r="AE464" s="107">
        <f t="shared" si="220"/>
        <v>196.9</v>
      </c>
      <c r="AF464" s="107">
        <f t="shared" si="221"/>
        <v>244.20000000000002</v>
      </c>
      <c r="AH464" s="107">
        <v>112.69</v>
      </c>
      <c r="AI464" s="107">
        <v>153.53</v>
      </c>
      <c r="AJ464" s="107">
        <v>215.54</v>
      </c>
      <c r="AK464" s="107">
        <v>113.79</v>
      </c>
      <c r="AL464" s="107">
        <v>127.30000000000001</v>
      </c>
      <c r="AM464" s="107">
        <v>155.31</v>
      </c>
      <c r="AN464" s="107">
        <v>232.94</v>
      </c>
      <c r="AO464" s="107">
        <v>351.06</v>
      </c>
      <c r="AP464" s="107">
        <v>481.63</v>
      </c>
      <c r="AQ464" s="107">
        <v>108.28</v>
      </c>
      <c r="AR464" s="107">
        <v>142.59</v>
      </c>
      <c r="AS464" s="107">
        <v>187.15</v>
      </c>
      <c r="AT464" s="107">
        <v>116</v>
      </c>
      <c r="AU464" s="107">
        <v>179</v>
      </c>
      <c r="AV464" s="107">
        <v>222</v>
      </c>
    </row>
    <row r="465" spans="1:48" ht="30" customHeight="1" outlineLevel="2">
      <c r="A465" s="116" t="s">
        <v>1143</v>
      </c>
      <c r="B465" s="117" t="s">
        <v>1144</v>
      </c>
      <c r="C465" s="134" t="s">
        <v>242</v>
      </c>
      <c r="E465" s="105">
        <f t="shared" si="222"/>
        <v>126.456</v>
      </c>
      <c r="F465" s="105">
        <f t="shared" si="223"/>
        <v>161.36780000000002</v>
      </c>
      <c r="G465" s="105">
        <f t="shared" si="224"/>
        <v>216.05100000000002</v>
      </c>
      <c r="H465" s="106"/>
      <c r="I465" s="105">
        <f t="shared" si="225"/>
        <v>217.99800000000002</v>
      </c>
      <c r="J465" s="105">
        <f t="shared" si="226"/>
        <v>279.60900000000004</v>
      </c>
      <c r="K465" s="105">
        <f t="shared" si="227"/>
        <v>336.93000000000006</v>
      </c>
      <c r="N465" s="107">
        <f t="shared" si="207"/>
        <v>171.08300000000003</v>
      </c>
      <c r="O465" s="107">
        <f t="shared" si="208"/>
        <v>237.91900000000001</v>
      </c>
      <c r="P465" s="107">
        <f t="shared" si="209"/>
        <v>336.93000000000006</v>
      </c>
      <c r="R465" s="107">
        <f t="shared" si="210"/>
        <v>216.05100000000002</v>
      </c>
      <c r="S465" s="107">
        <f t="shared" si="211"/>
        <v>256.96000000000004</v>
      </c>
      <c r="T465" s="107">
        <f t="shared" si="212"/>
        <v>305.10700000000003</v>
      </c>
      <c r="V465" s="107">
        <f t="shared" si="213"/>
        <v>151.34900000000002</v>
      </c>
      <c r="W465" s="107">
        <f t="shared" si="214"/>
        <v>216.24900000000002</v>
      </c>
      <c r="X465" s="107">
        <f t="shared" si="215"/>
        <v>300.41000000000003</v>
      </c>
      <c r="Z465" s="107">
        <f t="shared" si="216"/>
        <v>126.456</v>
      </c>
      <c r="AA465" s="107">
        <f t="shared" si="217"/>
        <v>167.13400000000001</v>
      </c>
      <c r="AB465" s="107">
        <f t="shared" si="218"/>
        <v>217.99800000000002</v>
      </c>
      <c r="AD465" s="107">
        <f t="shared" si="219"/>
        <v>141.9</v>
      </c>
      <c r="AE465" s="107">
        <f t="shared" si="220"/>
        <v>198.00000000000003</v>
      </c>
      <c r="AF465" s="107">
        <f t="shared" si="221"/>
        <v>237.60000000000002</v>
      </c>
      <c r="AH465" s="107">
        <v>155.53</v>
      </c>
      <c r="AI465" s="107">
        <v>216.29</v>
      </c>
      <c r="AJ465" s="107">
        <v>306.3</v>
      </c>
      <c r="AK465" s="107">
        <v>196.41</v>
      </c>
      <c r="AL465" s="107">
        <v>233.6</v>
      </c>
      <c r="AM465" s="107">
        <v>277.37</v>
      </c>
      <c r="AN465" s="107">
        <v>137.59</v>
      </c>
      <c r="AO465" s="107">
        <v>196.59</v>
      </c>
      <c r="AP465" s="107">
        <v>273.10000000000002</v>
      </c>
      <c r="AQ465" s="107">
        <v>114.96</v>
      </c>
      <c r="AR465" s="107">
        <v>151.94</v>
      </c>
      <c r="AS465" s="107">
        <v>198.18</v>
      </c>
      <c r="AT465" s="107">
        <v>129</v>
      </c>
      <c r="AU465" s="107">
        <v>180</v>
      </c>
      <c r="AV465" s="107">
        <v>216</v>
      </c>
    </row>
    <row r="466" spans="1:48" ht="30" customHeight="1" outlineLevel="2">
      <c r="A466" s="116" t="s">
        <v>1145</v>
      </c>
      <c r="B466" s="117" t="s">
        <v>1146</v>
      </c>
      <c r="C466" s="134" t="s">
        <v>242</v>
      </c>
      <c r="E466" s="105">
        <f t="shared" si="222"/>
        <v>169.09200000000001</v>
      </c>
      <c r="F466" s="105">
        <f t="shared" si="223"/>
        <v>275.50380000000007</v>
      </c>
      <c r="G466" s="105">
        <f t="shared" si="224"/>
        <v>455.76300000000003</v>
      </c>
      <c r="H466" s="106"/>
      <c r="I466" s="105">
        <f t="shared" si="225"/>
        <v>288.34300000000002</v>
      </c>
      <c r="J466" s="105">
        <f t="shared" si="226"/>
        <v>458.62960000000004</v>
      </c>
      <c r="K466" s="105">
        <f t="shared" si="227"/>
        <v>660.36300000000006</v>
      </c>
      <c r="N466" s="107">
        <f t="shared" si="207"/>
        <v>336.36900000000003</v>
      </c>
      <c r="O466" s="107">
        <f t="shared" si="208"/>
        <v>468.94100000000003</v>
      </c>
      <c r="P466" s="107">
        <f t="shared" si="209"/>
        <v>660.36300000000006</v>
      </c>
      <c r="R466" s="107">
        <f t="shared" si="210"/>
        <v>455.76300000000003</v>
      </c>
      <c r="S466" s="107">
        <f t="shared" si="211"/>
        <v>510.16900000000004</v>
      </c>
      <c r="T466" s="107">
        <f t="shared" si="212"/>
        <v>567.32500000000005</v>
      </c>
      <c r="V466" s="107">
        <f t="shared" si="213"/>
        <v>196.29500000000002</v>
      </c>
      <c r="W466" s="107">
        <f t="shared" si="214"/>
        <v>289.06900000000007</v>
      </c>
      <c r="X466" s="107">
        <f t="shared" si="215"/>
        <v>398.71700000000004</v>
      </c>
      <c r="Z466" s="107">
        <f t="shared" si="216"/>
        <v>169.09200000000001</v>
      </c>
      <c r="AA466" s="107">
        <f t="shared" si="217"/>
        <v>226.82</v>
      </c>
      <c r="AB466" s="107">
        <f t="shared" si="218"/>
        <v>288.34300000000002</v>
      </c>
      <c r="AD466" s="107">
        <f t="shared" si="219"/>
        <v>220.00000000000003</v>
      </c>
      <c r="AE466" s="107">
        <f t="shared" si="220"/>
        <v>315.70000000000005</v>
      </c>
      <c r="AF466" s="107">
        <f t="shared" si="221"/>
        <v>378.40000000000003</v>
      </c>
      <c r="AH466" s="107">
        <v>305.79000000000002</v>
      </c>
      <c r="AI466" s="107">
        <v>426.31</v>
      </c>
      <c r="AJ466" s="107">
        <v>600.33000000000004</v>
      </c>
      <c r="AK466" s="107">
        <v>414.33</v>
      </c>
      <c r="AL466" s="107">
        <v>463.79</v>
      </c>
      <c r="AM466" s="107">
        <v>515.75</v>
      </c>
      <c r="AN466" s="107">
        <v>178.45</v>
      </c>
      <c r="AO466" s="107">
        <v>262.79000000000002</v>
      </c>
      <c r="AP466" s="107">
        <v>362.47</v>
      </c>
      <c r="AQ466" s="107">
        <v>153.72</v>
      </c>
      <c r="AR466" s="107">
        <v>206.2</v>
      </c>
      <c r="AS466" s="107">
        <v>262.13</v>
      </c>
      <c r="AT466" s="107">
        <v>200</v>
      </c>
      <c r="AU466" s="107">
        <v>287</v>
      </c>
      <c r="AV466" s="107">
        <v>344</v>
      </c>
    </row>
    <row r="467" spans="1:48" ht="30" customHeight="1" outlineLevel="2">
      <c r="A467" s="116" t="s">
        <v>1147</v>
      </c>
      <c r="B467" s="117" t="s">
        <v>1148</v>
      </c>
      <c r="C467" s="134" t="s">
        <v>242</v>
      </c>
      <c r="E467" s="105">
        <f t="shared" si="222"/>
        <v>155.10000000000002</v>
      </c>
      <c r="F467" s="105">
        <f t="shared" si="223"/>
        <v>257.22619999999995</v>
      </c>
      <c r="G467" s="105">
        <f t="shared" si="224"/>
        <v>508.87100000000004</v>
      </c>
      <c r="H467" s="106"/>
      <c r="I467" s="105">
        <f t="shared" si="225"/>
        <v>285.74700000000001</v>
      </c>
      <c r="J467" s="105">
        <f t="shared" si="226"/>
        <v>423.5902000000001</v>
      </c>
      <c r="K467" s="105">
        <f t="shared" si="227"/>
        <v>611.99600000000009</v>
      </c>
      <c r="N467" s="107">
        <f t="shared" si="207"/>
        <v>171.08300000000003</v>
      </c>
      <c r="O467" s="107">
        <f t="shared" si="208"/>
        <v>237.91900000000001</v>
      </c>
      <c r="P467" s="107">
        <f t="shared" si="209"/>
        <v>336.93000000000006</v>
      </c>
      <c r="R467" s="107">
        <f t="shared" si="210"/>
        <v>508.87100000000004</v>
      </c>
      <c r="S467" s="107">
        <f t="shared" si="211"/>
        <v>558.2170000000001</v>
      </c>
      <c r="T467" s="107">
        <f t="shared" si="212"/>
        <v>611.99600000000009</v>
      </c>
      <c r="V467" s="107">
        <f t="shared" si="213"/>
        <v>283.56899999999996</v>
      </c>
      <c r="W467" s="107">
        <f t="shared" si="214"/>
        <v>430.45200000000006</v>
      </c>
      <c r="X467" s="107">
        <f t="shared" si="215"/>
        <v>589.57800000000009</v>
      </c>
      <c r="Z467" s="107">
        <f t="shared" si="216"/>
        <v>167.50800000000001</v>
      </c>
      <c r="AA467" s="107">
        <f t="shared" si="217"/>
        <v>224.62</v>
      </c>
      <c r="AB467" s="107">
        <f t="shared" si="218"/>
        <v>285.74700000000001</v>
      </c>
      <c r="AD467" s="107">
        <f t="shared" si="219"/>
        <v>155.10000000000002</v>
      </c>
      <c r="AE467" s="107">
        <f t="shared" si="220"/>
        <v>238.70000000000002</v>
      </c>
      <c r="AF467" s="107">
        <f t="shared" si="221"/>
        <v>293.70000000000005</v>
      </c>
      <c r="AH467" s="107">
        <v>155.53</v>
      </c>
      <c r="AI467" s="107">
        <v>216.29</v>
      </c>
      <c r="AJ467" s="107">
        <v>306.3</v>
      </c>
      <c r="AK467" s="107">
        <v>462.61</v>
      </c>
      <c r="AL467" s="107">
        <v>507.47</v>
      </c>
      <c r="AM467" s="107">
        <v>556.36</v>
      </c>
      <c r="AN467" s="107">
        <v>257.78999999999996</v>
      </c>
      <c r="AO467" s="107">
        <v>391.32</v>
      </c>
      <c r="AP467" s="107">
        <v>535.98</v>
      </c>
      <c r="AQ467" s="107">
        <v>152.28</v>
      </c>
      <c r="AR467" s="107">
        <v>204.2</v>
      </c>
      <c r="AS467" s="107">
        <v>259.77</v>
      </c>
      <c r="AT467" s="107">
        <v>141</v>
      </c>
      <c r="AU467" s="107">
        <v>217</v>
      </c>
      <c r="AV467" s="107">
        <v>267</v>
      </c>
    </row>
    <row r="468" spans="1:48" ht="30" customHeight="1" outlineLevel="2">
      <c r="A468" s="116" t="s">
        <v>1149</v>
      </c>
      <c r="B468" s="117" t="s">
        <v>1150</v>
      </c>
      <c r="C468" s="134" t="s">
        <v>242</v>
      </c>
      <c r="E468" s="105">
        <f t="shared" si="222"/>
        <v>201.85000000000002</v>
      </c>
      <c r="F468" s="105">
        <f t="shared" si="223"/>
        <v>293.4162</v>
      </c>
      <c r="G468" s="105">
        <f t="shared" si="224"/>
        <v>462.63800000000003</v>
      </c>
      <c r="H468" s="106"/>
      <c r="I468" s="105">
        <f t="shared" si="225"/>
        <v>342.40800000000002</v>
      </c>
      <c r="J468" s="105">
        <f t="shared" si="226"/>
        <v>503.51840000000004</v>
      </c>
      <c r="K468" s="105">
        <f t="shared" si="227"/>
        <v>727.24300000000005</v>
      </c>
      <c r="N468" s="107">
        <f t="shared" si="207"/>
        <v>226.18200000000002</v>
      </c>
      <c r="O468" s="107">
        <f t="shared" si="208"/>
        <v>314.91900000000004</v>
      </c>
      <c r="P468" s="107">
        <f t="shared" si="209"/>
        <v>444.74100000000004</v>
      </c>
      <c r="R468" s="107">
        <f t="shared" si="210"/>
        <v>462.63800000000003</v>
      </c>
      <c r="S468" s="107">
        <f t="shared" si="211"/>
        <v>517.03300000000002</v>
      </c>
      <c r="T468" s="107">
        <f t="shared" si="212"/>
        <v>574.20000000000005</v>
      </c>
      <c r="V468" s="107">
        <f t="shared" si="213"/>
        <v>346.51100000000002</v>
      </c>
      <c r="W468" s="107">
        <f t="shared" si="214"/>
        <v>532.42200000000003</v>
      </c>
      <c r="X468" s="107">
        <f t="shared" si="215"/>
        <v>727.24300000000005</v>
      </c>
      <c r="Z468" s="107">
        <f t="shared" si="216"/>
        <v>201.85000000000002</v>
      </c>
      <c r="AA468" s="107">
        <f t="shared" si="217"/>
        <v>272.69000000000005</v>
      </c>
      <c r="AB468" s="107">
        <f t="shared" si="218"/>
        <v>342.40800000000002</v>
      </c>
      <c r="AD468" s="107">
        <f t="shared" si="219"/>
        <v>229.9</v>
      </c>
      <c r="AE468" s="107">
        <f t="shared" si="220"/>
        <v>350.90000000000003</v>
      </c>
      <c r="AF468" s="107">
        <f t="shared" si="221"/>
        <v>429.00000000000006</v>
      </c>
      <c r="AH468" s="107">
        <v>205.62</v>
      </c>
      <c r="AI468" s="107">
        <v>286.29000000000002</v>
      </c>
      <c r="AJ468" s="107">
        <v>404.31</v>
      </c>
      <c r="AK468" s="107">
        <v>420.58</v>
      </c>
      <c r="AL468" s="107">
        <v>470.03</v>
      </c>
      <c r="AM468" s="107">
        <v>522</v>
      </c>
      <c r="AN468" s="107">
        <v>315.01</v>
      </c>
      <c r="AO468" s="107">
        <v>484.02</v>
      </c>
      <c r="AP468" s="107">
        <v>661.13</v>
      </c>
      <c r="AQ468" s="107">
        <v>183.5</v>
      </c>
      <c r="AR468" s="107">
        <v>247.9</v>
      </c>
      <c r="AS468" s="107">
        <v>311.27999999999997</v>
      </c>
      <c r="AT468" s="107">
        <v>209</v>
      </c>
      <c r="AU468" s="107">
        <v>319</v>
      </c>
      <c r="AV468" s="107">
        <v>390</v>
      </c>
    </row>
    <row r="469" spans="1:48" ht="30" customHeight="1" outlineLevel="2">
      <c r="A469" s="116" t="s">
        <v>1151</v>
      </c>
      <c r="B469" s="117" t="s">
        <v>1152</v>
      </c>
      <c r="C469" s="134" t="s">
        <v>242</v>
      </c>
      <c r="E469" s="105">
        <f t="shared" si="222"/>
        <v>66.396000000000001</v>
      </c>
      <c r="F469" s="105">
        <f t="shared" si="223"/>
        <v>345.56280000000004</v>
      </c>
      <c r="G469" s="105">
        <f t="shared" si="224"/>
        <v>759.00000000000011</v>
      </c>
      <c r="H469" s="106"/>
      <c r="I469" s="105">
        <f t="shared" si="225"/>
        <v>132.08800000000002</v>
      </c>
      <c r="J469" s="105">
        <f t="shared" si="226"/>
        <v>574.08780000000002</v>
      </c>
      <c r="K469" s="105">
        <f t="shared" si="227"/>
        <v>1261.7</v>
      </c>
      <c r="N469" s="107">
        <f t="shared" si="207"/>
        <v>66.396000000000001</v>
      </c>
      <c r="O469" s="107">
        <f t="shared" si="208"/>
        <v>91.597000000000008</v>
      </c>
      <c r="P469" s="107">
        <f t="shared" si="209"/>
        <v>132.08800000000002</v>
      </c>
      <c r="R469" s="107">
        <f t="shared" si="210"/>
        <v>596.86000000000013</v>
      </c>
      <c r="S469" s="107">
        <f t="shared" si="211"/>
        <v>755.68900000000008</v>
      </c>
      <c r="T469" s="107">
        <f t="shared" si="212"/>
        <v>883.19</v>
      </c>
      <c r="V469" s="107">
        <f t="shared" si="213"/>
        <v>151.55800000000002</v>
      </c>
      <c r="W469" s="107">
        <f t="shared" si="214"/>
        <v>216.59000000000003</v>
      </c>
      <c r="X469" s="107">
        <f t="shared" si="215"/>
        <v>300.86099999999999</v>
      </c>
      <c r="Z469" s="107">
        <f t="shared" si="216"/>
        <v>759.00000000000011</v>
      </c>
      <c r="AA469" s="107">
        <f t="shared" si="217"/>
        <v>1052.7</v>
      </c>
      <c r="AB469" s="107">
        <f t="shared" si="218"/>
        <v>1261.7</v>
      </c>
      <c r="AD469" s="107">
        <f t="shared" si="219"/>
        <v>154</v>
      </c>
      <c r="AE469" s="107">
        <f t="shared" si="220"/>
        <v>236.50000000000003</v>
      </c>
      <c r="AF469" s="107">
        <f t="shared" si="221"/>
        <v>292.60000000000002</v>
      </c>
      <c r="AH469" s="107">
        <v>60.36</v>
      </c>
      <c r="AI469" s="107">
        <v>83.27</v>
      </c>
      <c r="AJ469" s="107">
        <v>120.08</v>
      </c>
      <c r="AK469" s="107">
        <v>542.6</v>
      </c>
      <c r="AL469" s="107">
        <v>686.99</v>
      </c>
      <c r="AM469" s="107">
        <v>802.9</v>
      </c>
      <c r="AN469" s="107">
        <v>137.78</v>
      </c>
      <c r="AO469" s="107">
        <v>196.9</v>
      </c>
      <c r="AP469" s="107">
        <v>273.51</v>
      </c>
      <c r="AQ469" s="107">
        <v>690</v>
      </c>
      <c r="AR469" s="107">
        <v>957</v>
      </c>
      <c r="AS469" s="107">
        <v>1147</v>
      </c>
      <c r="AT469" s="107">
        <v>140</v>
      </c>
      <c r="AU469" s="107">
        <v>215</v>
      </c>
      <c r="AV469" s="107">
        <v>266</v>
      </c>
    </row>
    <row r="470" spans="1:48" ht="30" customHeight="1" outlineLevel="2">
      <c r="A470" s="116" t="s">
        <v>1153</v>
      </c>
      <c r="B470" s="117" t="s">
        <v>1154</v>
      </c>
      <c r="C470" s="134" t="s">
        <v>242</v>
      </c>
      <c r="E470" s="105">
        <f t="shared" si="222"/>
        <v>166.529</v>
      </c>
      <c r="F470" s="105">
        <f t="shared" si="223"/>
        <v>495.8338</v>
      </c>
      <c r="G470" s="105">
        <f t="shared" si="224"/>
        <v>727.1</v>
      </c>
      <c r="H470" s="106"/>
      <c r="I470" s="105">
        <f t="shared" si="225"/>
        <v>333.608</v>
      </c>
      <c r="J470" s="105">
        <f t="shared" si="226"/>
        <v>850.80160000000001</v>
      </c>
      <c r="K470" s="105">
        <f t="shared" si="227"/>
        <v>1323.3000000000002</v>
      </c>
      <c r="N470" s="107">
        <f t="shared" si="207"/>
        <v>253.72600000000003</v>
      </c>
      <c r="O470" s="107">
        <f t="shared" si="208"/>
        <v>353.43000000000006</v>
      </c>
      <c r="P470" s="107">
        <f t="shared" si="209"/>
        <v>498.64100000000002</v>
      </c>
      <c r="R470" s="107">
        <f t="shared" si="210"/>
        <v>641.87200000000007</v>
      </c>
      <c r="S470" s="107">
        <f t="shared" si="211"/>
        <v>649.3850000000001</v>
      </c>
      <c r="T470" s="107">
        <f t="shared" si="212"/>
        <v>950.70800000000008</v>
      </c>
      <c r="V470" s="107">
        <f t="shared" si="213"/>
        <v>166.529</v>
      </c>
      <c r="W470" s="107">
        <f t="shared" si="214"/>
        <v>240.845</v>
      </c>
      <c r="X470" s="107">
        <f t="shared" si="215"/>
        <v>333.608</v>
      </c>
      <c r="Z470" s="107">
        <f t="shared" si="216"/>
        <v>689.94200000000012</v>
      </c>
      <c r="AA470" s="107">
        <f t="shared" si="217"/>
        <v>956.02100000000007</v>
      </c>
      <c r="AB470" s="107">
        <f t="shared" si="218"/>
        <v>1147.751</v>
      </c>
      <c r="AD470" s="107">
        <f t="shared" si="219"/>
        <v>727.1</v>
      </c>
      <c r="AE470" s="107">
        <f t="shared" si="220"/>
        <v>1096.7</v>
      </c>
      <c r="AF470" s="107">
        <f t="shared" si="221"/>
        <v>1323.3000000000002</v>
      </c>
      <c r="AH470" s="107">
        <v>230.66</v>
      </c>
      <c r="AI470" s="107">
        <v>321.3</v>
      </c>
      <c r="AJ470" s="107">
        <v>453.31</v>
      </c>
      <c r="AK470" s="107">
        <v>583.52</v>
      </c>
      <c r="AL470" s="107">
        <v>590.35</v>
      </c>
      <c r="AM470" s="107">
        <v>864.28</v>
      </c>
      <c r="AN470" s="107">
        <v>151.38999999999999</v>
      </c>
      <c r="AO470" s="107">
        <v>218.95</v>
      </c>
      <c r="AP470" s="107">
        <v>303.27999999999997</v>
      </c>
      <c r="AQ470" s="107">
        <v>627.22</v>
      </c>
      <c r="AR470" s="107">
        <v>869.11</v>
      </c>
      <c r="AS470" s="107">
        <v>1043.4099999999999</v>
      </c>
      <c r="AT470" s="107">
        <v>661</v>
      </c>
      <c r="AU470" s="107">
        <v>997</v>
      </c>
      <c r="AV470" s="107">
        <v>1203</v>
      </c>
    </row>
    <row r="471" spans="1:48" ht="30" customHeight="1" outlineLevel="2">
      <c r="A471" s="116" t="s">
        <v>1155</v>
      </c>
      <c r="B471" s="117" t="s">
        <v>1156</v>
      </c>
      <c r="C471" s="134" t="s">
        <v>242</v>
      </c>
      <c r="E471" s="105">
        <f t="shared" si="222"/>
        <v>181.511</v>
      </c>
      <c r="F471" s="105">
        <f t="shared" si="223"/>
        <v>676.05340000000001</v>
      </c>
      <c r="G471" s="105">
        <f t="shared" si="224"/>
        <v>1051.105</v>
      </c>
      <c r="H471" s="106"/>
      <c r="I471" s="105">
        <f t="shared" si="225"/>
        <v>366.38800000000003</v>
      </c>
      <c r="J471" s="105">
        <f t="shared" si="226"/>
        <v>1137.895</v>
      </c>
      <c r="K471" s="105">
        <f t="shared" si="227"/>
        <v>1743.6760000000002</v>
      </c>
      <c r="N471" s="107">
        <f t="shared" si="207"/>
        <v>446.56700000000006</v>
      </c>
      <c r="O471" s="107">
        <f t="shared" si="208"/>
        <v>622.95200000000011</v>
      </c>
      <c r="P471" s="107">
        <f t="shared" si="209"/>
        <v>875.98500000000013</v>
      </c>
      <c r="R471" s="107">
        <f t="shared" si="210"/>
        <v>881.58400000000017</v>
      </c>
      <c r="S471" s="107">
        <f t="shared" si="211"/>
        <v>890.8900000000001</v>
      </c>
      <c r="T471" s="107">
        <f t="shared" si="212"/>
        <v>1212.9260000000002</v>
      </c>
      <c r="V471" s="107">
        <f t="shared" si="213"/>
        <v>181.511</v>
      </c>
      <c r="W471" s="107">
        <f t="shared" si="214"/>
        <v>265.12200000000001</v>
      </c>
      <c r="X471" s="107">
        <f t="shared" si="215"/>
        <v>366.38800000000003</v>
      </c>
      <c r="Z471" s="107">
        <f t="shared" si="216"/>
        <v>1051.105</v>
      </c>
      <c r="AA471" s="107">
        <f t="shared" si="217"/>
        <v>1461.6470000000002</v>
      </c>
      <c r="AB471" s="107">
        <f t="shared" si="218"/>
        <v>1743.6760000000002</v>
      </c>
      <c r="AD471" s="107">
        <f t="shared" si="219"/>
        <v>819.50000000000011</v>
      </c>
      <c r="AE471" s="107">
        <f t="shared" si="220"/>
        <v>1235.3000000000002</v>
      </c>
      <c r="AF471" s="107">
        <f t="shared" si="221"/>
        <v>1490.5000000000002</v>
      </c>
      <c r="AH471" s="107">
        <v>405.97</v>
      </c>
      <c r="AI471" s="107">
        <v>566.32000000000005</v>
      </c>
      <c r="AJ471" s="107">
        <v>796.35</v>
      </c>
      <c r="AK471" s="107">
        <v>801.44</v>
      </c>
      <c r="AL471" s="107">
        <v>809.9</v>
      </c>
      <c r="AM471" s="107">
        <v>1102.6600000000001</v>
      </c>
      <c r="AN471" s="107">
        <v>165.01</v>
      </c>
      <c r="AO471" s="107">
        <v>241.02</v>
      </c>
      <c r="AP471" s="107">
        <v>333.08</v>
      </c>
      <c r="AQ471" s="107">
        <v>955.55</v>
      </c>
      <c r="AR471" s="107">
        <v>1328.77</v>
      </c>
      <c r="AS471" s="107">
        <v>1585.16</v>
      </c>
      <c r="AT471" s="107">
        <v>745</v>
      </c>
      <c r="AU471" s="107">
        <v>1123</v>
      </c>
      <c r="AV471" s="107">
        <v>1355</v>
      </c>
    </row>
    <row r="472" spans="1:48" ht="30" customHeight="1" outlineLevel="2">
      <c r="A472" s="116" t="s">
        <v>1157</v>
      </c>
      <c r="B472" s="117" t="s">
        <v>1158</v>
      </c>
      <c r="C472" s="134" t="s">
        <v>242</v>
      </c>
      <c r="E472" s="105">
        <f t="shared" si="222"/>
        <v>414.04</v>
      </c>
      <c r="F472" s="105">
        <f t="shared" si="223"/>
        <v>979.99220000000003</v>
      </c>
      <c r="G472" s="105">
        <f t="shared" si="224"/>
        <v>1676.4</v>
      </c>
      <c r="H472" s="106"/>
      <c r="I472" s="105">
        <f t="shared" si="225"/>
        <v>792.09900000000005</v>
      </c>
      <c r="J472" s="105">
        <f t="shared" si="226"/>
        <v>1679.6582000000003</v>
      </c>
      <c r="K472" s="105">
        <f t="shared" si="227"/>
        <v>2999.7000000000003</v>
      </c>
      <c r="N472" s="107">
        <f t="shared" si="207"/>
        <v>415.39300000000003</v>
      </c>
      <c r="O472" s="107">
        <f t="shared" si="208"/>
        <v>569.87700000000007</v>
      </c>
      <c r="P472" s="107">
        <f t="shared" si="209"/>
        <v>792.09900000000005</v>
      </c>
      <c r="R472" s="107">
        <f t="shared" si="210"/>
        <v>1286.846</v>
      </c>
      <c r="S472" s="107">
        <f t="shared" si="211"/>
        <v>1639.2640000000001</v>
      </c>
      <c r="T472" s="107">
        <f t="shared" si="212"/>
        <v>1895.2230000000002</v>
      </c>
      <c r="V472" s="107">
        <f t="shared" si="213"/>
        <v>414.04</v>
      </c>
      <c r="W472" s="107">
        <f t="shared" si="214"/>
        <v>641.81700000000012</v>
      </c>
      <c r="X472" s="107">
        <f t="shared" si="215"/>
        <v>874.91800000000012</v>
      </c>
      <c r="Z472" s="107">
        <f t="shared" si="216"/>
        <v>1107.2820000000002</v>
      </c>
      <c r="AA472" s="107">
        <f t="shared" si="217"/>
        <v>1540.2860000000001</v>
      </c>
      <c r="AB472" s="107">
        <f t="shared" si="218"/>
        <v>1836.3510000000003</v>
      </c>
      <c r="AD472" s="107">
        <f t="shared" si="219"/>
        <v>1676.4</v>
      </c>
      <c r="AE472" s="107">
        <f t="shared" si="220"/>
        <v>2499.2000000000003</v>
      </c>
      <c r="AF472" s="107">
        <f t="shared" si="221"/>
        <v>2999.7000000000003</v>
      </c>
      <c r="AH472" s="107">
        <v>377.63</v>
      </c>
      <c r="AI472" s="107">
        <v>518.07000000000005</v>
      </c>
      <c r="AJ472" s="107">
        <v>720.09</v>
      </c>
      <c r="AK472" s="107">
        <v>1169.8599999999999</v>
      </c>
      <c r="AL472" s="107">
        <v>1490.24</v>
      </c>
      <c r="AM472" s="107">
        <v>1722.93</v>
      </c>
      <c r="AN472" s="107">
        <v>376.4</v>
      </c>
      <c r="AO472" s="107">
        <v>583.47</v>
      </c>
      <c r="AP472" s="107">
        <v>795.38</v>
      </c>
      <c r="AQ472" s="107">
        <v>1006.62</v>
      </c>
      <c r="AR472" s="107">
        <v>1400.26</v>
      </c>
      <c r="AS472" s="107">
        <v>1669.41</v>
      </c>
      <c r="AT472" s="107">
        <v>1524</v>
      </c>
      <c r="AU472" s="107">
        <v>2272</v>
      </c>
      <c r="AV472" s="107">
        <v>2727</v>
      </c>
    </row>
    <row r="473" spans="1:48" ht="30" customHeight="1" outlineLevel="2">
      <c r="A473" s="116" t="s">
        <v>1159</v>
      </c>
      <c r="B473" s="117" t="s">
        <v>1160</v>
      </c>
      <c r="C473" s="134" t="s">
        <v>242</v>
      </c>
      <c r="E473" s="105">
        <f t="shared" si="222"/>
        <v>549.07600000000002</v>
      </c>
      <c r="F473" s="105">
        <f t="shared" si="223"/>
        <v>1345.3022000000001</v>
      </c>
      <c r="G473" s="105">
        <f t="shared" si="224"/>
        <v>2123</v>
      </c>
      <c r="H473" s="106"/>
      <c r="I473" s="105">
        <f t="shared" si="225"/>
        <v>1170.2460000000001</v>
      </c>
      <c r="J473" s="105">
        <f t="shared" si="226"/>
        <v>2259.6222000000002</v>
      </c>
      <c r="K473" s="105">
        <f t="shared" si="227"/>
        <v>3803.8</v>
      </c>
      <c r="N473" s="107">
        <f t="shared" si="207"/>
        <v>738.72700000000009</v>
      </c>
      <c r="O473" s="107">
        <f t="shared" si="208"/>
        <v>1002.7600000000001</v>
      </c>
      <c r="P473" s="107">
        <f t="shared" si="209"/>
        <v>1379.0040000000001</v>
      </c>
      <c r="R473" s="107">
        <f t="shared" si="210"/>
        <v>2036.3420000000001</v>
      </c>
      <c r="S473" s="107">
        <f t="shared" si="211"/>
        <v>2496.8020000000006</v>
      </c>
      <c r="T473" s="107">
        <f t="shared" si="212"/>
        <v>2824.7669999999998</v>
      </c>
      <c r="V473" s="107">
        <f t="shared" si="213"/>
        <v>549.07600000000002</v>
      </c>
      <c r="W473" s="107">
        <f t="shared" si="214"/>
        <v>860.57400000000007</v>
      </c>
      <c r="X473" s="107">
        <f t="shared" si="215"/>
        <v>1170.2460000000001</v>
      </c>
      <c r="Z473" s="107">
        <f t="shared" si="216"/>
        <v>1279.366</v>
      </c>
      <c r="AA473" s="107">
        <f t="shared" si="217"/>
        <v>1781.2080000000001</v>
      </c>
      <c r="AB473" s="107">
        <f t="shared" si="218"/>
        <v>2120.2940000000003</v>
      </c>
      <c r="AD473" s="107">
        <f t="shared" si="219"/>
        <v>2123</v>
      </c>
      <c r="AE473" s="107">
        <f t="shared" si="220"/>
        <v>3169.1000000000004</v>
      </c>
      <c r="AF473" s="107">
        <f t="shared" si="221"/>
        <v>3803.8</v>
      </c>
      <c r="AH473" s="107">
        <v>671.57</v>
      </c>
      <c r="AI473" s="107">
        <v>911.6</v>
      </c>
      <c r="AJ473" s="107">
        <v>1253.6400000000001</v>
      </c>
      <c r="AK473" s="107">
        <v>1851.22</v>
      </c>
      <c r="AL473" s="107">
        <v>2269.8200000000002</v>
      </c>
      <c r="AM473" s="107">
        <v>2567.9699999999998</v>
      </c>
      <c r="AN473" s="107">
        <v>499.16</v>
      </c>
      <c r="AO473" s="107">
        <v>782.34</v>
      </c>
      <c r="AP473" s="107">
        <v>1063.8599999999999</v>
      </c>
      <c r="AQ473" s="107">
        <v>1163.06</v>
      </c>
      <c r="AR473" s="107">
        <v>1619.28</v>
      </c>
      <c r="AS473" s="107">
        <v>1927.54</v>
      </c>
      <c r="AT473" s="107">
        <v>1930</v>
      </c>
      <c r="AU473" s="107">
        <v>2881</v>
      </c>
      <c r="AV473" s="107">
        <v>3458</v>
      </c>
    </row>
    <row r="474" spans="1:48" ht="30" customHeight="1" outlineLevel="2">
      <c r="A474" s="116" t="s">
        <v>1161</v>
      </c>
      <c r="B474" s="117" t="s">
        <v>1162</v>
      </c>
      <c r="C474" s="134" t="s">
        <v>242</v>
      </c>
      <c r="E474" s="105">
        <f t="shared" si="222"/>
        <v>301.16900000000004</v>
      </c>
      <c r="F474" s="105">
        <f t="shared" si="223"/>
        <v>517.67319999999995</v>
      </c>
      <c r="G474" s="105">
        <f t="shared" si="224"/>
        <v>805.46400000000006</v>
      </c>
      <c r="H474" s="106"/>
      <c r="I474" s="105">
        <f t="shared" si="225"/>
        <v>628.06700000000012</v>
      </c>
      <c r="J474" s="105">
        <f t="shared" si="226"/>
        <v>894.92920000000015</v>
      </c>
      <c r="K474" s="105">
        <f t="shared" si="227"/>
        <v>1338.3700000000001</v>
      </c>
      <c r="N474" s="107">
        <f t="shared" si="207"/>
        <v>344.34400000000005</v>
      </c>
      <c r="O474" s="107">
        <f t="shared" si="208"/>
        <v>476.91600000000005</v>
      </c>
      <c r="P474" s="107">
        <f t="shared" si="209"/>
        <v>668.33800000000008</v>
      </c>
      <c r="R474" s="107">
        <f t="shared" si="210"/>
        <v>684.18900000000008</v>
      </c>
      <c r="S474" s="107">
        <f t="shared" si="211"/>
        <v>694.24300000000005</v>
      </c>
      <c r="T474" s="107">
        <f t="shared" si="212"/>
        <v>1009.3710000000001</v>
      </c>
      <c r="V474" s="107">
        <f t="shared" si="213"/>
        <v>301.16900000000004</v>
      </c>
      <c r="W474" s="107">
        <f t="shared" si="214"/>
        <v>458.96400000000006</v>
      </c>
      <c r="X474" s="107">
        <f t="shared" si="215"/>
        <v>628.06700000000012</v>
      </c>
      <c r="Z474" s="107">
        <f t="shared" si="216"/>
        <v>805.46400000000006</v>
      </c>
      <c r="AA474" s="107">
        <f t="shared" si="217"/>
        <v>1117.7540000000001</v>
      </c>
      <c r="AB474" s="107">
        <f t="shared" si="218"/>
        <v>1338.3700000000001</v>
      </c>
      <c r="AD474" s="107">
        <f t="shared" si="219"/>
        <v>453.20000000000005</v>
      </c>
      <c r="AE474" s="107">
        <f t="shared" si="220"/>
        <v>685.30000000000007</v>
      </c>
      <c r="AF474" s="107">
        <f t="shared" si="221"/>
        <v>830.50000000000011</v>
      </c>
      <c r="AH474" s="107">
        <v>313.04000000000002</v>
      </c>
      <c r="AI474" s="107">
        <v>433.56</v>
      </c>
      <c r="AJ474" s="107">
        <v>607.58000000000004</v>
      </c>
      <c r="AK474" s="107">
        <v>621.99</v>
      </c>
      <c r="AL474" s="107">
        <v>631.13</v>
      </c>
      <c r="AM474" s="107">
        <v>917.61</v>
      </c>
      <c r="AN474" s="107">
        <v>273.79000000000002</v>
      </c>
      <c r="AO474" s="107">
        <v>417.24</v>
      </c>
      <c r="AP474" s="107">
        <v>570.97</v>
      </c>
      <c r="AQ474" s="107">
        <v>732.24</v>
      </c>
      <c r="AR474" s="107">
        <v>1016.14</v>
      </c>
      <c r="AS474" s="107">
        <v>1216.7</v>
      </c>
      <c r="AT474" s="107">
        <v>412</v>
      </c>
      <c r="AU474" s="107">
        <v>623</v>
      </c>
      <c r="AV474" s="107">
        <v>755</v>
      </c>
    </row>
    <row r="475" spans="1:48" ht="30" customHeight="1" outlineLevel="2" thickBot="1">
      <c r="A475" s="116" t="s">
        <v>1163</v>
      </c>
      <c r="B475" s="117" t="s">
        <v>1164</v>
      </c>
      <c r="C475" s="134" t="s">
        <v>242</v>
      </c>
      <c r="E475" s="105">
        <f t="shared" si="222"/>
        <v>346.11500000000001</v>
      </c>
      <c r="F475" s="105">
        <f t="shared" si="223"/>
        <v>732.40860000000009</v>
      </c>
      <c r="G475" s="105">
        <f t="shared" si="224"/>
        <v>1224.7730000000001</v>
      </c>
      <c r="H475" s="106"/>
      <c r="I475" s="105">
        <f t="shared" si="225"/>
        <v>726.36300000000006</v>
      </c>
      <c r="J475" s="105">
        <f t="shared" si="226"/>
        <v>1239.2512000000002</v>
      </c>
      <c r="K475" s="105">
        <f t="shared" si="227"/>
        <v>2030.2260000000003</v>
      </c>
      <c r="N475" s="107">
        <f t="shared" si="207"/>
        <v>454.54200000000009</v>
      </c>
      <c r="O475" s="107">
        <f t="shared" si="208"/>
        <v>630.92700000000013</v>
      </c>
      <c r="P475" s="107">
        <f t="shared" si="209"/>
        <v>883.96000000000015</v>
      </c>
      <c r="R475" s="107">
        <f t="shared" si="210"/>
        <v>968.91300000000012</v>
      </c>
      <c r="S475" s="107">
        <f t="shared" si="211"/>
        <v>982.55300000000011</v>
      </c>
      <c r="T475" s="107">
        <f t="shared" si="212"/>
        <v>1339.107</v>
      </c>
      <c r="V475" s="107">
        <f t="shared" si="213"/>
        <v>346.11500000000001</v>
      </c>
      <c r="W475" s="107">
        <f t="shared" si="214"/>
        <v>531.77300000000002</v>
      </c>
      <c r="X475" s="107">
        <f t="shared" si="215"/>
        <v>726.36300000000006</v>
      </c>
      <c r="Z475" s="107">
        <f t="shared" si="216"/>
        <v>1224.7730000000001</v>
      </c>
      <c r="AA475" s="107">
        <f t="shared" si="217"/>
        <v>1704.7800000000002</v>
      </c>
      <c r="AB475" s="107">
        <f t="shared" si="218"/>
        <v>2030.2260000000003</v>
      </c>
      <c r="AD475" s="107">
        <f t="shared" si="219"/>
        <v>667.7</v>
      </c>
      <c r="AE475" s="107">
        <f t="shared" si="220"/>
        <v>1007.6000000000001</v>
      </c>
      <c r="AF475" s="107">
        <f t="shared" si="221"/>
        <v>1216.6000000000001</v>
      </c>
      <c r="AH475" s="107">
        <v>413.22</v>
      </c>
      <c r="AI475" s="107">
        <v>573.57000000000005</v>
      </c>
      <c r="AJ475" s="107">
        <v>803.6</v>
      </c>
      <c r="AK475" s="107">
        <v>880.83</v>
      </c>
      <c r="AL475" s="107">
        <v>893.23</v>
      </c>
      <c r="AM475" s="107">
        <v>1217.3699999999999</v>
      </c>
      <c r="AN475" s="107">
        <v>314.64999999999998</v>
      </c>
      <c r="AO475" s="107">
        <v>483.43</v>
      </c>
      <c r="AP475" s="107">
        <v>660.33</v>
      </c>
      <c r="AQ475" s="107">
        <v>1113.43</v>
      </c>
      <c r="AR475" s="107">
        <v>1549.8</v>
      </c>
      <c r="AS475" s="107">
        <v>1845.66</v>
      </c>
      <c r="AT475" s="107">
        <v>607</v>
      </c>
      <c r="AU475" s="107">
        <v>916</v>
      </c>
      <c r="AV475" s="107">
        <v>1106</v>
      </c>
    </row>
    <row r="476" spans="1:48" ht="30" customHeight="1" thickBot="1">
      <c r="A476" s="96" t="s">
        <v>1165</v>
      </c>
      <c r="B476" s="115" t="s">
        <v>1166</v>
      </c>
      <c r="C476" s="98"/>
      <c r="N476" s="11" t="str">
        <f t="shared" si="207"/>
        <v/>
      </c>
      <c r="O476" s="11" t="str">
        <f t="shared" si="208"/>
        <v/>
      </c>
      <c r="P476" s="11" t="str">
        <f t="shared" si="209"/>
        <v/>
      </c>
      <c r="R476" s="11" t="str">
        <f t="shared" si="210"/>
        <v/>
      </c>
      <c r="S476" s="11" t="str">
        <f t="shared" si="211"/>
        <v/>
      </c>
      <c r="T476" s="11" t="str">
        <f t="shared" si="212"/>
        <v/>
      </c>
      <c r="V476" s="11" t="str">
        <f t="shared" si="213"/>
        <v/>
      </c>
      <c r="W476" s="11" t="str">
        <f t="shared" si="214"/>
        <v/>
      </c>
      <c r="X476" s="11" t="str">
        <f t="shared" si="215"/>
        <v/>
      </c>
      <c r="Z476" s="11" t="str">
        <f t="shared" si="216"/>
        <v/>
      </c>
      <c r="AA476" s="11" t="str">
        <f t="shared" si="217"/>
        <v/>
      </c>
      <c r="AB476" s="11" t="str">
        <f t="shared" si="218"/>
        <v/>
      </c>
      <c r="AD476" s="11" t="str">
        <f t="shared" si="219"/>
        <v/>
      </c>
      <c r="AE476" s="11" t="str">
        <f t="shared" si="220"/>
        <v/>
      </c>
      <c r="AF476" s="11" t="str">
        <f t="shared" si="221"/>
        <v/>
      </c>
    </row>
    <row r="477" spans="1:48" ht="30" customHeight="1" outlineLevel="1">
      <c r="A477" s="132" t="s">
        <v>1167</v>
      </c>
      <c r="B477" s="133" t="s">
        <v>1168</v>
      </c>
      <c r="C477" s="101"/>
      <c r="N477" s="11" t="str">
        <f t="shared" si="207"/>
        <v/>
      </c>
      <c r="O477" s="11" t="str">
        <f t="shared" si="208"/>
        <v/>
      </c>
      <c r="P477" s="11" t="str">
        <f t="shared" si="209"/>
        <v/>
      </c>
      <c r="R477" s="11" t="str">
        <f t="shared" si="210"/>
        <v/>
      </c>
      <c r="S477" s="11" t="str">
        <f t="shared" si="211"/>
        <v/>
      </c>
      <c r="T477" s="11" t="str">
        <f t="shared" si="212"/>
        <v/>
      </c>
      <c r="V477" s="11" t="str">
        <f t="shared" si="213"/>
        <v/>
      </c>
      <c r="W477" s="11" t="str">
        <f t="shared" si="214"/>
        <v/>
      </c>
      <c r="X477" s="11" t="str">
        <f t="shared" si="215"/>
        <v/>
      </c>
      <c r="Z477" s="11" t="str">
        <f t="shared" si="216"/>
        <v/>
      </c>
      <c r="AA477" s="11" t="str">
        <f t="shared" si="217"/>
        <v/>
      </c>
      <c r="AB477" s="11" t="str">
        <f t="shared" si="218"/>
        <v/>
      </c>
      <c r="AD477" s="11" t="str">
        <f t="shared" si="219"/>
        <v/>
      </c>
      <c r="AE477" s="11" t="str">
        <f t="shared" si="220"/>
        <v/>
      </c>
      <c r="AF477" s="11" t="str">
        <f t="shared" si="221"/>
        <v/>
      </c>
    </row>
    <row r="478" spans="1:48" ht="30" customHeight="1" outlineLevel="2">
      <c r="A478" s="116" t="s">
        <v>1169</v>
      </c>
      <c r="B478" s="117" t="s">
        <v>1170</v>
      </c>
      <c r="C478" s="134" t="s">
        <v>242</v>
      </c>
      <c r="E478" s="105">
        <f t="shared" ref="E478:E483" si="228">MIN(N478,R478,V478,Z478,AD478)</f>
        <v>212.25600000000003</v>
      </c>
      <c r="F478" s="105">
        <f t="shared" ref="F478:F483" si="229">AVERAGE(N478,R478,V478,Z478,AD478)</f>
        <v>1303.258</v>
      </c>
      <c r="G478" s="105">
        <f t="shared" ref="G478:G483" si="230">MAX(N478,R478,V478,Z478,AD478)</f>
        <v>2287.6370000000002</v>
      </c>
      <c r="H478" s="106"/>
      <c r="I478" s="105">
        <f t="shared" ref="I478:I483" si="231">MIN(T478,X478,AB478,AF478,P478)</f>
        <v>433.63100000000003</v>
      </c>
      <c r="J478" s="105">
        <f t="shared" ref="J478:J483" si="232">AVERAGE(P478,T478,X478,AB478,AF478)</f>
        <v>2017.5694000000003</v>
      </c>
      <c r="K478" s="105">
        <f t="shared" ref="K478:K483" si="233">MAX(P478,T478,X478,AB478,AF478)</f>
        <v>3057.3070000000002</v>
      </c>
      <c r="N478" s="107">
        <f t="shared" si="207"/>
        <v>1088.1970000000001</v>
      </c>
      <c r="O478" s="107">
        <f t="shared" si="208"/>
        <v>1396.0650000000003</v>
      </c>
      <c r="P478" s="107">
        <f t="shared" si="209"/>
        <v>1833.9090000000001</v>
      </c>
      <c r="R478" s="107">
        <f t="shared" si="210"/>
        <v>2287.6370000000002</v>
      </c>
      <c r="S478" s="107">
        <f t="shared" si="211"/>
        <v>2736.3490000000002</v>
      </c>
      <c r="T478" s="107">
        <f t="shared" si="212"/>
        <v>3057.3070000000002</v>
      </c>
      <c r="V478" s="107">
        <f t="shared" si="213"/>
        <v>212.25600000000003</v>
      </c>
      <c r="W478" s="107">
        <f t="shared" si="214"/>
        <v>314.93000000000006</v>
      </c>
      <c r="X478" s="107">
        <f t="shared" si="215"/>
        <v>433.63100000000003</v>
      </c>
      <c r="Z478" s="107">
        <f t="shared" si="216"/>
        <v>1749.0000000000002</v>
      </c>
      <c r="AA478" s="107">
        <f t="shared" si="217"/>
        <v>2438.7000000000003</v>
      </c>
      <c r="AB478" s="107">
        <f t="shared" si="218"/>
        <v>2895.2000000000003</v>
      </c>
      <c r="AD478" s="107">
        <f t="shared" si="219"/>
        <v>1179.2</v>
      </c>
      <c r="AE478" s="107">
        <f t="shared" si="220"/>
        <v>1606.0000000000002</v>
      </c>
      <c r="AF478" s="107">
        <f t="shared" si="221"/>
        <v>1867.8000000000002</v>
      </c>
      <c r="AH478" s="107">
        <v>989.27</v>
      </c>
      <c r="AI478" s="107">
        <v>1269.1500000000001</v>
      </c>
      <c r="AJ478" s="107">
        <v>1667.19</v>
      </c>
      <c r="AK478" s="107">
        <v>2079.67</v>
      </c>
      <c r="AL478" s="107">
        <v>2487.59</v>
      </c>
      <c r="AM478" s="107">
        <v>2779.37</v>
      </c>
      <c r="AN478" s="107">
        <v>192.96</v>
      </c>
      <c r="AO478" s="107">
        <v>286.3</v>
      </c>
      <c r="AP478" s="107">
        <v>394.21</v>
      </c>
      <c r="AQ478" s="107">
        <v>1590</v>
      </c>
      <c r="AR478" s="107">
        <v>2217</v>
      </c>
      <c r="AS478" s="107">
        <v>2632</v>
      </c>
      <c r="AT478" s="107">
        <v>1072</v>
      </c>
      <c r="AU478" s="107">
        <v>1460</v>
      </c>
      <c r="AV478" s="107">
        <v>1698</v>
      </c>
    </row>
    <row r="479" spans="1:48" ht="30" customHeight="1" outlineLevel="2">
      <c r="A479" s="116" t="s">
        <v>1171</v>
      </c>
      <c r="B479" s="117" t="s">
        <v>1172</v>
      </c>
      <c r="C479" s="134" t="s">
        <v>242</v>
      </c>
      <c r="E479" s="105">
        <f t="shared" si="228"/>
        <v>152.33900000000003</v>
      </c>
      <c r="F479" s="105">
        <f t="shared" si="229"/>
        <v>530.17359999999996</v>
      </c>
      <c r="G479" s="105">
        <f t="shared" si="230"/>
        <v>663.01400000000001</v>
      </c>
      <c r="H479" s="106"/>
      <c r="I479" s="105">
        <f t="shared" si="231"/>
        <v>302.577</v>
      </c>
      <c r="J479" s="105">
        <f t="shared" si="232"/>
        <v>906.47700000000009</v>
      </c>
      <c r="K479" s="105">
        <f t="shared" si="233"/>
        <v>1223.3430000000003</v>
      </c>
      <c r="N479" s="107">
        <f t="shared" si="207"/>
        <v>635.77800000000002</v>
      </c>
      <c r="O479" s="107">
        <f t="shared" si="208"/>
        <v>877.89900000000011</v>
      </c>
      <c r="P479" s="107">
        <f t="shared" si="209"/>
        <v>1223.3430000000003</v>
      </c>
      <c r="R479" s="107">
        <f t="shared" si="210"/>
        <v>661.83699999999999</v>
      </c>
      <c r="S479" s="107">
        <f t="shared" si="211"/>
        <v>831.45700000000011</v>
      </c>
      <c r="T479" s="107">
        <f t="shared" si="212"/>
        <v>965.9430000000001</v>
      </c>
      <c r="V479" s="107">
        <f t="shared" si="213"/>
        <v>152.33900000000003</v>
      </c>
      <c r="W479" s="107">
        <f t="shared" si="214"/>
        <v>217.85500000000002</v>
      </c>
      <c r="X479" s="107">
        <f t="shared" si="215"/>
        <v>302.577</v>
      </c>
      <c r="Z479" s="107">
        <f t="shared" si="216"/>
        <v>663.01400000000001</v>
      </c>
      <c r="AA479" s="107">
        <f t="shared" si="217"/>
        <v>918.3130000000001</v>
      </c>
      <c r="AB479" s="107">
        <f t="shared" si="218"/>
        <v>1103.3220000000001</v>
      </c>
      <c r="AD479" s="107">
        <f t="shared" si="219"/>
        <v>537.90000000000009</v>
      </c>
      <c r="AE479" s="107">
        <f t="shared" si="220"/>
        <v>783.2</v>
      </c>
      <c r="AF479" s="107">
        <f t="shared" si="221"/>
        <v>937.2</v>
      </c>
      <c r="AH479" s="107">
        <v>577.98</v>
      </c>
      <c r="AI479" s="107">
        <v>798.09</v>
      </c>
      <c r="AJ479" s="107">
        <v>1112.1300000000001</v>
      </c>
      <c r="AK479" s="107">
        <v>601.66999999999996</v>
      </c>
      <c r="AL479" s="107">
        <v>755.87</v>
      </c>
      <c r="AM479" s="107">
        <v>878.13</v>
      </c>
      <c r="AN479" s="107">
        <v>138.49</v>
      </c>
      <c r="AO479" s="107">
        <v>198.05</v>
      </c>
      <c r="AP479" s="107">
        <v>275.07</v>
      </c>
      <c r="AQ479" s="107">
        <v>602.74</v>
      </c>
      <c r="AR479" s="107">
        <v>834.83</v>
      </c>
      <c r="AS479" s="107">
        <v>1003.02</v>
      </c>
      <c r="AT479" s="107">
        <v>489</v>
      </c>
      <c r="AU479" s="107">
        <v>712</v>
      </c>
      <c r="AV479" s="107">
        <v>852</v>
      </c>
    </row>
    <row r="480" spans="1:48" ht="30" customHeight="1" outlineLevel="2">
      <c r="A480" s="116" t="s">
        <v>1173</v>
      </c>
      <c r="B480" s="117" t="s">
        <v>1174</v>
      </c>
      <c r="C480" s="134" t="s">
        <v>242</v>
      </c>
      <c r="E480" s="105">
        <f t="shared" si="228"/>
        <v>212.27800000000002</v>
      </c>
      <c r="F480" s="105">
        <f t="shared" si="229"/>
        <v>594.34980000000007</v>
      </c>
      <c r="G480" s="105">
        <f t="shared" si="230"/>
        <v>758.91200000000003</v>
      </c>
      <c r="H480" s="106"/>
      <c r="I480" s="105">
        <f t="shared" si="231"/>
        <v>433.65300000000008</v>
      </c>
      <c r="J480" s="105">
        <f t="shared" si="232"/>
        <v>1020.4876000000002</v>
      </c>
      <c r="K480" s="105">
        <f t="shared" si="233"/>
        <v>1311.2</v>
      </c>
      <c r="N480" s="107">
        <f t="shared" si="207"/>
        <v>629.68400000000008</v>
      </c>
      <c r="O480" s="107">
        <f t="shared" si="208"/>
        <v>863.04900000000009</v>
      </c>
      <c r="P480" s="107">
        <f t="shared" si="209"/>
        <v>1196.1620000000003</v>
      </c>
      <c r="R480" s="107">
        <f t="shared" si="210"/>
        <v>625.07500000000005</v>
      </c>
      <c r="S480" s="107">
        <f t="shared" si="211"/>
        <v>777.11700000000008</v>
      </c>
      <c r="T480" s="107">
        <f t="shared" si="212"/>
        <v>899.87700000000018</v>
      </c>
      <c r="V480" s="107">
        <f t="shared" si="213"/>
        <v>212.27800000000002</v>
      </c>
      <c r="W480" s="107">
        <f t="shared" si="214"/>
        <v>314.952</v>
      </c>
      <c r="X480" s="107">
        <f t="shared" si="215"/>
        <v>433.65300000000008</v>
      </c>
      <c r="Z480" s="107">
        <f t="shared" si="216"/>
        <v>758.91200000000003</v>
      </c>
      <c r="AA480" s="107">
        <f t="shared" si="217"/>
        <v>1052.568</v>
      </c>
      <c r="AB480" s="107">
        <f t="shared" si="218"/>
        <v>1261.546</v>
      </c>
      <c r="AD480" s="107">
        <f t="shared" si="219"/>
        <v>745.80000000000007</v>
      </c>
      <c r="AE480" s="107">
        <f t="shared" si="220"/>
        <v>1095.6000000000001</v>
      </c>
      <c r="AF480" s="107">
        <f t="shared" si="221"/>
        <v>1311.2</v>
      </c>
      <c r="AH480" s="107">
        <v>572.44000000000005</v>
      </c>
      <c r="AI480" s="107">
        <v>784.59</v>
      </c>
      <c r="AJ480" s="107">
        <v>1087.42</v>
      </c>
      <c r="AK480" s="107">
        <v>568.25</v>
      </c>
      <c r="AL480" s="107">
        <v>706.47</v>
      </c>
      <c r="AM480" s="107">
        <v>818.07</v>
      </c>
      <c r="AN480" s="107">
        <v>192.98</v>
      </c>
      <c r="AO480" s="107">
        <v>286.32</v>
      </c>
      <c r="AP480" s="107">
        <v>394.23</v>
      </c>
      <c r="AQ480" s="107">
        <v>689.92</v>
      </c>
      <c r="AR480" s="107">
        <v>956.88</v>
      </c>
      <c r="AS480" s="107">
        <v>1146.8599999999999</v>
      </c>
      <c r="AT480" s="107">
        <v>678</v>
      </c>
      <c r="AU480" s="107">
        <v>996</v>
      </c>
      <c r="AV480" s="107">
        <v>1192</v>
      </c>
    </row>
    <row r="481" spans="1:48" ht="30" customHeight="1" outlineLevel="2">
      <c r="A481" s="116" t="s">
        <v>1175</v>
      </c>
      <c r="B481" s="117" t="s">
        <v>1176</v>
      </c>
      <c r="C481" s="134" t="s">
        <v>242</v>
      </c>
      <c r="E481" s="105">
        <f t="shared" si="228"/>
        <v>91.619000000000014</v>
      </c>
      <c r="F481" s="105">
        <f t="shared" si="229"/>
        <v>194.84960000000004</v>
      </c>
      <c r="G481" s="105">
        <f t="shared" si="230"/>
        <v>376.24400000000003</v>
      </c>
      <c r="H481" s="106"/>
      <c r="I481" s="105">
        <f t="shared" si="231"/>
        <v>169.77400000000003</v>
      </c>
      <c r="J481" s="105">
        <f t="shared" si="232"/>
        <v>332.67520000000002</v>
      </c>
      <c r="K481" s="105">
        <f t="shared" si="233"/>
        <v>700.23800000000006</v>
      </c>
      <c r="N481" s="107">
        <f t="shared" si="207"/>
        <v>376.24400000000003</v>
      </c>
      <c r="O481" s="107">
        <f t="shared" si="208"/>
        <v>508.81600000000003</v>
      </c>
      <c r="P481" s="107">
        <f t="shared" si="209"/>
        <v>700.23800000000006</v>
      </c>
      <c r="R481" s="107">
        <f t="shared" si="210"/>
        <v>148.44499999999999</v>
      </c>
      <c r="S481" s="107">
        <f t="shared" si="211"/>
        <v>164.285</v>
      </c>
      <c r="T481" s="107">
        <f t="shared" si="212"/>
        <v>195.72300000000001</v>
      </c>
      <c r="V481" s="107">
        <f t="shared" si="213"/>
        <v>91.619000000000014</v>
      </c>
      <c r="W481" s="107">
        <f t="shared" si="214"/>
        <v>119.49300000000001</v>
      </c>
      <c r="X481" s="107">
        <f t="shared" si="215"/>
        <v>169.77400000000003</v>
      </c>
      <c r="Z481" s="107">
        <f t="shared" si="216"/>
        <v>166.54000000000002</v>
      </c>
      <c r="AA481" s="107">
        <f t="shared" si="217"/>
        <v>223.25600000000003</v>
      </c>
      <c r="AB481" s="107">
        <f t="shared" si="218"/>
        <v>284.14100000000002</v>
      </c>
      <c r="AD481" s="107">
        <f t="shared" si="219"/>
        <v>191.4</v>
      </c>
      <c r="AE481" s="107">
        <f t="shared" si="220"/>
        <v>264</v>
      </c>
      <c r="AF481" s="107">
        <f t="shared" si="221"/>
        <v>313.5</v>
      </c>
      <c r="AH481" s="107">
        <v>342.04</v>
      </c>
      <c r="AI481" s="107">
        <v>462.56</v>
      </c>
      <c r="AJ481" s="107">
        <v>636.58000000000004</v>
      </c>
      <c r="AK481" s="107">
        <v>134.94999999999999</v>
      </c>
      <c r="AL481" s="107">
        <v>149.35</v>
      </c>
      <c r="AM481" s="107">
        <v>177.93</v>
      </c>
      <c r="AN481" s="107">
        <v>83.29</v>
      </c>
      <c r="AO481" s="107">
        <v>108.63</v>
      </c>
      <c r="AP481" s="107">
        <v>154.34</v>
      </c>
      <c r="AQ481" s="107">
        <v>151.4</v>
      </c>
      <c r="AR481" s="107">
        <v>202.96</v>
      </c>
      <c r="AS481" s="107">
        <v>258.31</v>
      </c>
      <c r="AT481" s="107">
        <v>174</v>
      </c>
      <c r="AU481" s="107">
        <v>240</v>
      </c>
      <c r="AV481" s="107">
        <v>285</v>
      </c>
    </row>
    <row r="482" spans="1:48" ht="30" customHeight="1" outlineLevel="2">
      <c r="A482" s="116" t="s">
        <v>1177</v>
      </c>
      <c r="B482" s="117" t="s">
        <v>1178</v>
      </c>
      <c r="C482" s="134" t="s">
        <v>242</v>
      </c>
      <c r="E482" s="105">
        <f t="shared" si="228"/>
        <v>106.40300000000002</v>
      </c>
      <c r="F482" s="105">
        <f t="shared" si="229"/>
        <v>532.43740000000003</v>
      </c>
      <c r="G482" s="105">
        <f t="shared" si="230"/>
        <v>807.92800000000011</v>
      </c>
      <c r="H482" s="106"/>
      <c r="I482" s="105">
        <f t="shared" si="231"/>
        <v>202.10300000000001</v>
      </c>
      <c r="J482" s="105">
        <f t="shared" si="232"/>
        <v>909.28200000000015</v>
      </c>
      <c r="K482" s="105">
        <f t="shared" si="233"/>
        <v>1409.1000000000001</v>
      </c>
      <c r="N482" s="107">
        <f t="shared" si="207"/>
        <v>295.32800000000003</v>
      </c>
      <c r="O482" s="107">
        <f t="shared" si="208"/>
        <v>414.74400000000003</v>
      </c>
      <c r="P482" s="107">
        <f t="shared" si="209"/>
        <v>587.68600000000004</v>
      </c>
      <c r="R482" s="107">
        <f t="shared" si="210"/>
        <v>678.12800000000004</v>
      </c>
      <c r="S482" s="107">
        <f t="shared" si="211"/>
        <v>861.17900000000009</v>
      </c>
      <c r="T482" s="107">
        <f t="shared" si="212"/>
        <v>1005.0920000000001</v>
      </c>
      <c r="V482" s="107">
        <f t="shared" si="213"/>
        <v>106.40300000000002</v>
      </c>
      <c r="W482" s="107">
        <f t="shared" si="214"/>
        <v>143.429</v>
      </c>
      <c r="X482" s="107">
        <f t="shared" si="215"/>
        <v>202.10300000000001</v>
      </c>
      <c r="Z482" s="107">
        <f t="shared" si="216"/>
        <v>807.92800000000011</v>
      </c>
      <c r="AA482" s="107">
        <f t="shared" si="217"/>
        <v>1121.1970000000001</v>
      </c>
      <c r="AB482" s="107">
        <f t="shared" si="218"/>
        <v>1342.4290000000003</v>
      </c>
      <c r="AD482" s="107">
        <f t="shared" si="219"/>
        <v>774.40000000000009</v>
      </c>
      <c r="AE482" s="107">
        <f t="shared" si="220"/>
        <v>1167.1000000000001</v>
      </c>
      <c r="AF482" s="107">
        <f t="shared" si="221"/>
        <v>1409.1000000000001</v>
      </c>
      <c r="AH482" s="107">
        <v>268.48</v>
      </c>
      <c r="AI482" s="107">
        <v>377.04</v>
      </c>
      <c r="AJ482" s="107">
        <v>534.26</v>
      </c>
      <c r="AK482" s="107">
        <v>616.48</v>
      </c>
      <c r="AL482" s="107">
        <v>782.89</v>
      </c>
      <c r="AM482" s="107">
        <v>913.72</v>
      </c>
      <c r="AN482" s="107">
        <v>96.73</v>
      </c>
      <c r="AO482" s="107">
        <v>130.38999999999999</v>
      </c>
      <c r="AP482" s="107">
        <v>183.73</v>
      </c>
      <c r="AQ482" s="107">
        <v>734.48</v>
      </c>
      <c r="AR482" s="107">
        <v>1019.27</v>
      </c>
      <c r="AS482" s="107">
        <v>1220.3900000000001</v>
      </c>
      <c r="AT482" s="107">
        <v>704</v>
      </c>
      <c r="AU482" s="107">
        <v>1061</v>
      </c>
      <c r="AV482" s="107">
        <v>1281</v>
      </c>
    </row>
    <row r="483" spans="1:48" ht="30" customHeight="1" outlineLevel="2">
      <c r="A483" s="116" t="s">
        <v>1179</v>
      </c>
      <c r="B483" s="117" t="s">
        <v>1180</v>
      </c>
      <c r="C483" s="134" t="s">
        <v>242</v>
      </c>
      <c r="E483" s="105">
        <f t="shared" si="228"/>
        <v>106.40300000000002</v>
      </c>
      <c r="F483" s="105">
        <f t="shared" si="229"/>
        <v>351.6656000000001</v>
      </c>
      <c r="G483" s="105">
        <f t="shared" si="230"/>
        <v>553.30000000000007</v>
      </c>
      <c r="H483" s="106"/>
      <c r="I483" s="105">
        <f t="shared" si="231"/>
        <v>202.10300000000001</v>
      </c>
      <c r="J483" s="105">
        <f t="shared" si="232"/>
        <v>606.36180000000002</v>
      </c>
      <c r="K483" s="105">
        <f t="shared" si="233"/>
        <v>1010.9000000000001</v>
      </c>
      <c r="N483" s="107">
        <f t="shared" si="207"/>
        <v>185.13000000000002</v>
      </c>
      <c r="O483" s="107">
        <f t="shared" si="208"/>
        <v>260.733</v>
      </c>
      <c r="P483" s="107">
        <f t="shared" si="209"/>
        <v>372.06400000000002</v>
      </c>
      <c r="R483" s="107">
        <f t="shared" si="210"/>
        <v>385.19800000000004</v>
      </c>
      <c r="S483" s="107">
        <f t="shared" si="211"/>
        <v>480.59000000000003</v>
      </c>
      <c r="T483" s="107">
        <f t="shared" si="212"/>
        <v>565.697</v>
      </c>
      <c r="V483" s="107">
        <f t="shared" si="213"/>
        <v>106.40300000000002</v>
      </c>
      <c r="W483" s="107">
        <f t="shared" si="214"/>
        <v>143.429</v>
      </c>
      <c r="X483" s="107">
        <f t="shared" si="215"/>
        <v>202.10300000000001</v>
      </c>
      <c r="Z483" s="107">
        <f t="shared" si="216"/>
        <v>528.29700000000003</v>
      </c>
      <c r="AA483" s="107">
        <f t="shared" si="217"/>
        <v>729.71800000000007</v>
      </c>
      <c r="AB483" s="107">
        <f t="shared" si="218"/>
        <v>881.04500000000007</v>
      </c>
      <c r="AD483" s="107">
        <f t="shared" si="219"/>
        <v>553.30000000000007</v>
      </c>
      <c r="AE483" s="107">
        <f t="shared" si="220"/>
        <v>836.00000000000011</v>
      </c>
      <c r="AF483" s="107">
        <f t="shared" si="221"/>
        <v>1010.9000000000001</v>
      </c>
      <c r="AH483" s="107">
        <v>168.3</v>
      </c>
      <c r="AI483" s="107">
        <v>237.03</v>
      </c>
      <c r="AJ483" s="107">
        <v>338.24</v>
      </c>
      <c r="AK483" s="107">
        <v>350.18</v>
      </c>
      <c r="AL483" s="107">
        <v>436.9</v>
      </c>
      <c r="AM483" s="107">
        <v>514.27</v>
      </c>
      <c r="AN483" s="107">
        <v>96.73</v>
      </c>
      <c r="AO483" s="107">
        <v>130.38999999999999</v>
      </c>
      <c r="AP483" s="107">
        <v>183.73</v>
      </c>
      <c r="AQ483" s="107">
        <v>480.27</v>
      </c>
      <c r="AR483" s="107">
        <v>663.38</v>
      </c>
      <c r="AS483" s="107">
        <v>800.95</v>
      </c>
      <c r="AT483" s="107">
        <v>503</v>
      </c>
      <c r="AU483" s="107">
        <v>760</v>
      </c>
      <c r="AV483" s="107">
        <v>919</v>
      </c>
    </row>
    <row r="484" spans="1:48" ht="30" customHeight="1" outlineLevel="1">
      <c r="A484" s="132" t="s">
        <v>1181</v>
      </c>
      <c r="B484" s="133" t="s">
        <v>1182</v>
      </c>
      <c r="C484" s="101"/>
      <c r="N484" s="11" t="str">
        <f t="shared" si="207"/>
        <v/>
      </c>
      <c r="O484" s="11" t="str">
        <f t="shared" si="208"/>
        <v/>
      </c>
      <c r="P484" s="11" t="str">
        <f t="shared" si="209"/>
        <v/>
      </c>
      <c r="R484" s="11" t="str">
        <f t="shared" si="210"/>
        <v/>
      </c>
      <c r="S484" s="11" t="str">
        <f t="shared" si="211"/>
        <v/>
      </c>
      <c r="T484" s="11" t="str">
        <f t="shared" si="212"/>
        <v/>
      </c>
      <c r="V484" s="11" t="str">
        <f t="shared" si="213"/>
        <v/>
      </c>
      <c r="W484" s="11" t="str">
        <f t="shared" si="214"/>
        <v/>
      </c>
      <c r="X484" s="11" t="str">
        <f t="shared" si="215"/>
        <v/>
      </c>
      <c r="Z484" s="11" t="str">
        <f t="shared" si="216"/>
        <v/>
      </c>
      <c r="AA484" s="11" t="str">
        <f t="shared" si="217"/>
        <v/>
      </c>
      <c r="AB484" s="11" t="str">
        <f t="shared" si="218"/>
        <v/>
      </c>
      <c r="AD484" s="11" t="str">
        <f t="shared" si="219"/>
        <v/>
      </c>
      <c r="AE484" s="11" t="str">
        <f t="shared" si="220"/>
        <v/>
      </c>
      <c r="AF484" s="11" t="str">
        <f t="shared" si="221"/>
        <v/>
      </c>
    </row>
    <row r="485" spans="1:48" ht="30" customHeight="1" outlineLevel="2">
      <c r="A485" s="116" t="s">
        <v>1183</v>
      </c>
      <c r="B485" s="117" t="s">
        <v>1184</v>
      </c>
      <c r="C485" s="134" t="s">
        <v>242</v>
      </c>
      <c r="E485" s="105">
        <f>MIN(N485,R485,V485,Z485,AD485)</f>
        <v>376.09000000000003</v>
      </c>
      <c r="F485" s="105">
        <f>AVERAGE(N485,R485,V485,Z485,AD485)</f>
        <v>609.07000000000005</v>
      </c>
      <c r="G485" s="105">
        <f>MAX(N485,R485,V485,Z485,AD485)</f>
        <v>966.40499999999997</v>
      </c>
      <c r="H485" s="106"/>
      <c r="I485" s="105">
        <f>MIN(T485,X485,AB485,AF485,P485)</f>
        <v>791.923</v>
      </c>
      <c r="J485" s="105">
        <f>AVERAGE(P485,T485,X485,AB485,AF485)</f>
        <v>1041.3546000000001</v>
      </c>
      <c r="K485" s="105">
        <f>MAX(P485,T485,X485,AB485,AF485)</f>
        <v>1424.4450000000002</v>
      </c>
      <c r="N485" s="107">
        <f t="shared" si="207"/>
        <v>513.98599999999999</v>
      </c>
      <c r="O485" s="107">
        <f t="shared" si="208"/>
        <v>701.33800000000008</v>
      </c>
      <c r="P485" s="107">
        <f t="shared" si="209"/>
        <v>969.7600000000001</v>
      </c>
      <c r="R485" s="107">
        <f t="shared" si="210"/>
        <v>966.40499999999997</v>
      </c>
      <c r="S485" s="107">
        <f t="shared" si="211"/>
        <v>1228.6890000000001</v>
      </c>
      <c r="T485" s="107">
        <f t="shared" si="212"/>
        <v>1424.4450000000002</v>
      </c>
      <c r="V485" s="107">
        <f t="shared" si="213"/>
        <v>376.09000000000003</v>
      </c>
      <c r="W485" s="107">
        <f t="shared" si="214"/>
        <v>580.33800000000008</v>
      </c>
      <c r="X485" s="107">
        <f t="shared" si="215"/>
        <v>791.923</v>
      </c>
      <c r="Z485" s="107">
        <f t="shared" si="216"/>
        <v>650.96900000000005</v>
      </c>
      <c r="AA485" s="107">
        <f t="shared" si="217"/>
        <v>901.45</v>
      </c>
      <c r="AB485" s="107">
        <f t="shared" si="218"/>
        <v>1083.4450000000002</v>
      </c>
      <c r="AD485" s="107">
        <f t="shared" si="219"/>
        <v>537.90000000000009</v>
      </c>
      <c r="AE485" s="107">
        <f t="shared" si="220"/>
        <v>783.2</v>
      </c>
      <c r="AF485" s="107">
        <f t="shared" si="221"/>
        <v>937.2</v>
      </c>
      <c r="AH485" s="107">
        <v>467.26</v>
      </c>
      <c r="AI485" s="107">
        <v>637.58000000000004</v>
      </c>
      <c r="AJ485" s="107">
        <v>881.6</v>
      </c>
      <c r="AK485" s="107">
        <v>878.55</v>
      </c>
      <c r="AL485" s="107">
        <v>1116.99</v>
      </c>
      <c r="AM485" s="107">
        <v>1294.95</v>
      </c>
      <c r="AN485" s="107">
        <v>341.9</v>
      </c>
      <c r="AO485" s="107">
        <v>527.58000000000004</v>
      </c>
      <c r="AP485" s="107">
        <v>719.93</v>
      </c>
      <c r="AQ485" s="107">
        <v>591.79</v>
      </c>
      <c r="AR485" s="107">
        <v>819.5</v>
      </c>
      <c r="AS485" s="107">
        <v>984.95</v>
      </c>
      <c r="AT485" s="107">
        <v>489</v>
      </c>
      <c r="AU485" s="107">
        <v>712</v>
      </c>
      <c r="AV485" s="107">
        <v>852</v>
      </c>
    </row>
    <row r="486" spans="1:48" ht="30" customHeight="1" outlineLevel="2">
      <c r="A486" s="116" t="s">
        <v>1185</v>
      </c>
      <c r="B486" s="117" t="s">
        <v>1186</v>
      </c>
      <c r="C486" s="134" t="s">
        <v>242</v>
      </c>
      <c r="E486" s="105">
        <f>MIN(N486,R486,V486,Z486,AD486)</f>
        <v>286.19800000000004</v>
      </c>
      <c r="F486" s="105">
        <f>AVERAGE(N486,R486,V486,Z486,AD486)</f>
        <v>406.29599999999999</v>
      </c>
      <c r="G486" s="105">
        <f>MAX(N486,R486,V486,Z486,AD486)</f>
        <v>796.0920000000001</v>
      </c>
      <c r="H486" s="106"/>
      <c r="I486" s="105">
        <f>MIN(T486,X486,AB486,AF486,P486)</f>
        <v>560.52700000000004</v>
      </c>
      <c r="J486" s="105">
        <f>AVERAGE(P486,T486,X486,AB486,AF486)</f>
        <v>693.22440000000006</v>
      </c>
      <c r="K486" s="105">
        <f>MAX(P486,T486,X486,AB486,AF486)</f>
        <v>1149.588</v>
      </c>
      <c r="N486" s="107">
        <f t="shared" si="207"/>
        <v>289.245</v>
      </c>
      <c r="O486" s="107">
        <f t="shared" si="208"/>
        <v>399.90500000000003</v>
      </c>
      <c r="P486" s="107">
        <f t="shared" si="209"/>
        <v>560.52700000000004</v>
      </c>
      <c r="R486" s="107">
        <f t="shared" si="210"/>
        <v>796.0920000000001</v>
      </c>
      <c r="S486" s="107">
        <f t="shared" si="211"/>
        <v>995.65400000000011</v>
      </c>
      <c r="T486" s="107">
        <f t="shared" si="212"/>
        <v>1149.588</v>
      </c>
      <c r="V486" s="107">
        <f t="shared" si="213"/>
        <v>286.19800000000004</v>
      </c>
      <c r="W486" s="107">
        <f t="shared" si="214"/>
        <v>434.69800000000004</v>
      </c>
      <c r="X486" s="107">
        <f t="shared" si="215"/>
        <v>595.32000000000005</v>
      </c>
      <c r="Z486" s="107">
        <f t="shared" si="216"/>
        <v>346.44499999999999</v>
      </c>
      <c r="AA486" s="107">
        <f t="shared" si="217"/>
        <v>475.12300000000005</v>
      </c>
      <c r="AB486" s="107">
        <f t="shared" si="218"/>
        <v>580.98700000000008</v>
      </c>
      <c r="AD486" s="107">
        <f t="shared" si="219"/>
        <v>313.5</v>
      </c>
      <c r="AE486" s="107">
        <f t="shared" si="220"/>
        <v>476.3</v>
      </c>
      <c r="AF486" s="107">
        <f t="shared" si="221"/>
        <v>579.70000000000005</v>
      </c>
      <c r="AH486" s="107">
        <v>262.95</v>
      </c>
      <c r="AI486" s="107">
        <v>363.55</v>
      </c>
      <c r="AJ486" s="107">
        <v>509.57</v>
      </c>
      <c r="AK486" s="107">
        <v>723.72</v>
      </c>
      <c r="AL486" s="107">
        <v>905.14</v>
      </c>
      <c r="AM486" s="107">
        <v>1045.08</v>
      </c>
      <c r="AN486" s="107">
        <v>260.18</v>
      </c>
      <c r="AO486" s="107">
        <v>395.18</v>
      </c>
      <c r="AP486" s="107">
        <v>541.20000000000005</v>
      </c>
      <c r="AQ486" s="107">
        <v>314.95</v>
      </c>
      <c r="AR486" s="107">
        <v>431.93</v>
      </c>
      <c r="AS486" s="107">
        <v>528.17000000000007</v>
      </c>
      <c r="AT486" s="107">
        <v>285</v>
      </c>
      <c r="AU486" s="107">
        <v>433</v>
      </c>
      <c r="AV486" s="107">
        <v>527</v>
      </c>
    </row>
    <row r="487" spans="1:48" ht="30" customHeight="1" outlineLevel="1">
      <c r="A487" s="132" t="s">
        <v>1187</v>
      </c>
      <c r="B487" s="133" t="s">
        <v>1188</v>
      </c>
      <c r="C487" s="101"/>
      <c r="N487" s="11" t="str">
        <f t="shared" si="207"/>
        <v/>
      </c>
      <c r="O487" s="11" t="str">
        <f t="shared" si="208"/>
        <v/>
      </c>
      <c r="P487" s="11" t="str">
        <f t="shared" si="209"/>
        <v/>
      </c>
      <c r="R487" s="11" t="str">
        <f t="shared" si="210"/>
        <v/>
      </c>
      <c r="S487" s="11" t="str">
        <f t="shared" si="211"/>
        <v/>
      </c>
      <c r="T487" s="11" t="str">
        <f t="shared" si="212"/>
        <v/>
      </c>
      <c r="V487" s="11" t="str">
        <f t="shared" si="213"/>
        <v/>
      </c>
      <c r="W487" s="11" t="str">
        <f t="shared" si="214"/>
        <v/>
      </c>
      <c r="X487" s="11" t="str">
        <f t="shared" si="215"/>
        <v/>
      </c>
      <c r="Z487" s="11" t="str">
        <f t="shared" si="216"/>
        <v/>
      </c>
      <c r="AA487" s="11" t="str">
        <f t="shared" si="217"/>
        <v/>
      </c>
      <c r="AB487" s="11" t="str">
        <f t="shared" si="218"/>
        <v/>
      </c>
      <c r="AD487" s="11" t="str">
        <f t="shared" si="219"/>
        <v/>
      </c>
      <c r="AE487" s="11" t="str">
        <f t="shared" si="220"/>
        <v/>
      </c>
      <c r="AF487" s="11" t="str">
        <f t="shared" si="221"/>
        <v/>
      </c>
    </row>
    <row r="488" spans="1:48" ht="30" customHeight="1" outlineLevel="2">
      <c r="A488" s="116" t="s">
        <v>1189</v>
      </c>
      <c r="B488" s="117" t="s">
        <v>1190</v>
      </c>
      <c r="C488" s="134" t="s">
        <v>242</v>
      </c>
      <c r="E488" s="105">
        <f t="shared" ref="E488:E494" si="234">MIN(N488,R488,V488,Z488,AD488)</f>
        <v>526.30600000000004</v>
      </c>
      <c r="F488" s="105">
        <f t="shared" ref="F488:F494" si="235">AVERAGE(N488,R488,V488,Z488,AD488)</f>
        <v>683.78640000000007</v>
      </c>
      <c r="G488" s="105">
        <f t="shared" ref="G488:G494" si="236">MAX(N488,R488,V488,Z488,AD488)</f>
        <v>831.62200000000007</v>
      </c>
      <c r="H488" s="106"/>
      <c r="I488" s="105">
        <f t="shared" ref="I488:I494" si="237">MIN(T488,X488,AB488,AF488,P488)</f>
        <v>1120.4490000000001</v>
      </c>
      <c r="J488" s="105">
        <f t="shared" ref="J488:J494" si="238">AVERAGE(P488,T488,X488,AB488,AF488)</f>
        <v>1188.0396000000003</v>
      </c>
      <c r="K488" s="105">
        <f t="shared" ref="K488:K494" si="239">MAX(P488,T488,X488,AB488,AF488)</f>
        <v>1252.9110000000001</v>
      </c>
      <c r="N488" s="107">
        <f t="shared" si="207"/>
        <v>651.72800000000007</v>
      </c>
      <c r="O488" s="107">
        <f t="shared" si="208"/>
        <v>893.84900000000016</v>
      </c>
      <c r="P488" s="107">
        <f t="shared" si="209"/>
        <v>1239.2930000000001</v>
      </c>
      <c r="R488" s="107">
        <f t="shared" si="210"/>
        <v>831.62200000000007</v>
      </c>
      <c r="S488" s="107">
        <f t="shared" si="211"/>
        <v>1021.3500000000001</v>
      </c>
      <c r="T488" s="107">
        <f t="shared" si="212"/>
        <v>1169.2450000000001</v>
      </c>
      <c r="V488" s="107">
        <f t="shared" si="213"/>
        <v>526.30600000000004</v>
      </c>
      <c r="W488" s="107">
        <f t="shared" si="214"/>
        <v>823.69100000000003</v>
      </c>
      <c r="X488" s="107">
        <f t="shared" si="215"/>
        <v>1120.4490000000001</v>
      </c>
      <c r="Z488" s="107">
        <f t="shared" si="216"/>
        <v>753.67600000000004</v>
      </c>
      <c r="AA488" s="107">
        <f t="shared" si="217"/>
        <v>1045.2420000000002</v>
      </c>
      <c r="AB488" s="107">
        <f t="shared" si="218"/>
        <v>1252.9110000000001</v>
      </c>
      <c r="AD488" s="107">
        <f t="shared" si="219"/>
        <v>655.6</v>
      </c>
      <c r="AE488" s="107">
        <f t="shared" si="220"/>
        <v>965.80000000000007</v>
      </c>
      <c r="AF488" s="107">
        <f t="shared" si="221"/>
        <v>1158.3000000000002</v>
      </c>
      <c r="AH488" s="107">
        <v>592.48</v>
      </c>
      <c r="AI488" s="107">
        <v>812.59</v>
      </c>
      <c r="AJ488" s="107">
        <v>1126.6300000000001</v>
      </c>
      <c r="AK488" s="107">
        <v>756.02</v>
      </c>
      <c r="AL488" s="107">
        <v>928.5</v>
      </c>
      <c r="AM488" s="107">
        <v>1062.95</v>
      </c>
      <c r="AN488" s="107">
        <v>478.46</v>
      </c>
      <c r="AO488" s="107">
        <v>748.81</v>
      </c>
      <c r="AP488" s="107">
        <v>1018.59</v>
      </c>
      <c r="AQ488" s="107">
        <v>685.16</v>
      </c>
      <c r="AR488" s="107">
        <v>950.22</v>
      </c>
      <c r="AS488" s="107">
        <v>1139.01</v>
      </c>
      <c r="AT488" s="107">
        <v>596</v>
      </c>
      <c r="AU488" s="107">
        <v>878</v>
      </c>
      <c r="AV488" s="107">
        <v>1053</v>
      </c>
    </row>
    <row r="489" spans="1:48" ht="30" customHeight="1" outlineLevel="2">
      <c r="A489" s="116" t="s">
        <v>1191</v>
      </c>
      <c r="B489" s="117" t="s">
        <v>1192</v>
      </c>
      <c r="C489" s="134" t="s">
        <v>242</v>
      </c>
      <c r="E489" s="105">
        <f t="shared" si="234"/>
        <v>286.59399999999999</v>
      </c>
      <c r="F489" s="105">
        <f t="shared" si="235"/>
        <v>517.01980000000003</v>
      </c>
      <c r="G489" s="105">
        <f t="shared" si="236"/>
        <v>638.96800000000007</v>
      </c>
      <c r="H489" s="106"/>
      <c r="I489" s="105">
        <f t="shared" si="237"/>
        <v>596.18900000000008</v>
      </c>
      <c r="J489" s="105">
        <f t="shared" si="238"/>
        <v>887.96840000000009</v>
      </c>
      <c r="K489" s="105">
        <f t="shared" si="239"/>
        <v>1080.376</v>
      </c>
      <c r="N489" s="107">
        <f t="shared" si="207"/>
        <v>566.62100000000009</v>
      </c>
      <c r="O489" s="107">
        <f t="shared" si="208"/>
        <v>778.0630000000001</v>
      </c>
      <c r="P489" s="107">
        <f t="shared" si="209"/>
        <v>1080.376</v>
      </c>
      <c r="R489" s="107">
        <f t="shared" si="210"/>
        <v>638.96800000000007</v>
      </c>
      <c r="S489" s="107">
        <f t="shared" si="211"/>
        <v>778.173</v>
      </c>
      <c r="T489" s="107">
        <f t="shared" si="212"/>
        <v>892.15499999999997</v>
      </c>
      <c r="V489" s="107">
        <f t="shared" si="213"/>
        <v>286.59399999999999</v>
      </c>
      <c r="W489" s="107">
        <f t="shared" si="214"/>
        <v>435.34700000000004</v>
      </c>
      <c r="X489" s="107">
        <f t="shared" si="215"/>
        <v>596.18900000000008</v>
      </c>
      <c r="Z489" s="107">
        <f t="shared" si="216"/>
        <v>555.01600000000008</v>
      </c>
      <c r="AA489" s="107">
        <f t="shared" si="217"/>
        <v>767.11800000000005</v>
      </c>
      <c r="AB489" s="107">
        <f t="shared" si="218"/>
        <v>925.12200000000007</v>
      </c>
      <c r="AD489" s="107">
        <f t="shared" si="219"/>
        <v>537.90000000000009</v>
      </c>
      <c r="AE489" s="107">
        <f t="shared" si="220"/>
        <v>788.7</v>
      </c>
      <c r="AF489" s="107">
        <f t="shared" si="221"/>
        <v>946.00000000000011</v>
      </c>
      <c r="AH489" s="107">
        <v>515.11</v>
      </c>
      <c r="AI489" s="107">
        <v>707.33</v>
      </c>
      <c r="AJ489" s="107">
        <v>982.16</v>
      </c>
      <c r="AK489" s="107">
        <v>580.88</v>
      </c>
      <c r="AL489" s="107">
        <v>707.43</v>
      </c>
      <c r="AM489" s="107">
        <v>811.05</v>
      </c>
      <c r="AN489" s="107">
        <v>260.53999999999996</v>
      </c>
      <c r="AO489" s="107">
        <v>395.77</v>
      </c>
      <c r="AP489" s="107">
        <v>541.99</v>
      </c>
      <c r="AQ489" s="107">
        <v>504.56</v>
      </c>
      <c r="AR489" s="107">
        <v>697.38</v>
      </c>
      <c r="AS489" s="107">
        <v>841.02</v>
      </c>
      <c r="AT489" s="107">
        <v>489</v>
      </c>
      <c r="AU489" s="107">
        <v>717</v>
      </c>
      <c r="AV489" s="107">
        <v>860</v>
      </c>
    </row>
    <row r="490" spans="1:48" ht="30" customHeight="1" outlineLevel="2">
      <c r="A490" s="116" t="s">
        <v>1193</v>
      </c>
      <c r="B490" s="117" t="s">
        <v>1194</v>
      </c>
      <c r="C490" s="134" t="s">
        <v>242</v>
      </c>
      <c r="E490" s="105">
        <f t="shared" si="234"/>
        <v>661.1</v>
      </c>
      <c r="F490" s="105">
        <f t="shared" si="235"/>
        <v>749.49820000000011</v>
      </c>
      <c r="G490" s="105">
        <f t="shared" si="236"/>
        <v>841.72000000000014</v>
      </c>
      <c r="H490" s="106"/>
      <c r="I490" s="105">
        <f t="shared" si="237"/>
        <v>1168.2</v>
      </c>
      <c r="J490" s="105">
        <f t="shared" si="238"/>
        <v>1318.0464000000002</v>
      </c>
      <c r="K490" s="105">
        <f t="shared" si="239"/>
        <v>1513.633</v>
      </c>
      <c r="N490" s="107">
        <f t="shared" si="207"/>
        <v>730.75200000000007</v>
      </c>
      <c r="O490" s="107">
        <f t="shared" si="208"/>
        <v>994.78500000000008</v>
      </c>
      <c r="P490" s="107">
        <f t="shared" si="209"/>
        <v>1371.0290000000002</v>
      </c>
      <c r="R490" s="107">
        <f t="shared" si="210"/>
        <v>841.72000000000014</v>
      </c>
      <c r="S490" s="107">
        <f t="shared" si="211"/>
        <v>1040.9080000000001</v>
      </c>
      <c r="T490" s="107">
        <f t="shared" si="212"/>
        <v>1195.0950000000003</v>
      </c>
      <c r="V490" s="107">
        <f t="shared" si="213"/>
        <v>706.09</v>
      </c>
      <c r="W490" s="107">
        <f t="shared" si="214"/>
        <v>1114.9380000000001</v>
      </c>
      <c r="X490" s="107">
        <f t="shared" si="215"/>
        <v>1513.633</v>
      </c>
      <c r="Z490" s="107">
        <f t="shared" si="216"/>
        <v>807.82900000000006</v>
      </c>
      <c r="AA490" s="107">
        <f t="shared" si="217"/>
        <v>1121.0650000000001</v>
      </c>
      <c r="AB490" s="107">
        <f t="shared" si="218"/>
        <v>1342.2750000000001</v>
      </c>
      <c r="AD490" s="107">
        <f t="shared" si="219"/>
        <v>661.1</v>
      </c>
      <c r="AE490" s="107">
        <f t="shared" si="220"/>
        <v>973.50000000000011</v>
      </c>
      <c r="AF490" s="107">
        <f t="shared" si="221"/>
        <v>1168.2</v>
      </c>
      <c r="AH490" s="107">
        <v>664.32</v>
      </c>
      <c r="AI490" s="107">
        <v>904.35</v>
      </c>
      <c r="AJ490" s="107">
        <v>1246.3900000000001</v>
      </c>
      <c r="AK490" s="107">
        <v>765.2</v>
      </c>
      <c r="AL490" s="107">
        <v>946.28</v>
      </c>
      <c r="AM490" s="107">
        <v>1086.45</v>
      </c>
      <c r="AN490" s="107">
        <v>641.9</v>
      </c>
      <c r="AO490" s="107">
        <v>1013.58</v>
      </c>
      <c r="AP490" s="107">
        <v>1376.03</v>
      </c>
      <c r="AQ490" s="107">
        <v>734.39</v>
      </c>
      <c r="AR490" s="107">
        <v>1019.15</v>
      </c>
      <c r="AS490" s="107">
        <v>1220.25</v>
      </c>
      <c r="AT490" s="107">
        <v>601</v>
      </c>
      <c r="AU490" s="107">
        <v>885</v>
      </c>
      <c r="AV490" s="107">
        <v>1062</v>
      </c>
    </row>
    <row r="491" spans="1:48" ht="30" customHeight="1" outlineLevel="2">
      <c r="A491" s="116" t="s">
        <v>1195</v>
      </c>
      <c r="B491" s="117" t="s">
        <v>1196</v>
      </c>
      <c r="C491" s="134" t="s">
        <v>242</v>
      </c>
      <c r="E491" s="105">
        <f t="shared" si="234"/>
        <v>234.15700000000001</v>
      </c>
      <c r="F491" s="105">
        <f t="shared" si="235"/>
        <v>494.03200000000004</v>
      </c>
      <c r="G491" s="105">
        <f t="shared" si="236"/>
        <v>895.78500000000008</v>
      </c>
      <c r="H491" s="106"/>
      <c r="I491" s="105">
        <f t="shared" si="237"/>
        <v>452.71600000000007</v>
      </c>
      <c r="J491" s="105">
        <f t="shared" si="238"/>
        <v>873.31859999999995</v>
      </c>
      <c r="K491" s="105">
        <f t="shared" si="239"/>
        <v>1487.3870000000002</v>
      </c>
      <c r="N491" s="107">
        <f t="shared" si="207"/>
        <v>234.15700000000001</v>
      </c>
      <c r="O491" s="107">
        <f t="shared" si="208"/>
        <v>322.89400000000006</v>
      </c>
      <c r="P491" s="107">
        <f t="shared" si="209"/>
        <v>452.71600000000007</v>
      </c>
      <c r="R491" s="107">
        <f t="shared" si="210"/>
        <v>459.76700000000005</v>
      </c>
      <c r="S491" s="107">
        <f t="shared" si="211"/>
        <v>571.3950000000001</v>
      </c>
      <c r="T491" s="107">
        <f t="shared" si="212"/>
        <v>667.24900000000014</v>
      </c>
      <c r="V491" s="107">
        <f t="shared" si="213"/>
        <v>489.95100000000008</v>
      </c>
      <c r="W491" s="107">
        <f t="shared" si="214"/>
        <v>764.79700000000003</v>
      </c>
      <c r="X491" s="107">
        <f t="shared" si="215"/>
        <v>1040.941</v>
      </c>
      <c r="Z491" s="107">
        <f t="shared" si="216"/>
        <v>895.78500000000008</v>
      </c>
      <c r="AA491" s="107">
        <f t="shared" si="217"/>
        <v>1244.1880000000001</v>
      </c>
      <c r="AB491" s="107">
        <f t="shared" si="218"/>
        <v>1487.3870000000002</v>
      </c>
      <c r="AD491" s="107">
        <f t="shared" si="219"/>
        <v>390.50000000000006</v>
      </c>
      <c r="AE491" s="107">
        <f t="shared" si="220"/>
        <v>591.80000000000007</v>
      </c>
      <c r="AF491" s="107">
        <f t="shared" si="221"/>
        <v>718.30000000000007</v>
      </c>
      <c r="AH491" s="107">
        <v>212.87</v>
      </c>
      <c r="AI491" s="107">
        <v>293.54000000000002</v>
      </c>
      <c r="AJ491" s="107">
        <v>411.56</v>
      </c>
      <c r="AK491" s="107">
        <v>417.97</v>
      </c>
      <c r="AL491" s="107">
        <v>519.45000000000005</v>
      </c>
      <c r="AM491" s="107">
        <v>606.59</v>
      </c>
      <c r="AN491" s="107">
        <v>445.41</v>
      </c>
      <c r="AO491" s="107">
        <v>695.27</v>
      </c>
      <c r="AP491" s="107">
        <v>946.31</v>
      </c>
      <c r="AQ491" s="107">
        <v>814.35</v>
      </c>
      <c r="AR491" s="107">
        <v>1131.08</v>
      </c>
      <c r="AS491" s="107">
        <v>1352.17</v>
      </c>
      <c r="AT491" s="107">
        <v>355</v>
      </c>
      <c r="AU491" s="107">
        <v>538</v>
      </c>
      <c r="AV491" s="107">
        <v>653</v>
      </c>
    </row>
    <row r="492" spans="1:48" ht="30" customHeight="1" outlineLevel="2">
      <c r="A492" s="116" t="s">
        <v>1197</v>
      </c>
      <c r="B492" s="117" t="s">
        <v>1198</v>
      </c>
      <c r="C492" s="134" t="s">
        <v>242</v>
      </c>
      <c r="E492" s="105">
        <f t="shared" si="234"/>
        <v>352.31900000000007</v>
      </c>
      <c r="F492" s="105">
        <f t="shared" si="235"/>
        <v>685.39240000000007</v>
      </c>
      <c r="G492" s="105">
        <f t="shared" si="236"/>
        <v>1103.3000000000002</v>
      </c>
      <c r="H492" s="106"/>
      <c r="I492" s="105">
        <f t="shared" si="237"/>
        <v>676.3130000000001</v>
      </c>
      <c r="J492" s="105">
        <f t="shared" si="238"/>
        <v>1203.95</v>
      </c>
      <c r="K492" s="105">
        <f t="shared" si="239"/>
        <v>2000.9</v>
      </c>
      <c r="N492" s="107">
        <f t="shared" si="207"/>
        <v>352.31900000000007</v>
      </c>
      <c r="O492" s="107">
        <f t="shared" si="208"/>
        <v>484.89100000000002</v>
      </c>
      <c r="P492" s="107">
        <f t="shared" si="209"/>
        <v>676.3130000000001</v>
      </c>
      <c r="R492" s="107">
        <f t="shared" si="210"/>
        <v>765.89700000000005</v>
      </c>
      <c r="S492" s="107">
        <f t="shared" si="211"/>
        <v>958.87000000000012</v>
      </c>
      <c r="T492" s="107">
        <f t="shared" si="212"/>
        <v>1108.4480000000001</v>
      </c>
      <c r="V492" s="107">
        <f t="shared" si="213"/>
        <v>495.94600000000008</v>
      </c>
      <c r="W492" s="107">
        <f t="shared" si="214"/>
        <v>774.5100000000001</v>
      </c>
      <c r="X492" s="107">
        <f t="shared" si="215"/>
        <v>1054.0530000000001</v>
      </c>
      <c r="Z492" s="107">
        <f t="shared" si="216"/>
        <v>709.50000000000011</v>
      </c>
      <c r="AA492" s="107">
        <f t="shared" si="217"/>
        <v>983.40000000000009</v>
      </c>
      <c r="AB492" s="107">
        <f t="shared" si="218"/>
        <v>1180.0360000000001</v>
      </c>
      <c r="AD492" s="107">
        <f t="shared" si="219"/>
        <v>1103.3000000000002</v>
      </c>
      <c r="AE492" s="107">
        <f t="shared" si="220"/>
        <v>1661.0000000000002</v>
      </c>
      <c r="AF492" s="107">
        <f t="shared" si="221"/>
        <v>2000.9</v>
      </c>
      <c r="AH492" s="107">
        <v>320.29000000000002</v>
      </c>
      <c r="AI492" s="107">
        <v>440.81</v>
      </c>
      <c r="AJ492" s="107">
        <v>614.83000000000004</v>
      </c>
      <c r="AK492" s="107">
        <v>696.27</v>
      </c>
      <c r="AL492" s="107">
        <v>871.7</v>
      </c>
      <c r="AM492" s="107">
        <v>1007.68</v>
      </c>
      <c r="AN492" s="107">
        <v>450.86</v>
      </c>
      <c r="AO492" s="107">
        <v>704.1</v>
      </c>
      <c r="AP492" s="107">
        <v>958.23</v>
      </c>
      <c r="AQ492" s="107">
        <v>645</v>
      </c>
      <c r="AR492" s="107">
        <v>894</v>
      </c>
      <c r="AS492" s="107">
        <v>1072.76</v>
      </c>
      <c r="AT492" s="107">
        <v>1003</v>
      </c>
      <c r="AU492" s="107">
        <v>1510</v>
      </c>
      <c r="AV492" s="107">
        <v>1819</v>
      </c>
    </row>
    <row r="493" spans="1:48" ht="30" customHeight="1" outlineLevel="2">
      <c r="A493" s="116" t="s">
        <v>1199</v>
      </c>
      <c r="B493" s="117" t="s">
        <v>1200</v>
      </c>
      <c r="C493" s="134" t="s">
        <v>242</v>
      </c>
      <c r="E493" s="105">
        <f t="shared" si="234"/>
        <v>352.31900000000007</v>
      </c>
      <c r="F493" s="105">
        <f t="shared" si="235"/>
        <v>651.87980000000005</v>
      </c>
      <c r="G493" s="105">
        <f t="shared" si="236"/>
        <v>882.2</v>
      </c>
      <c r="H493" s="106"/>
      <c r="I493" s="105">
        <f t="shared" si="237"/>
        <v>676.3130000000001</v>
      </c>
      <c r="J493" s="105">
        <f t="shared" si="238"/>
        <v>1140.9640000000002</v>
      </c>
      <c r="K493" s="105">
        <f t="shared" si="239"/>
        <v>1602.7</v>
      </c>
      <c r="N493" s="107">
        <f t="shared" si="207"/>
        <v>352.31900000000007</v>
      </c>
      <c r="O493" s="107">
        <f t="shared" si="208"/>
        <v>484.89100000000002</v>
      </c>
      <c r="P493" s="107">
        <f t="shared" si="209"/>
        <v>676.3130000000001</v>
      </c>
      <c r="R493" s="107">
        <f t="shared" si="210"/>
        <v>799.65600000000006</v>
      </c>
      <c r="S493" s="107">
        <f t="shared" si="211"/>
        <v>1002.7600000000001</v>
      </c>
      <c r="T493" s="107">
        <f t="shared" si="212"/>
        <v>1159.0920000000001</v>
      </c>
      <c r="V493" s="107">
        <f t="shared" si="213"/>
        <v>495.94600000000008</v>
      </c>
      <c r="W493" s="107">
        <f t="shared" si="214"/>
        <v>774.5100000000001</v>
      </c>
      <c r="X493" s="107">
        <f t="shared" si="215"/>
        <v>1054.0530000000001</v>
      </c>
      <c r="Z493" s="107">
        <f t="shared" si="216"/>
        <v>729.27800000000013</v>
      </c>
      <c r="AA493" s="107">
        <f t="shared" si="217"/>
        <v>1011.087</v>
      </c>
      <c r="AB493" s="107">
        <f t="shared" si="218"/>
        <v>1212.6620000000003</v>
      </c>
      <c r="AD493" s="107">
        <f t="shared" si="219"/>
        <v>882.2</v>
      </c>
      <c r="AE493" s="107">
        <f t="shared" si="220"/>
        <v>1328.8000000000002</v>
      </c>
      <c r="AF493" s="107">
        <f t="shared" si="221"/>
        <v>1602.7</v>
      </c>
      <c r="AH493" s="107">
        <v>320.29000000000002</v>
      </c>
      <c r="AI493" s="107">
        <v>440.81</v>
      </c>
      <c r="AJ493" s="107">
        <v>614.83000000000004</v>
      </c>
      <c r="AK493" s="107">
        <v>726.96</v>
      </c>
      <c r="AL493" s="107">
        <v>911.6</v>
      </c>
      <c r="AM493" s="107">
        <v>1053.72</v>
      </c>
      <c r="AN493" s="107">
        <v>450.86</v>
      </c>
      <c r="AO493" s="107">
        <v>704.1</v>
      </c>
      <c r="AP493" s="107">
        <v>958.23</v>
      </c>
      <c r="AQ493" s="107">
        <v>662.98</v>
      </c>
      <c r="AR493" s="107">
        <v>919.17</v>
      </c>
      <c r="AS493" s="107">
        <v>1102.42</v>
      </c>
      <c r="AT493" s="107">
        <v>802</v>
      </c>
      <c r="AU493" s="107">
        <v>1208</v>
      </c>
      <c r="AV493" s="107">
        <v>1457</v>
      </c>
    </row>
    <row r="494" spans="1:48" ht="30" customHeight="1" outlineLevel="2">
      <c r="A494" s="116" t="s">
        <v>1201</v>
      </c>
      <c r="B494" s="117" t="s">
        <v>1202</v>
      </c>
      <c r="C494" s="134" t="s">
        <v>242</v>
      </c>
      <c r="E494" s="105">
        <f t="shared" si="234"/>
        <v>470.49200000000008</v>
      </c>
      <c r="F494" s="105">
        <f t="shared" si="235"/>
        <v>735.66680000000019</v>
      </c>
      <c r="G494" s="105">
        <f t="shared" si="236"/>
        <v>1103.3000000000002</v>
      </c>
      <c r="H494" s="106"/>
      <c r="I494" s="105">
        <f t="shared" si="237"/>
        <v>899.91000000000008</v>
      </c>
      <c r="J494" s="105">
        <f t="shared" si="238"/>
        <v>1289.893</v>
      </c>
      <c r="K494" s="105">
        <f t="shared" si="239"/>
        <v>2000.9</v>
      </c>
      <c r="N494" s="107">
        <f t="shared" si="207"/>
        <v>470.49200000000008</v>
      </c>
      <c r="O494" s="107">
        <f t="shared" si="208"/>
        <v>646.87700000000007</v>
      </c>
      <c r="P494" s="107">
        <f t="shared" si="209"/>
        <v>899.91000000000008</v>
      </c>
      <c r="R494" s="107">
        <f t="shared" si="210"/>
        <v>851.5100000000001</v>
      </c>
      <c r="S494" s="107">
        <f t="shared" si="211"/>
        <v>1069.7060000000001</v>
      </c>
      <c r="T494" s="107">
        <f t="shared" si="212"/>
        <v>1236.0590000000002</v>
      </c>
      <c r="V494" s="107">
        <f t="shared" si="213"/>
        <v>495.94600000000008</v>
      </c>
      <c r="W494" s="107">
        <f t="shared" si="214"/>
        <v>774.5100000000001</v>
      </c>
      <c r="X494" s="107">
        <f t="shared" si="215"/>
        <v>1054.0530000000001</v>
      </c>
      <c r="Z494" s="107">
        <f t="shared" si="216"/>
        <v>757.08600000000001</v>
      </c>
      <c r="AA494" s="107">
        <f t="shared" si="217"/>
        <v>1050.0160000000001</v>
      </c>
      <c r="AB494" s="107">
        <f t="shared" si="218"/>
        <v>1258.5430000000001</v>
      </c>
      <c r="AD494" s="107">
        <f t="shared" si="219"/>
        <v>1103.3000000000002</v>
      </c>
      <c r="AE494" s="107">
        <f t="shared" si="220"/>
        <v>1661.0000000000002</v>
      </c>
      <c r="AF494" s="107">
        <f t="shared" si="221"/>
        <v>2000.9</v>
      </c>
      <c r="AH494" s="107">
        <v>427.72</v>
      </c>
      <c r="AI494" s="107">
        <v>588.07000000000005</v>
      </c>
      <c r="AJ494" s="107">
        <v>818.1</v>
      </c>
      <c r="AK494" s="107">
        <v>774.1</v>
      </c>
      <c r="AL494" s="107">
        <v>972.46</v>
      </c>
      <c r="AM494" s="107">
        <v>1123.69</v>
      </c>
      <c r="AN494" s="107">
        <v>450.86</v>
      </c>
      <c r="AO494" s="107">
        <v>704.1</v>
      </c>
      <c r="AP494" s="107">
        <v>958.23</v>
      </c>
      <c r="AQ494" s="107">
        <v>688.26</v>
      </c>
      <c r="AR494" s="107">
        <v>954.56</v>
      </c>
      <c r="AS494" s="107">
        <v>1144.1300000000001</v>
      </c>
      <c r="AT494" s="107">
        <v>1003</v>
      </c>
      <c r="AU494" s="107">
        <v>1510</v>
      </c>
      <c r="AV494" s="107">
        <v>1819</v>
      </c>
    </row>
    <row r="495" spans="1:48" ht="30" customHeight="1" outlineLevel="1">
      <c r="A495" s="132" t="s">
        <v>1203</v>
      </c>
      <c r="B495" s="133" t="s">
        <v>1204</v>
      </c>
      <c r="C495" s="101"/>
      <c r="N495" s="11" t="str">
        <f t="shared" si="207"/>
        <v/>
      </c>
      <c r="O495" s="11" t="str">
        <f t="shared" si="208"/>
        <v/>
      </c>
      <c r="P495" s="11" t="str">
        <f t="shared" si="209"/>
        <v/>
      </c>
      <c r="R495" s="11" t="str">
        <f t="shared" si="210"/>
        <v/>
      </c>
      <c r="S495" s="11" t="str">
        <f t="shared" si="211"/>
        <v/>
      </c>
      <c r="T495" s="11" t="str">
        <f t="shared" si="212"/>
        <v/>
      </c>
      <c r="V495" s="11" t="str">
        <f t="shared" si="213"/>
        <v/>
      </c>
      <c r="W495" s="11" t="str">
        <f t="shared" si="214"/>
        <v/>
      </c>
      <c r="X495" s="11" t="str">
        <f t="shared" si="215"/>
        <v/>
      </c>
      <c r="Z495" s="11" t="str">
        <f t="shared" si="216"/>
        <v/>
      </c>
      <c r="AA495" s="11" t="str">
        <f t="shared" si="217"/>
        <v/>
      </c>
      <c r="AB495" s="11" t="str">
        <f t="shared" si="218"/>
        <v/>
      </c>
      <c r="AD495" s="11" t="str">
        <f t="shared" si="219"/>
        <v/>
      </c>
      <c r="AE495" s="11" t="str">
        <f t="shared" si="220"/>
        <v/>
      </c>
      <c r="AF495" s="11" t="str">
        <f t="shared" si="221"/>
        <v/>
      </c>
    </row>
    <row r="496" spans="1:48" ht="30" customHeight="1" outlineLevel="2">
      <c r="A496" s="116" t="s">
        <v>1205</v>
      </c>
      <c r="B496" s="117" t="s">
        <v>1206</v>
      </c>
      <c r="C496" s="134" t="s">
        <v>242</v>
      </c>
      <c r="E496" s="105">
        <f t="shared" ref="E496:E502" si="240">MIN(N496,R496,V496,Z496,AD496)</f>
        <v>336.72100000000006</v>
      </c>
      <c r="F496" s="105">
        <f t="shared" ref="F496:F502" si="241">AVERAGE(N496,R496,V496,Z496,AD496)</f>
        <v>561.36519999999996</v>
      </c>
      <c r="G496" s="105">
        <f t="shared" ref="G496:G502" si="242">MAX(N496,R496,V496,Z496,AD496)</f>
        <v>682</v>
      </c>
      <c r="H496" s="106"/>
      <c r="I496" s="105">
        <f t="shared" ref="I496:I502" si="243">MIN(T496,X496,AB496,AF496,P496)</f>
        <v>705.81500000000005</v>
      </c>
      <c r="J496" s="105">
        <f t="shared" ref="J496:J502" si="244">AVERAGE(P496,T496,X496,AB496,AF496)</f>
        <v>961.45940000000007</v>
      </c>
      <c r="K496" s="105">
        <f t="shared" ref="K496:K502" si="245">MAX(P496,T496,X496,AB496,AF496)</f>
        <v>1168.2</v>
      </c>
      <c r="N496" s="107">
        <f t="shared" si="207"/>
        <v>502.39200000000005</v>
      </c>
      <c r="O496" s="107">
        <f t="shared" si="208"/>
        <v>678.77700000000016</v>
      </c>
      <c r="P496" s="107">
        <f t="shared" si="209"/>
        <v>931.81000000000006</v>
      </c>
      <c r="R496" s="107">
        <f t="shared" si="210"/>
        <v>619.11300000000006</v>
      </c>
      <c r="S496" s="107">
        <f t="shared" si="211"/>
        <v>754.87500000000011</v>
      </c>
      <c r="T496" s="107">
        <f t="shared" si="212"/>
        <v>866.822</v>
      </c>
      <c r="V496" s="107">
        <f t="shared" si="213"/>
        <v>336.72100000000006</v>
      </c>
      <c r="W496" s="107">
        <f t="shared" si="214"/>
        <v>516.54899999999998</v>
      </c>
      <c r="X496" s="107">
        <f t="shared" si="215"/>
        <v>705.81500000000005</v>
      </c>
      <c r="Z496" s="107">
        <f t="shared" si="216"/>
        <v>682</v>
      </c>
      <c r="AA496" s="107">
        <f t="shared" si="217"/>
        <v>944.90000000000009</v>
      </c>
      <c r="AB496" s="107">
        <f t="shared" si="218"/>
        <v>1134.6500000000001</v>
      </c>
      <c r="AD496" s="107">
        <f t="shared" si="219"/>
        <v>666.6</v>
      </c>
      <c r="AE496" s="107">
        <f t="shared" si="220"/>
        <v>976.80000000000007</v>
      </c>
      <c r="AF496" s="107">
        <f t="shared" si="221"/>
        <v>1168.2</v>
      </c>
      <c r="AH496" s="107">
        <v>456.72</v>
      </c>
      <c r="AI496" s="107">
        <v>617.07000000000005</v>
      </c>
      <c r="AJ496" s="107">
        <v>847.1</v>
      </c>
      <c r="AK496" s="107">
        <v>562.83000000000004</v>
      </c>
      <c r="AL496" s="107">
        <v>686.25</v>
      </c>
      <c r="AM496" s="107">
        <v>788.02</v>
      </c>
      <c r="AN496" s="107">
        <v>306.11</v>
      </c>
      <c r="AO496" s="107">
        <v>469.59</v>
      </c>
      <c r="AP496" s="107">
        <v>641.65</v>
      </c>
      <c r="AQ496" s="107">
        <v>620</v>
      </c>
      <c r="AR496" s="107">
        <v>859</v>
      </c>
      <c r="AS496" s="107">
        <v>1031.5</v>
      </c>
      <c r="AT496" s="107">
        <v>606</v>
      </c>
      <c r="AU496" s="107">
        <v>888</v>
      </c>
      <c r="AV496" s="107">
        <v>1062</v>
      </c>
    </row>
    <row r="497" spans="1:48" ht="30" customHeight="1" outlineLevel="2">
      <c r="A497" s="116" t="s">
        <v>1207</v>
      </c>
      <c r="B497" s="117" t="s">
        <v>1208</v>
      </c>
      <c r="C497" s="134" t="s">
        <v>242</v>
      </c>
      <c r="E497" s="105">
        <f t="shared" si="240"/>
        <v>276.78200000000004</v>
      </c>
      <c r="F497" s="105">
        <f t="shared" si="241"/>
        <v>395.2894</v>
      </c>
      <c r="G497" s="105">
        <f t="shared" si="242"/>
        <v>543.40000000000009</v>
      </c>
      <c r="H497" s="106"/>
      <c r="I497" s="105">
        <f t="shared" si="243"/>
        <v>519.45300000000009</v>
      </c>
      <c r="J497" s="105">
        <f t="shared" si="244"/>
        <v>678.41399999999999</v>
      </c>
      <c r="K497" s="105">
        <f t="shared" si="245"/>
        <v>947.1</v>
      </c>
      <c r="N497" s="107">
        <f t="shared" si="207"/>
        <v>348.11700000000008</v>
      </c>
      <c r="O497" s="107">
        <f t="shared" si="208"/>
        <v>463.15500000000003</v>
      </c>
      <c r="P497" s="107">
        <f t="shared" si="209"/>
        <v>629.93700000000001</v>
      </c>
      <c r="R497" s="107">
        <f t="shared" si="210"/>
        <v>376.94800000000004</v>
      </c>
      <c r="S497" s="107">
        <f t="shared" si="211"/>
        <v>449.74600000000004</v>
      </c>
      <c r="T497" s="107">
        <f t="shared" si="212"/>
        <v>519.45300000000009</v>
      </c>
      <c r="V497" s="107">
        <f t="shared" si="213"/>
        <v>276.78200000000004</v>
      </c>
      <c r="W497" s="107">
        <f t="shared" si="214"/>
        <v>419.46300000000002</v>
      </c>
      <c r="X497" s="107">
        <f t="shared" si="215"/>
        <v>574.75</v>
      </c>
      <c r="Z497" s="107">
        <f t="shared" si="216"/>
        <v>431.20000000000005</v>
      </c>
      <c r="AA497" s="107">
        <f t="shared" si="217"/>
        <v>593.78</v>
      </c>
      <c r="AB497" s="107">
        <f t="shared" si="218"/>
        <v>720.83</v>
      </c>
      <c r="AD497" s="107">
        <f t="shared" si="219"/>
        <v>543.40000000000009</v>
      </c>
      <c r="AE497" s="107">
        <f t="shared" si="220"/>
        <v>792.00000000000011</v>
      </c>
      <c r="AF497" s="107">
        <f t="shared" si="221"/>
        <v>947.1</v>
      </c>
      <c r="AH497" s="107">
        <v>316.47000000000003</v>
      </c>
      <c r="AI497" s="107">
        <v>421.05</v>
      </c>
      <c r="AJ497" s="107">
        <v>572.66999999999996</v>
      </c>
      <c r="AK497" s="107">
        <v>342.68</v>
      </c>
      <c r="AL497" s="107">
        <v>408.86</v>
      </c>
      <c r="AM497" s="107">
        <v>472.23</v>
      </c>
      <c r="AN497" s="107">
        <v>251.62</v>
      </c>
      <c r="AO497" s="107">
        <v>381.33</v>
      </c>
      <c r="AP497" s="107">
        <v>522.5</v>
      </c>
      <c r="AQ497" s="107">
        <v>392</v>
      </c>
      <c r="AR497" s="107">
        <v>539.79999999999995</v>
      </c>
      <c r="AS497" s="107">
        <v>655.29999999999995</v>
      </c>
      <c r="AT497" s="107">
        <v>494</v>
      </c>
      <c r="AU497" s="107">
        <v>720</v>
      </c>
      <c r="AV497" s="107">
        <v>861</v>
      </c>
    </row>
    <row r="498" spans="1:48" ht="30" customHeight="1" outlineLevel="2">
      <c r="A498" s="116" t="s">
        <v>1209</v>
      </c>
      <c r="B498" s="117" t="s">
        <v>1210</v>
      </c>
      <c r="C498" s="134" t="s">
        <v>242</v>
      </c>
      <c r="E498" s="105">
        <f t="shared" si="240"/>
        <v>90.034999999999997</v>
      </c>
      <c r="F498" s="105">
        <f t="shared" si="241"/>
        <v>103.1096</v>
      </c>
      <c r="G498" s="105">
        <f t="shared" si="242"/>
        <v>117.7</v>
      </c>
      <c r="H498" s="106"/>
      <c r="I498" s="105">
        <f t="shared" si="243"/>
        <v>106.45800000000001</v>
      </c>
      <c r="J498" s="105">
        <f t="shared" si="244"/>
        <v>169.93020000000001</v>
      </c>
      <c r="K498" s="105">
        <f t="shared" si="245"/>
        <v>203.55500000000004</v>
      </c>
      <c r="N498" s="107">
        <f t="shared" si="207"/>
        <v>96.41500000000002</v>
      </c>
      <c r="O498" s="107">
        <f t="shared" si="208"/>
        <v>130.38300000000001</v>
      </c>
      <c r="P498" s="107">
        <f t="shared" si="209"/>
        <v>183.18300000000002</v>
      </c>
      <c r="R498" s="107">
        <f t="shared" si="210"/>
        <v>90.034999999999997</v>
      </c>
      <c r="S498" s="107">
        <f t="shared" si="211"/>
        <v>87.350999999999999</v>
      </c>
      <c r="T498" s="107">
        <f t="shared" si="212"/>
        <v>106.45800000000001</v>
      </c>
      <c r="V498" s="107">
        <f t="shared" si="213"/>
        <v>96.998000000000019</v>
      </c>
      <c r="W498" s="107">
        <f t="shared" si="214"/>
        <v>128.20500000000001</v>
      </c>
      <c r="X498" s="107">
        <f t="shared" si="215"/>
        <v>181.55500000000004</v>
      </c>
      <c r="Z498" s="107">
        <f t="shared" si="216"/>
        <v>117.7</v>
      </c>
      <c r="AA498" s="107">
        <f t="shared" si="217"/>
        <v>154.88000000000002</v>
      </c>
      <c r="AB498" s="107">
        <f t="shared" si="218"/>
        <v>203.55500000000004</v>
      </c>
      <c r="AD498" s="107">
        <f t="shared" si="219"/>
        <v>114.4</v>
      </c>
      <c r="AE498" s="107">
        <f t="shared" si="220"/>
        <v>148.5</v>
      </c>
      <c r="AF498" s="107">
        <f t="shared" si="221"/>
        <v>174.9</v>
      </c>
      <c r="AH498" s="107">
        <v>87.65</v>
      </c>
      <c r="AI498" s="107">
        <v>118.53</v>
      </c>
      <c r="AJ498" s="107">
        <v>166.53</v>
      </c>
      <c r="AK498" s="107">
        <v>81.849999999999994</v>
      </c>
      <c r="AL498" s="107">
        <v>79.41</v>
      </c>
      <c r="AM498" s="107">
        <v>96.78</v>
      </c>
      <c r="AN498" s="107">
        <v>88.18</v>
      </c>
      <c r="AO498" s="107">
        <v>116.55</v>
      </c>
      <c r="AP498" s="107">
        <v>165.05</v>
      </c>
      <c r="AQ498" s="107">
        <v>107</v>
      </c>
      <c r="AR498" s="107">
        <v>140.80000000000001</v>
      </c>
      <c r="AS498" s="107">
        <v>185.05</v>
      </c>
      <c r="AT498" s="107">
        <v>104</v>
      </c>
      <c r="AU498" s="107">
        <v>135</v>
      </c>
      <c r="AV498" s="107">
        <v>159</v>
      </c>
    </row>
    <row r="499" spans="1:48" ht="30" customHeight="1" outlineLevel="2">
      <c r="A499" s="116" t="s">
        <v>1211</v>
      </c>
      <c r="B499" s="117" t="s">
        <v>1212</v>
      </c>
      <c r="C499" s="134" t="s">
        <v>242</v>
      </c>
      <c r="E499" s="105">
        <f t="shared" si="240"/>
        <v>65.593000000000004</v>
      </c>
      <c r="F499" s="105">
        <f t="shared" si="241"/>
        <v>94.560400000000001</v>
      </c>
      <c r="G499" s="105">
        <f t="shared" si="242"/>
        <v>143</v>
      </c>
      <c r="H499" s="106"/>
      <c r="I499" s="105">
        <f t="shared" si="243"/>
        <v>98.538000000000011</v>
      </c>
      <c r="J499" s="105">
        <f t="shared" si="244"/>
        <v>138.77379999999999</v>
      </c>
      <c r="K499" s="105">
        <f t="shared" si="245"/>
        <v>187.00000000000003</v>
      </c>
      <c r="N499" s="107">
        <f t="shared" si="207"/>
        <v>76.834999999999994</v>
      </c>
      <c r="O499" s="107">
        <f t="shared" si="208"/>
        <v>99.847000000000008</v>
      </c>
      <c r="P499" s="107">
        <f t="shared" si="209"/>
        <v>137.25800000000001</v>
      </c>
      <c r="R499" s="107">
        <f t="shared" si="210"/>
        <v>99.759</v>
      </c>
      <c r="S499" s="107">
        <f t="shared" si="211"/>
        <v>93.390000000000015</v>
      </c>
      <c r="T499" s="107">
        <f t="shared" si="212"/>
        <v>110.04400000000001</v>
      </c>
      <c r="V499" s="107">
        <f t="shared" si="213"/>
        <v>87.615000000000009</v>
      </c>
      <c r="W499" s="107">
        <f t="shared" si="214"/>
        <v>113.00300000000001</v>
      </c>
      <c r="X499" s="107">
        <f t="shared" si="215"/>
        <v>161.029</v>
      </c>
      <c r="Z499" s="107">
        <f t="shared" si="216"/>
        <v>65.593000000000004</v>
      </c>
      <c r="AA499" s="107">
        <f t="shared" si="217"/>
        <v>73.227000000000004</v>
      </c>
      <c r="AB499" s="107">
        <f t="shared" si="218"/>
        <v>98.538000000000011</v>
      </c>
      <c r="AD499" s="107">
        <f t="shared" si="219"/>
        <v>143</v>
      </c>
      <c r="AE499" s="107">
        <f t="shared" si="220"/>
        <v>167.20000000000002</v>
      </c>
      <c r="AF499" s="107">
        <f t="shared" si="221"/>
        <v>187.00000000000003</v>
      </c>
      <c r="AH499" s="107">
        <v>69.849999999999994</v>
      </c>
      <c r="AI499" s="107">
        <v>90.77</v>
      </c>
      <c r="AJ499" s="107">
        <v>124.78</v>
      </c>
      <c r="AK499" s="107">
        <v>90.69</v>
      </c>
      <c r="AL499" s="107">
        <v>84.9</v>
      </c>
      <c r="AM499" s="107">
        <v>100.04</v>
      </c>
      <c r="AN499" s="107">
        <v>79.650000000000006</v>
      </c>
      <c r="AO499" s="107">
        <v>102.73</v>
      </c>
      <c r="AP499" s="107">
        <v>146.38999999999999</v>
      </c>
      <c r="AQ499" s="107">
        <v>59.63</v>
      </c>
      <c r="AR499" s="107">
        <v>66.569999999999993</v>
      </c>
      <c r="AS499" s="107">
        <v>89.58</v>
      </c>
      <c r="AT499" s="107">
        <v>130</v>
      </c>
      <c r="AU499" s="107">
        <v>152</v>
      </c>
      <c r="AV499" s="107">
        <v>170</v>
      </c>
    </row>
    <row r="500" spans="1:48" ht="30" customHeight="1" outlineLevel="2">
      <c r="A500" s="116" t="s">
        <v>1213</v>
      </c>
      <c r="B500" s="117" t="s">
        <v>1214</v>
      </c>
      <c r="C500" s="134" t="s">
        <v>242</v>
      </c>
      <c r="E500" s="105">
        <f t="shared" si="240"/>
        <v>73.260000000000005</v>
      </c>
      <c r="F500" s="105">
        <f t="shared" si="241"/>
        <v>216.15440000000004</v>
      </c>
      <c r="G500" s="105">
        <f t="shared" si="242"/>
        <v>408.14400000000006</v>
      </c>
      <c r="H500" s="106"/>
      <c r="I500" s="105">
        <f t="shared" si="243"/>
        <v>92.279000000000011</v>
      </c>
      <c r="J500" s="105">
        <f t="shared" si="244"/>
        <v>424.39320000000009</v>
      </c>
      <c r="K500" s="105">
        <f t="shared" si="245"/>
        <v>732.13800000000015</v>
      </c>
      <c r="N500" s="107">
        <f t="shared" si="207"/>
        <v>408.14400000000006</v>
      </c>
      <c r="O500" s="107">
        <f t="shared" si="208"/>
        <v>540.71600000000001</v>
      </c>
      <c r="P500" s="107">
        <f t="shared" si="209"/>
        <v>732.13800000000015</v>
      </c>
      <c r="R500" s="107">
        <f t="shared" si="210"/>
        <v>73.260000000000005</v>
      </c>
      <c r="S500" s="107">
        <f t="shared" si="211"/>
        <v>72.138000000000005</v>
      </c>
      <c r="T500" s="107">
        <f t="shared" si="212"/>
        <v>92.279000000000011</v>
      </c>
      <c r="V500" s="107">
        <f t="shared" si="213"/>
        <v>182.303</v>
      </c>
      <c r="W500" s="107">
        <f t="shared" si="214"/>
        <v>266.387</v>
      </c>
      <c r="X500" s="107">
        <f t="shared" si="215"/>
        <v>368.10400000000004</v>
      </c>
      <c r="Z500" s="107">
        <f t="shared" si="216"/>
        <v>118.96500000000002</v>
      </c>
      <c r="AA500" s="107">
        <f t="shared" si="217"/>
        <v>156.65100000000001</v>
      </c>
      <c r="AB500" s="107">
        <f t="shared" si="218"/>
        <v>205.64500000000001</v>
      </c>
      <c r="AD500" s="107">
        <f t="shared" si="219"/>
        <v>298.10000000000002</v>
      </c>
      <c r="AE500" s="107">
        <f t="shared" si="220"/>
        <v>423.50000000000006</v>
      </c>
      <c r="AF500" s="107">
        <f t="shared" si="221"/>
        <v>723.80000000000007</v>
      </c>
      <c r="AH500" s="107">
        <v>371.04</v>
      </c>
      <c r="AI500" s="107">
        <v>491.56</v>
      </c>
      <c r="AJ500" s="107">
        <v>665.58</v>
      </c>
      <c r="AK500" s="107">
        <v>66.599999999999994</v>
      </c>
      <c r="AL500" s="107">
        <v>65.58</v>
      </c>
      <c r="AM500" s="107">
        <v>83.89</v>
      </c>
      <c r="AN500" s="107">
        <v>165.73</v>
      </c>
      <c r="AO500" s="107">
        <v>242.17</v>
      </c>
      <c r="AP500" s="107">
        <v>334.64</v>
      </c>
      <c r="AQ500" s="107">
        <v>108.15</v>
      </c>
      <c r="AR500" s="107">
        <v>142.41</v>
      </c>
      <c r="AS500" s="107">
        <v>186.95</v>
      </c>
      <c r="AT500" s="107">
        <v>271</v>
      </c>
      <c r="AU500" s="107">
        <v>385</v>
      </c>
      <c r="AV500" s="107">
        <v>658</v>
      </c>
    </row>
    <row r="501" spans="1:48" ht="30" customHeight="1" outlineLevel="2">
      <c r="A501" s="116" t="s">
        <v>1215</v>
      </c>
      <c r="B501" s="117" t="s">
        <v>1216</v>
      </c>
      <c r="C501" s="134" t="s">
        <v>242</v>
      </c>
      <c r="E501" s="105">
        <f t="shared" si="240"/>
        <v>107.99800000000002</v>
      </c>
      <c r="F501" s="105">
        <f t="shared" si="241"/>
        <v>216.67580000000004</v>
      </c>
      <c r="G501" s="105">
        <f t="shared" si="242"/>
        <v>316.8</v>
      </c>
      <c r="H501" s="106"/>
      <c r="I501" s="105">
        <f t="shared" si="243"/>
        <v>221.13300000000001</v>
      </c>
      <c r="J501" s="105">
        <f t="shared" si="244"/>
        <v>385.94159999999999</v>
      </c>
      <c r="K501" s="105">
        <f t="shared" si="245"/>
        <v>585.20000000000005</v>
      </c>
      <c r="N501" s="107">
        <f t="shared" si="207"/>
        <v>107.99800000000002</v>
      </c>
      <c r="O501" s="107">
        <f t="shared" si="208"/>
        <v>152.92200000000003</v>
      </c>
      <c r="P501" s="107">
        <f t="shared" si="209"/>
        <v>221.13300000000001</v>
      </c>
      <c r="R501" s="107">
        <f t="shared" si="210"/>
        <v>245.60800000000003</v>
      </c>
      <c r="S501" s="107">
        <f t="shared" si="211"/>
        <v>293.20500000000004</v>
      </c>
      <c r="T501" s="107">
        <f t="shared" si="212"/>
        <v>346.00500000000005</v>
      </c>
      <c r="V501" s="107">
        <f t="shared" si="213"/>
        <v>218.27300000000002</v>
      </c>
      <c r="W501" s="107">
        <f t="shared" si="214"/>
        <v>324.66500000000002</v>
      </c>
      <c r="X501" s="107">
        <f t="shared" si="215"/>
        <v>446.76499999999999</v>
      </c>
      <c r="Z501" s="107">
        <f t="shared" si="216"/>
        <v>194.70000000000002</v>
      </c>
      <c r="AA501" s="107">
        <f t="shared" si="217"/>
        <v>262.68</v>
      </c>
      <c r="AB501" s="107">
        <f t="shared" si="218"/>
        <v>330.60500000000002</v>
      </c>
      <c r="AD501" s="107">
        <f t="shared" si="219"/>
        <v>316.8</v>
      </c>
      <c r="AE501" s="107">
        <f t="shared" si="220"/>
        <v>480.70000000000005</v>
      </c>
      <c r="AF501" s="107">
        <f t="shared" si="221"/>
        <v>585.20000000000005</v>
      </c>
      <c r="AH501" s="107">
        <v>98.18</v>
      </c>
      <c r="AI501" s="107">
        <v>139.02000000000001</v>
      </c>
      <c r="AJ501" s="107">
        <v>201.03</v>
      </c>
      <c r="AK501" s="107">
        <v>223.28</v>
      </c>
      <c r="AL501" s="107">
        <v>266.55</v>
      </c>
      <c r="AM501" s="107">
        <v>314.55</v>
      </c>
      <c r="AN501" s="107">
        <v>198.43</v>
      </c>
      <c r="AO501" s="107">
        <v>295.14999999999998</v>
      </c>
      <c r="AP501" s="107">
        <v>406.15</v>
      </c>
      <c r="AQ501" s="107">
        <v>177</v>
      </c>
      <c r="AR501" s="107">
        <v>238.8</v>
      </c>
      <c r="AS501" s="107">
        <v>300.55</v>
      </c>
      <c r="AT501" s="107">
        <v>288</v>
      </c>
      <c r="AU501" s="107">
        <v>437</v>
      </c>
      <c r="AV501" s="107">
        <v>532</v>
      </c>
    </row>
    <row r="502" spans="1:48" ht="30" customHeight="1" outlineLevel="2">
      <c r="A502" s="116" t="s">
        <v>1217</v>
      </c>
      <c r="B502" s="117" t="s">
        <v>1218</v>
      </c>
      <c r="C502" s="134" t="s">
        <v>242</v>
      </c>
      <c r="E502" s="105">
        <f t="shared" si="240"/>
        <v>234.15700000000001</v>
      </c>
      <c r="F502" s="105">
        <f t="shared" si="241"/>
        <v>329.96480000000003</v>
      </c>
      <c r="G502" s="105">
        <f t="shared" si="242"/>
        <v>402.6</v>
      </c>
      <c r="H502" s="106"/>
      <c r="I502" s="105">
        <f t="shared" si="243"/>
        <v>452.71600000000007</v>
      </c>
      <c r="J502" s="105">
        <f t="shared" si="244"/>
        <v>651.78959999999995</v>
      </c>
      <c r="K502" s="105">
        <f t="shared" si="245"/>
        <v>1071.4000000000001</v>
      </c>
      <c r="N502" s="107">
        <f t="shared" si="207"/>
        <v>234.15700000000001</v>
      </c>
      <c r="O502" s="107">
        <f t="shared" si="208"/>
        <v>322.89400000000006</v>
      </c>
      <c r="P502" s="107">
        <f t="shared" si="209"/>
        <v>452.71600000000007</v>
      </c>
      <c r="R502" s="107">
        <f t="shared" si="210"/>
        <v>349.56900000000007</v>
      </c>
      <c r="S502" s="107">
        <f t="shared" si="211"/>
        <v>422.16900000000004</v>
      </c>
      <c r="T502" s="107">
        <f t="shared" si="212"/>
        <v>491.51300000000003</v>
      </c>
      <c r="V502" s="107">
        <f t="shared" si="213"/>
        <v>316.15100000000007</v>
      </c>
      <c r="W502" s="107">
        <f t="shared" si="214"/>
        <v>483.24100000000004</v>
      </c>
      <c r="X502" s="107">
        <f t="shared" si="215"/>
        <v>660.84699999999998</v>
      </c>
      <c r="Z502" s="107">
        <f t="shared" si="216"/>
        <v>347.34699999999998</v>
      </c>
      <c r="AA502" s="107">
        <f t="shared" si="217"/>
        <v>476.38800000000003</v>
      </c>
      <c r="AB502" s="107">
        <f t="shared" si="218"/>
        <v>582.47199999999998</v>
      </c>
      <c r="AD502" s="107">
        <f t="shared" si="219"/>
        <v>402.6</v>
      </c>
      <c r="AE502" s="107">
        <f t="shared" si="220"/>
        <v>609.40000000000009</v>
      </c>
      <c r="AF502" s="107">
        <f t="shared" si="221"/>
        <v>1071.4000000000001</v>
      </c>
      <c r="AH502" s="107">
        <v>212.87</v>
      </c>
      <c r="AI502" s="107">
        <v>293.54000000000002</v>
      </c>
      <c r="AJ502" s="107">
        <v>411.56</v>
      </c>
      <c r="AK502" s="107">
        <v>317.79000000000002</v>
      </c>
      <c r="AL502" s="107">
        <v>383.79</v>
      </c>
      <c r="AM502" s="107">
        <v>446.83</v>
      </c>
      <c r="AN502" s="107">
        <v>287.41000000000003</v>
      </c>
      <c r="AO502" s="107">
        <v>439.31</v>
      </c>
      <c r="AP502" s="107">
        <v>600.77</v>
      </c>
      <c r="AQ502" s="107">
        <v>315.77</v>
      </c>
      <c r="AR502" s="107">
        <v>433.08</v>
      </c>
      <c r="AS502" s="107">
        <v>529.52</v>
      </c>
      <c r="AT502" s="107">
        <v>366</v>
      </c>
      <c r="AU502" s="107">
        <v>554</v>
      </c>
      <c r="AV502" s="107">
        <v>974</v>
      </c>
    </row>
    <row r="503" spans="1:48" ht="30" customHeight="1" outlineLevel="1">
      <c r="A503" s="132" t="s">
        <v>1219</v>
      </c>
      <c r="B503" s="133" t="s">
        <v>1220</v>
      </c>
      <c r="C503" s="101"/>
      <c r="N503" s="11" t="str">
        <f t="shared" si="207"/>
        <v/>
      </c>
      <c r="O503" s="11" t="str">
        <f t="shared" si="208"/>
        <v/>
      </c>
      <c r="P503" s="11" t="str">
        <f t="shared" si="209"/>
        <v/>
      </c>
      <c r="R503" s="11" t="str">
        <f t="shared" si="210"/>
        <v/>
      </c>
      <c r="S503" s="11" t="str">
        <f t="shared" si="211"/>
        <v/>
      </c>
      <c r="T503" s="11" t="str">
        <f t="shared" si="212"/>
        <v/>
      </c>
      <c r="V503" s="11" t="str">
        <f t="shared" si="213"/>
        <v/>
      </c>
      <c r="W503" s="11" t="str">
        <f t="shared" si="214"/>
        <v/>
      </c>
      <c r="X503" s="11" t="str">
        <f t="shared" si="215"/>
        <v/>
      </c>
      <c r="Z503" s="11" t="str">
        <f t="shared" si="216"/>
        <v/>
      </c>
      <c r="AA503" s="11" t="str">
        <f t="shared" si="217"/>
        <v/>
      </c>
      <c r="AB503" s="11" t="str">
        <f t="shared" si="218"/>
        <v/>
      </c>
      <c r="AD503" s="11" t="str">
        <f t="shared" si="219"/>
        <v/>
      </c>
      <c r="AE503" s="11" t="str">
        <f t="shared" si="220"/>
        <v/>
      </c>
      <c r="AF503" s="11" t="str">
        <f t="shared" si="221"/>
        <v/>
      </c>
    </row>
    <row r="504" spans="1:48" ht="30" customHeight="1" outlineLevel="2">
      <c r="A504" s="116" t="s">
        <v>1221</v>
      </c>
      <c r="B504" s="117" t="s">
        <v>1222</v>
      </c>
      <c r="C504" s="134" t="s">
        <v>242</v>
      </c>
      <c r="E504" s="105">
        <f>MIN(N504,R504,V504,Z504,AD504)</f>
        <v>612.57900000000006</v>
      </c>
      <c r="F504" s="105">
        <f>AVERAGE(N504,R504,V504,Z504,AD504)</f>
        <v>746.90000000000009</v>
      </c>
      <c r="G504" s="105">
        <f>MAX(N504,R504,V504,Z504,AD504)</f>
        <v>860.68400000000008</v>
      </c>
      <c r="H504" s="106"/>
      <c r="I504" s="105">
        <f>MIN(T504,X504,AB504,AF504,P504)</f>
        <v>1147.432</v>
      </c>
      <c r="J504" s="105">
        <f>AVERAGE(P504,T504,X504,AB504,AF504)</f>
        <v>1431.0889999999999</v>
      </c>
      <c r="K504" s="105">
        <f>MAX(P504,T504,X504,AB504,AF504)</f>
        <v>1744.3140000000001</v>
      </c>
      <c r="N504" s="107">
        <f t="shared" si="207"/>
        <v>612.57900000000006</v>
      </c>
      <c r="O504" s="107">
        <f t="shared" si="208"/>
        <v>832.79900000000009</v>
      </c>
      <c r="P504" s="107">
        <f t="shared" si="209"/>
        <v>1147.432</v>
      </c>
      <c r="R504" s="107">
        <f t="shared" si="210"/>
        <v>832.5680000000001</v>
      </c>
      <c r="S504" s="107">
        <f t="shared" si="211"/>
        <v>1041.1390000000001</v>
      </c>
      <c r="T504" s="107">
        <f t="shared" si="212"/>
        <v>1201.816</v>
      </c>
      <c r="V504" s="107">
        <f t="shared" si="213"/>
        <v>811.56900000000007</v>
      </c>
      <c r="W504" s="107">
        <f t="shared" si="214"/>
        <v>1285.8120000000001</v>
      </c>
      <c r="X504" s="107">
        <f t="shared" si="215"/>
        <v>1744.3140000000001</v>
      </c>
      <c r="Z504" s="107">
        <f t="shared" si="216"/>
        <v>860.68400000000008</v>
      </c>
      <c r="AA504" s="107">
        <f t="shared" si="217"/>
        <v>1195.0620000000001</v>
      </c>
      <c r="AB504" s="107">
        <f t="shared" si="218"/>
        <v>1429.4830000000002</v>
      </c>
      <c r="AD504" s="107">
        <f t="shared" si="219"/>
        <v>617.1</v>
      </c>
      <c r="AE504" s="107">
        <f t="shared" si="220"/>
        <v>931.7</v>
      </c>
      <c r="AF504" s="107">
        <f t="shared" si="221"/>
        <v>1632.4</v>
      </c>
      <c r="AH504" s="107">
        <v>556.89</v>
      </c>
      <c r="AI504" s="107">
        <v>757.09</v>
      </c>
      <c r="AJ504" s="107">
        <v>1043.1199999999999</v>
      </c>
      <c r="AK504" s="107">
        <v>756.88</v>
      </c>
      <c r="AL504" s="107">
        <v>946.49</v>
      </c>
      <c r="AM504" s="107">
        <v>1092.56</v>
      </c>
      <c r="AN504" s="107">
        <v>737.79</v>
      </c>
      <c r="AO504" s="107">
        <v>1168.92</v>
      </c>
      <c r="AP504" s="107">
        <v>1585.74</v>
      </c>
      <c r="AQ504" s="107">
        <v>782.44</v>
      </c>
      <c r="AR504" s="107">
        <v>1086.42</v>
      </c>
      <c r="AS504" s="107">
        <v>1299.53</v>
      </c>
      <c r="AT504" s="107">
        <v>561</v>
      </c>
      <c r="AU504" s="107">
        <v>847</v>
      </c>
      <c r="AV504" s="107">
        <v>1484</v>
      </c>
    </row>
    <row r="505" spans="1:48" ht="30" customHeight="1" outlineLevel="2">
      <c r="A505" s="116" t="s">
        <v>1223</v>
      </c>
      <c r="B505" s="117" t="s">
        <v>1224</v>
      </c>
      <c r="C505" s="134" t="s">
        <v>242</v>
      </c>
      <c r="E505" s="105">
        <f>MIN(N505,R505,V505,Z505,AD505)</f>
        <v>273.28399999999999</v>
      </c>
      <c r="F505" s="105">
        <f>AVERAGE(N505,R505,V505,Z505,AD505)</f>
        <v>471.7174</v>
      </c>
      <c r="G505" s="105">
        <f>MAX(N505,R505,V505,Z505,AD505)</f>
        <v>612.19399999999996</v>
      </c>
      <c r="H505" s="106"/>
      <c r="I505" s="105">
        <f>MIN(T505,X505,AB505,AF505,P505)</f>
        <v>544.56600000000003</v>
      </c>
      <c r="J505" s="105">
        <f>AVERAGE(P505,T505,X505,AB505,AF505)</f>
        <v>917.70360000000005</v>
      </c>
      <c r="K505" s="105">
        <f>MAX(P505,T505,X505,AB505,AF505)</f>
        <v>1299.1000000000001</v>
      </c>
      <c r="N505" s="107">
        <f t="shared" si="207"/>
        <v>273.28399999999999</v>
      </c>
      <c r="O505" s="107">
        <f t="shared" si="208"/>
        <v>383.94400000000007</v>
      </c>
      <c r="P505" s="107">
        <f t="shared" si="209"/>
        <v>544.56600000000003</v>
      </c>
      <c r="R505" s="107">
        <f t="shared" si="210"/>
        <v>547.59100000000001</v>
      </c>
      <c r="S505" s="107">
        <f t="shared" si="211"/>
        <v>687.51100000000008</v>
      </c>
      <c r="T505" s="107">
        <f t="shared" si="212"/>
        <v>802.41700000000014</v>
      </c>
      <c r="V505" s="107">
        <f t="shared" si="213"/>
        <v>436.01800000000003</v>
      </c>
      <c r="W505" s="107">
        <f t="shared" si="214"/>
        <v>677.41300000000012</v>
      </c>
      <c r="X505" s="107">
        <f t="shared" si="215"/>
        <v>922.97700000000009</v>
      </c>
      <c r="Z505" s="107">
        <f t="shared" si="216"/>
        <v>612.19399999999996</v>
      </c>
      <c r="AA505" s="107">
        <f t="shared" si="217"/>
        <v>847.16500000000008</v>
      </c>
      <c r="AB505" s="107">
        <f t="shared" si="218"/>
        <v>1019.4580000000001</v>
      </c>
      <c r="AD505" s="107">
        <f t="shared" si="219"/>
        <v>489.50000000000006</v>
      </c>
      <c r="AE505" s="107">
        <f t="shared" si="220"/>
        <v>740.30000000000007</v>
      </c>
      <c r="AF505" s="107">
        <f t="shared" si="221"/>
        <v>1299.1000000000001</v>
      </c>
      <c r="AH505" s="107">
        <v>248.44</v>
      </c>
      <c r="AI505" s="107">
        <v>349.04</v>
      </c>
      <c r="AJ505" s="107">
        <v>495.06</v>
      </c>
      <c r="AK505" s="107">
        <v>497.81</v>
      </c>
      <c r="AL505" s="107">
        <v>625.01</v>
      </c>
      <c r="AM505" s="107">
        <v>729.47</v>
      </c>
      <c r="AN505" s="107">
        <v>396.38</v>
      </c>
      <c r="AO505" s="107">
        <v>615.83000000000004</v>
      </c>
      <c r="AP505" s="107">
        <v>839.07</v>
      </c>
      <c r="AQ505" s="107">
        <v>556.54</v>
      </c>
      <c r="AR505" s="107">
        <v>770.15</v>
      </c>
      <c r="AS505" s="107">
        <v>926.78</v>
      </c>
      <c r="AT505" s="107">
        <v>445</v>
      </c>
      <c r="AU505" s="107">
        <v>673</v>
      </c>
      <c r="AV505" s="107">
        <v>1181</v>
      </c>
    </row>
    <row r="506" spans="1:48" ht="30" customHeight="1" outlineLevel="2" thickBot="1">
      <c r="A506" s="116" t="s">
        <v>1225</v>
      </c>
      <c r="B506" s="117" t="s">
        <v>1226</v>
      </c>
      <c r="C506" s="134" t="s">
        <v>242</v>
      </c>
      <c r="E506" s="105">
        <f>MIN(N506,R506,V506,Z506,AD506)</f>
        <v>256.23400000000004</v>
      </c>
      <c r="F506" s="105">
        <f>AVERAGE(N506,R506,V506,Z506,AD506)</f>
        <v>529.21440000000007</v>
      </c>
      <c r="G506" s="105">
        <f>MAX(N506,R506,V506,Z506,AD506)</f>
        <v>826.1</v>
      </c>
      <c r="H506" s="106"/>
      <c r="I506" s="105">
        <f>MIN(T506,X506,AB506,AF506,P506)</f>
        <v>529.79300000000001</v>
      </c>
      <c r="J506" s="105">
        <f>AVERAGE(P506,T506,X506,AB506,AF506)</f>
        <v>1046.8282000000002</v>
      </c>
      <c r="K506" s="105">
        <f>MAX(P506,T506,X506,AB506,AF506)</f>
        <v>2180.2000000000003</v>
      </c>
      <c r="N506" s="107">
        <f t="shared" si="207"/>
        <v>289.245</v>
      </c>
      <c r="O506" s="107">
        <f t="shared" si="208"/>
        <v>399.90500000000003</v>
      </c>
      <c r="P506" s="107">
        <f t="shared" si="209"/>
        <v>560.52700000000004</v>
      </c>
      <c r="R506" s="107">
        <f t="shared" si="210"/>
        <v>681.95600000000013</v>
      </c>
      <c r="S506" s="107">
        <f t="shared" si="211"/>
        <v>846.29600000000005</v>
      </c>
      <c r="T506" s="107">
        <f t="shared" si="212"/>
        <v>976.58</v>
      </c>
      <c r="V506" s="107">
        <f t="shared" si="213"/>
        <v>256.23400000000004</v>
      </c>
      <c r="W506" s="107">
        <f t="shared" si="214"/>
        <v>386.16600000000005</v>
      </c>
      <c r="X506" s="107">
        <f t="shared" si="215"/>
        <v>529.79300000000001</v>
      </c>
      <c r="Z506" s="107">
        <f t="shared" si="216"/>
        <v>592.53700000000003</v>
      </c>
      <c r="AA506" s="107">
        <f t="shared" si="217"/>
        <v>819.654</v>
      </c>
      <c r="AB506" s="107">
        <f t="shared" si="218"/>
        <v>987.04100000000005</v>
      </c>
      <c r="AD506" s="107">
        <f t="shared" si="219"/>
        <v>826.1</v>
      </c>
      <c r="AE506" s="107">
        <f t="shared" si="220"/>
        <v>1245.2</v>
      </c>
      <c r="AF506" s="107">
        <f t="shared" si="221"/>
        <v>2180.2000000000003</v>
      </c>
      <c r="AH506" s="107">
        <v>262.95</v>
      </c>
      <c r="AI506" s="107">
        <v>363.55</v>
      </c>
      <c r="AJ506" s="107">
        <v>509.57</v>
      </c>
      <c r="AK506" s="107">
        <v>619.96</v>
      </c>
      <c r="AL506" s="107">
        <v>769.36</v>
      </c>
      <c r="AM506" s="107">
        <v>887.8</v>
      </c>
      <c r="AN506" s="107">
        <v>232.94</v>
      </c>
      <c r="AO506" s="107">
        <v>351.06</v>
      </c>
      <c r="AP506" s="107">
        <v>481.63</v>
      </c>
      <c r="AQ506" s="107">
        <v>538.66999999999996</v>
      </c>
      <c r="AR506" s="107">
        <v>745.14</v>
      </c>
      <c r="AS506" s="107">
        <v>897.31</v>
      </c>
      <c r="AT506" s="107">
        <v>751</v>
      </c>
      <c r="AU506" s="107">
        <v>1132</v>
      </c>
      <c r="AV506" s="107">
        <v>1982</v>
      </c>
    </row>
    <row r="507" spans="1:48" ht="30" customHeight="1" thickBot="1">
      <c r="A507" s="96" t="s">
        <v>1227</v>
      </c>
      <c r="B507" s="115" t="s">
        <v>1228</v>
      </c>
      <c r="C507" s="98"/>
      <c r="N507" s="11" t="str">
        <f t="shared" si="207"/>
        <v/>
      </c>
      <c r="O507" s="11" t="str">
        <f t="shared" si="208"/>
        <v/>
      </c>
      <c r="P507" s="11" t="str">
        <f t="shared" si="209"/>
        <v/>
      </c>
      <c r="R507" s="11" t="str">
        <f t="shared" si="210"/>
        <v/>
      </c>
      <c r="S507" s="11" t="str">
        <f t="shared" si="211"/>
        <v/>
      </c>
      <c r="T507" s="11" t="str">
        <f t="shared" si="212"/>
        <v/>
      </c>
      <c r="V507" s="11" t="str">
        <f t="shared" si="213"/>
        <v/>
      </c>
      <c r="W507" s="11" t="str">
        <f t="shared" si="214"/>
        <v/>
      </c>
      <c r="X507" s="11" t="str">
        <f t="shared" si="215"/>
        <v/>
      </c>
      <c r="Z507" s="11" t="str">
        <f t="shared" si="216"/>
        <v/>
      </c>
      <c r="AA507" s="11" t="str">
        <f t="shared" si="217"/>
        <v/>
      </c>
      <c r="AB507" s="11" t="str">
        <f t="shared" si="218"/>
        <v/>
      </c>
      <c r="AD507" s="11" t="str">
        <f t="shared" si="219"/>
        <v/>
      </c>
      <c r="AE507" s="11" t="str">
        <f t="shared" si="220"/>
        <v/>
      </c>
      <c r="AF507" s="11" t="str">
        <f t="shared" si="221"/>
        <v/>
      </c>
    </row>
    <row r="508" spans="1:48" ht="30" customHeight="1" outlineLevel="1">
      <c r="A508" s="132" t="s">
        <v>1229</v>
      </c>
      <c r="B508" s="133" t="s">
        <v>1230</v>
      </c>
      <c r="C508" s="101"/>
      <c r="N508" s="11" t="str">
        <f t="shared" si="207"/>
        <v/>
      </c>
      <c r="O508" s="11" t="str">
        <f t="shared" si="208"/>
        <v/>
      </c>
      <c r="P508" s="11" t="str">
        <f t="shared" si="209"/>
        <v/>
      </c>
      <c r="R508" s="11" t="str">
        <f t="shared" si="210"/>
        <v/>
      </c>
      <c r="S508" s="11" t="str">
        <f t="shared" si="211"/>
        <v/>
      </c>
      <c r="T508" s="11" t="str">
        <f t="shared" si="212"/>
        <v/>
      </c>
      <c r="V508" s="11" t="str">
        <f t="shared" si="213"/>
        <v/>
      </c>
      <c r="W508" s="11" t="str">
        <f t="shared" si="214"/>
        <v/>
      </c>
      <c r="X508" s="11" t="str">
        <f t="shared" si="215"/>
        <v/>
      </c>
      <c r="Z508" s="11" t="str">
        <f t="shared" si="216"/>
        <v/>
      </c>
      <c r="AA508" s="11" t="str">
        <f t="shared" si="217"/>
        <v/>
      </c>
      <c r="AB508" s="11" t="str">
        <f t="shared" si="218"/>
        <v/>
      </c>
      <c r="AD508" s="11" t="str">
        <f t="shared" si="219"/>
        <v/>
      </c>
      <c r="AE508" s="11" t="str">
        <f t="shared" si="220"/>
        <v/>
      </c>
      <c r="AF508" s="11" t="str">
        <f t="shared" si="221"/>
        <v/>
      </c>
    </row>
    <row r="509" spans="1:48" ht="30" customHeight="1" outlineLevel="2">
      <c r="A509" s="116" t="s">
        <v>1231</v>
      </c>
      <c r="B509" s="117" t="s">
        <v>1232</v>
      </c>
      <c r="C509" s="134" t="s">
        <v>242</v>
      </c>
      <c r="E509" s="105">
        <f>MIN(N509,R509,V509,Z509,AD509)</f>
        <v>533.72</v>
      </c>
      <c r="F509" s="105">
        <f>AVERAGE(N509,R509,V509,Z509,AD509)</f>
        <v>770.16720000000009</v>
      </c>
      <c r="G509" s="105">
        <f>MAX(N509,R509,V509,Z509,AD509)</f>
        <v>1105.0490000000002</v>
      </c>
      <c r="H509" s="106"/>
      <c r="I509" s="105">
        <f>MIN(T509,X509,AB509,AF509,P509)</f>
        <v>4.4000000000000004</v>
      </c>
      <c r="J509" s="105">
        <f>AVERAGE(P509,T509,X509,AB509,AF509)</f>
        <v>10.780000000000001</v>
      </c>
      <c r="K509" s="105">
        <f>MAX(P509,T509,X509,AB509,AF509)</f>
        <v>27.500000000000004</v>
      </c>
      <c r="N509" s="107">
        <f t="shared" si="207"/>
        <v>618.57400000000007</v>
      </c>
      <c r="O509" s="107">
        <f t="shared" si="208"/>
        <v>-1.1000000000000001</v>
      </c>
      <c r="P509" s="107">
        <f t="shared" si="209"/>
        <v>5.5</v>
      </c>
      <c r="R509" s="107">
        <f t="shared" si="210"/>
        <v>533.72</v>
      </c>
      <c r="S509" s="107">
        <f t="shared" si="211"/>
        <v>-5.5</v>
      </c>
      <c r="T509" s="107">
        <f t="shared" si="212"/>
        <v>4.4000000000000004</v>
      </c>
      <c r="V509" s="107">
        <f t="shared" si="213"/>
        <v>842.1930000000001</v>
      </c>
      <c r="W509" s="107">
        <f t="shared" si="214"/>
        <v>-2.2000000000000002</v>
      </c>
      <c r="X509" s="107">
        <f t="shared" si="215"/>
        <v>5.5</v>
      </c>
      <c r="Z509" s="107">
        <f t="shared" si="216"/>
        <v>1105.0490000000002</v>
      </c>
      <c r="AA509" s="107">
        <f t="shared" si="217"/>
        <v>5.5</v>
      </c>
      <c r="AB509" s="107">
        <f t="shared" si="218"/>
        <v>27.500000000000004</v>
      </c>
      <c r="AD509" s="107">
        <f t="shared" si="219"/>
        <v>751.30000000000007</v>
      </c>
      <c r="AE509" s="107">
        <f t="shared" si="220"/>
        <v>2.2000000000000002</v>
      </c>
      <c r="AF509" s="107">
        <f t="shared" si="221"/>
        <v>11</v>
      </c>
      <c r="AH509" s="107">
        <v>562.34</v>
      </c>
      <c r="AI509" s="107">
        <v>-1</v>
      </c>
      <c r="AJ509" s="107">
        <v>5</v>
      </c>
      <c r="AK509" s="107">
        <v>485.2</v>
      </c>
      <c r="AL509" s="107">
        <v>-5</v>
      </c>
      <c r="AM509" s="107">
        <v>4</v>
      </c>
      <c r="AN509" s="107">
        <v>765.63</v>
      </c>
      <c r="AO509" s="107">
        <v>-2</v>
      </c>
      <c r="AP509" s="107">
        <v>5</v>
      </c>
      <c r="AQ509" s="107">
        <v>1004.59</v>
      </c>
      <c r="AR509" s="107">
        <v>5</v>
      </c>
      <c r="AS509" s="107">
        <v>25</v>
      </c>
      <c r="AT509" s="107">
        <v>683</v>
      </c>
      <c r="AU509" s="107">
        <v>2</v>
      </c>
      <c r="AV509" s="107">
        <v>10</v>
      </c>
    </row>
    <row r="510" spans="1:48" ht="30" customHeight="1" outlineLevel="2">
      <c r="A510" s="116" t="s">
        <v>1233</v>
      </c>
      <c r="B510" s="117" t="s">
        <v>1234</v>
      </c>
      <c r="C510" s="134" t="s">
        <v>242</v>
      </c>
      <c r="E510" s="105">
        <f>MIN(N510,R510,V510,Z510,AD510)</f>
        <v>735.66899999999998</v>
      </c>
      <c r="F510" s="105">
        <f>AVERAGE(N510,R510,V510,Z510,AD510)</f>
        <v>1498.6686000000002</v>
      </c>
      <c r="G510" s="105">
        <f>MAX(N510,R510,V510,Z510,AD510)</f>
        <v>2162.6220000000003</v>
      </c>
      <c r="H510" s="106"/>
      <c r="I510" s="105">
        <f>MIN(T510,X510,AB510,AF510,P510)</f>
        <v>1578.3130000000001</v>
      </c>
      <c r="J510" s="105">
        <f>AVERAGE(P510,T510,X510,AB510,AF510)</f>
        <v>2448.4372000000003</v>
      </c>
      <c r="K510" s="105">
        <f>MAX(P510,T510,X510,AB510,AF510)</f>
        <v>3646.335</v>
      </c>
      <c r="N510" s="107">
        <f t="shared" si="207"/>
        <v>2162.6220000000003</v>
      </c>
      <c r="O510" s="107">
        <f t="shared" si="208"/>
        <v>2777.2470000000003</v>
      </c>
      <c r="P510" s="107">
        <f t="shared" si="209"/>
        <v>3646.335</v>
      </c>
      <c r="R510" s="107">
        <f t="shared" si="210"/>
        <v>1358.4560000000001</v>
      </c>
      <c r="S510" s="107">
        <f t="shared" si="211"/>
        <v>1746.1950000000002</v>
      </c>
      <c r="T510" s="107">
        <f t="shared" si="212"/>
        <v>2025.5840000000003</v>
      </c>
      <c r="V510" s="107">
        <f t="shared" si="213"/>
        <v>735.66899999999998</v>
      </c>
      <c r="W510" s="107">
        <f t="shared" si="214"/>
        <v>1162.8540000000003</v>
      </c>
      <c r="X510" s="107">
        <f t="shared" si="215"/>
        <v>1578.3130000000001</v>
      </c>
      <c r="Z510" s="107">
        <f t="shared" si="216"/>
        <v>1075.096</v>
      </c>
      <c r="AA510" s="107">
        <f t="shared" si="217"/>
        <v>1495.23</v>
      </c>
      <c r="AB510" s="107">
        <f t="shared" si="218"/>
        <v>1783.2540000000004</v>
      </c>
      <c r="AD510" s="107">
        <f t="shared" si="219"/>
        <v>2161.5</v>
      </c>
      <c r="AE510" s="107">
        <f t="shared" si="220"/>
        <v>2812.7000000000003</v>
      </c>
      <c r="AF510" s="107">
        <f t="shared" si="221"/>
        <v>3208.7000000000003</v>
      </c>
      <c r="AH510" s="107">
        <v>1966.02</v>
      </c>
      <c r="AI510" s="107">
        <v>2524.77</v>
      </c>
      <c r="AJ510" s="107">
        <v>3314.85</v>
      </c>
      <c r="AK510" s="107">
        <v>1234.96</v>
      </c>
      <c r="AL510" s="107">
        <v>1587.45</v>
      </c>
      <c r="AM510" s="107">
        <v>1841.44</v>
      </c>
      <c r="AN510" s="107">
        <v>668.79</v>
      </c>
      <c r="AO510" s="107">
        <v>1057.1400000000001</v>
      </c>
      <c r="AP510" s="107">
        <v>1434.83</v>
      </c>
      <c r="AQ510" s="107">
        <v>977.36</v>
      </c>
      <c r="AR510" s="107">
        <v>1359.3</v>
      </c>
      <c r="AS510" s="107">
        <v>1621.14</v>
      </c>
      <c r="AT510" s="107">
        <v>1965</v>
      </c>
      <c r="AU510" s="107">
        <v>2557</v>
      </c>
      <c r="AV510" s="107">
        <v>2917</v>
      </c>
    </row>
    <row r="511" spans="1:48" ht="30" customHeight="1" outlineLevel="2">
      <c r="A511" s="116" t="s">
        <v>1235</v>
      </c>
      <c r="B511" s="117" t="s">
        <v>1236</v>
      </c>
      <c r="C511" s="134" t="s">
        <v>242</v>
      </c>
      <c r="E511" s="105">
        <f>MIN(N511,R511,V511,Z511,AD511)</f>
        <v>214.50000000000003</v>
      </c>
      <c r="F511" s="105">
        <f>AVERAGE(N511,R511,V511,Z511,AD511)</f>
        <v>478.92900000000009</v>
      </c>
      <c r="G511" s="105">
        <f>MAX(N511,R511,V511,Z511,AD511)</f>
        <v>785.11400000000003</v>
      </c>
      <c r="H511" s="106"/>
      <c r="I511" s="105">
        <f>MIN(T511,X511,AB511,AF511,P511)</f>
        <v>401.50000000000006</v>
      </c>
      <c r="J511" s="105">
        <f>AVERAGE(P511,T511,X511,AB511,AF511)</f>
        <v>864.01700000000005</v>
      </c>
      <c r="K511" s="105">
        <f>MAX(P511,T511,X511,AB511,AF511)</f>
        <v>1530.8260000000002</v>
      </c>
      <c r="N511" s="107">
        <f t="shared" si="207"/>
        <v>785.11400000000003</v>
      </c>
      <c r="O511" s="107">
        <f t="shared" si="208"/>
        <v>1092.9820000000002</v>
      </c>
      <c r="P511" s="107">
        <f t="shared" si="209"/>
        <v>1530.8260000000002</v>
      </c>
      <c r="R511" s="107">
        <f t="shared" si="210"/>
        <v>551.14400000000012</v>
      </c>
      <c r="S511" s="107">
        <f t="shared" si="211"/>
        <v>696.68500000000006</v>
      </c>
      <c r="T511" s="107">
        <f t="shared" si="212"/>
        <v>814.61599999999999</v>
      </c>
      <c r="V511" s="107">
        <f t="shared" si="213"/>
        <v>376.09000000000003</v>
      </c>
      <c r="W511" s="107">
        <f t="shared" si="214"/>
        <v>580.33800000000008</v>
      </c>
      <c r="X511" s="107">
        <f t="shared" si="215"/>
        <v>791.923</v>
      </c>
      <c r="Z511" s="107">
        <f t="shared" si="216"/>
        <v>467.79700000000003</v>
      </c>
      <c r="AA511" s="107">
        <f t="shared" si="217"/>
        <v>645.01800000000003</v>
      </c>
      <c r="AB511" s="107">
        <f t="shared" si="218"/>
        <v>781.22000000000014</v>
      </c>
      <c r="AD511" s="107">
        <f t="shared" si="219"/>
        <v>214.50000000000003</v>
      </c>
      <c r="AE511" s="107">
        <f t="shared" si="220"/>
        <v>327.8</v>
      </c>
      <c r="AF511" s="107">
        <f t="shared" si="221"/>
        <v>401.50000000000006</v>
      </c>
      <c r="AH511" s="107">
        <v>713.74</v>
      </c>
      <c r="AI511" s="107">
        <v>993.62</v>
      </c>
      <c r="AJ511" s="107">
        <v>1391.66</v>
      </c>
      <c r="AK511" s="107">
        <v>501.04</v>
      </c>
      <c r="AL511" s="107">
        <v>633.35</v>
      </c>
      <c r="AM511" s="107">
        <v>740.56</v>
      </c>
      <c r="AN511" s="107">
        <v>341.9</v>
      </c>
      <c r="AO511" s="107">
        <v>527.58000000000004</v>
      </c>
      <c r="AP511" s="107">
        <v>719.93</v>
      </c>
      <c r="AQ511" s="107">
        <v>425.27</v>
      </c>
      <c r="AR511" s="107">
        <v>586.38</v>
      </c>
      <c r="AS511" s="107">
        <v>710.2</v>
      </c>
      <c r="AT511" s="107">
        <v>195</v>
      </c>
      <c r="AU511" s="107">
        <v>298</v>
      </c>
      <c r="AV511" s="107">
        <v>365</v>
      </c>
    </row>
    <row r="512" spans="1:48" ht="30" customHeight="1" outlineLevel="1">
      <c r="A512" s="132" t="s">
        <v>1237</v>
      </c>
      <c r="B512" s="133" t="s">
        <v>1238</v>
      </c>
      <c r="C512" s="101"/>
      <c r="N512" s="11" t="str">
        <f t="shared" si="207"/>
        <v/>
      </c>
      <c r="O512" s="11" t="str">
        <f t="shared" si="208"/>
        <v/>
      </c>
      <c r="P512" s="11" t="str">
        <f t="shared" si="209"/>
        <v/>
      </c>
      <c r="R512" s="11" t="str">
        <f t="shared" si="210"/>
        <v/>
      </c>
      <c r="S512" s="11" t="str">
        <f t="shared" si="211"/>
        <v/>
      </c>
      <c r="T512" s="11" t="str">
        <f t="shared" si="212"/>
        <v/>
      </c>
      <c r="V512" s="11" t="str">
        <f t="shared" si="213"/>
        <v/>
      </c>
      <c r="W512" s="11" t="str">
        <f t="shared" si="214"/>
        <v/>
      </c>
      <c r="X512" s="11" t="str">
        <f t="shared" si="215"/>
        <v/>
      </c>
      <c r="Z512" s="11" t="str">
        <f t="shared" si="216"/>
        <v/>
      </c>
      <c r="AA512" s="11" t="str">
        <f t="shared" si="217"/>
        <v/>
      </c>
      <c r="AB512" s="11" t="str">
        <f t="shared" si="218"/>
        <v/>
      </c>
      <c r="AD512" s="11" t="str">
        <f t="shared" si="219"/>
        <v/>
      </c>
      <c r="AE512" s="11" t="str">
        <f t="shared" si="220"/>
        <v/>
      </c>
      <c r="AF512" s="11" t="str">
        <f t="shared" si="221"/>
        <v/>
      </c>
    </row>
    <row r="513" spans="1:48" ht="30" customHeight="1" outlineLevel="2">
      <c r="A513" s="116" t="s">
        <v>1239</v>
      </c>
      <c r="B513" s="117" t="s">
        <v>1240</v>
      </c>
      <c r="C513" s="134" t="s">
        <v>242</v>
      </c>
      <c r="E513" s="105">
        <f>MIN(N513,R513,V513,Z513,AD513)</f>
        <v>533.72</v>
      </c>
      <c r="F513" s="105">
        <f>AVERAGE(N513,R513,V513,Z513,AD513)</f>
        <v>795.82140000000004</v>
      </c>
      <c r="G513" s="105">
        <f>MAX(N513,R513,V513,Z513,AD513)</f>
        <v>1105.0490000000002</v>
      </c>
      <c r="H513" s="106"/>
      <c r="I513" s="105">
        <f>MIN(T513,X513,AB513,AF513,P513)</f>
        <v>4.4000000000000004</v>
      </c>
      <c r="J513" s="105">
        <f>AVERAGE(P513,T513,X513,AB513,AF513)</f>
        <v>10.780000000000001</v>
      </c>
      <c r="K513" s="105">
        <f>MAX(P513,T513,X513,AB513,AF513)</f>
        <v>27.500000000000004</v>
      </c>
      <c r="N513" s="107">
        <f t="shared" si="207"/>
        <v>618.57400000000007</v>
      </c>
      <c r="O513" s="107">
        <f t="shared" si="208"/>
        <v>-1.1000000000000001</v>
      </c>
      <c r="P513" s="107">
        <f t="shared" si="209"/>
        <v>5.5</v>
      </c>
      <c r="R513" s="107">
        <f t="shared" si="210"/>
        <v>533.72</v>
      </c>
      <c r="S513" s="107">
        <f t="shared" si="211"/>
        <v>-5.5</v>
      </c>
      <c r="T513" s="107">
        <f t="shared" si="212"/>
        <v>4.4000000000000004</v>
      </c>
      <c r="V513" s="107">
        <f t="shared" si="213"/>
        <v>669.06400000000008</v>
      </c>
      <c r="W513" s="107">
        <f t="shared" si="214"/>
        <v>-2.2000000000000002</v>
      </c>
      <c r="X513" s="107">
        <f t="shared" si="215"/>
        <v>5.5</v>
      </c>
      <c r="Z513" s="107">
        <f t="shared" si="216"/>
        <v>1105.0490000000002</v>
      </c>
      <c r="AA513" s="107">
        <f t="shared" si="217"/>
        <v>5.5</v>
      </c>
      <c r="AB513" s="107">
        <f t="shared" si="218"/>
        <v>27.500000000000004</v>
      </c>
      <c r="AD513" s="107">
        <f t="shared" si="219"/>
        <v>1052.7</v>
      </c>
      <c r="AE513" s="107">
        <f t="shared" si="220"/>
        <v>2.2000000000000002</v>
      </c>
      <c r="AF513" s="107">
        <f t="shared" si="221"/>
        <v>11</v>
      </c>
      <c r="AH513" s="107">
        <v>562.34</v>
      </c>
      <c r="AI513" s="107">
        <v>-1</v>
      </c>
      <c r="AJ513" s="107">
        <v>5</v>
      </c>
      <c r="AK513" s="107">
        <v>485.2</v>
      </c>
      <c r="AL513" s="107">
        <v>-5</v>
      </c>
      <c r="AM513" s="107">
        <v>4</v>
      </c>
      <c r="AN513" s="107">
        <v>608.24</v>
      </c>
      <c r="AO513" s="107">
        <v>-2</v>
      </c>
      <c r="AP513" s="107">
        <v>5</v>
      </c>
      <c r="AQ513" s="107">
        <v>1004.59</v>
      </c>
      <c r="AR513" s="107">
        <v>5</v>
      </c>
      <c r="AS513" s="107">
        <v>25</v>
      </c>
      <c r="AT513" s="107">
        <v>957</v>
      </c>
      <c r="AU513" s="107">
        <v>2</v>
      </c>
      <c r="AV513" s="107">
        <v>10</v>
      </c>
    </row>
    <row r="514" spans="1:48" ht="30" customHeight="1" outlineLevel="2">
      <c r="A514" s="116" t="s">
        <v>1241</v>
      </c>
      <c r="B514" s="117" t="s">
        <v>1242</v>
      </c>
      <c r="C514" s="134" t="s">
        <v>242</v>
      </c>
      <c r="E514" s="105">
        <f>MIN(N514,R514,V514,Z514,AD514)</f>
        <v>878.90000000000009</v>
      </c>
      <c r="F514" s="105">
        <f>AVERAGE(N514,R514,V514,Z514,AD514)</f>
        <v>1336.2360000000001</v>
      </c>
      <c r="G514" s="105">
        <f>MAX(N514,R514,V514,Z514,AD514)</f>
        <v>2451.02</v>
      </c>
      <c r="H514" s="106"/>
      <c r="I514" s="105">
        <f>MIN(T514,X514,AB514,AF514,P514)</f>
        <v>1244.1000000000001</v>
      </c>
      <c r="J514" s="105">
        <f>AVERAGE(P514,T514,X514,AB514,AF514)</f>
        <v>2201.5730000000003</v>
      </c>
      <c r="K514" s="105">
        <f>MAX(P514,T514,X514,AB514,AF514)</f>
        <v>3292.498</v>
      </c>
      <c r="N514" s="107">
        <f t="shared" si="207"/>
        <v>1154.8240000000001</v>
      </c>
      <c r="O514" s="107">
        <f t="shared" si="208"/>
        <v>1616.0760000000002</v>
      </c>
      <c r="P514" s="107">
        <f t="shared" si="209"/>
        <v>2269.5419999999999</v>
      </c>
      <c r="R514" s="107">
        <f t="shared" si="210"/>
        <v>2451.02</v>
      </c>
      <c r="S514" s="107">
        <f t="shared" si="211"/>
        <v>2942.6210000000005</v>
      </c>
      <c r="T514" s="107">
        <f t="shared" si="212"/>
        <v>3292.498</v>
      </c>
      <c r="V514" s="107">
        <f t="shared" si="213"/>
        <v>1115.1690000000001</v>
      </c>
      <c r="W514" s="107">
        <f t="shared" si="214"/>
        <v>1777.644</v>
      </c>
      <c r="X514" s="107">
        <f t="shared" si="215"/>
        <v>2408.2850000000003</v>
      </c>
      <c r="Z514" s="107">
        <f t="shared" si="216"/>
        <v>1081.2670000000001</v>
      </c>
      <c r="AA514" s="107">
        <f t="shared" si="217"/>
        <v>1503.8760000000002</v>
      </c>
      <c r="AB514" s="107">
        <f t="shared" si="218"/>
        <v>1793.4400000000003</v>
      </c>
      <c r="AD514" s="107">
        <f t="shared" si="219"/>
        <v>878.90000000000009</v>
      </c>
      <c r="AE514" s="107">
        <f t="shared" si="220"/>
        <v>1103.3000000000002</v>
      </c>
      <c r="AF514" s="107">
        <f t="shared" si="221"/>
        <v>1244.1000000000001</v>
      </c>
      <c r="AH514" s="107">
        <v>1049.8399999999999</v>
      </c>
      <c r="AI514" s="107">
        <v>1469.16</v>
      </c>
      <c r="AJ514" s="107">
        <v>2063.2199999999998</v>
      </c>
      <c r="AK514" s="107">
        <v>2228.1999999999998</v>
      </c>
      <c r="AL514" s="107">
        <v>2675.11</v>
      </c>
      <c r="AM514" s="107">
        <v>2993.18</v>
      </c>
      <c r="AN514" s="107">
        <v>1013.79</v>
      </c>
      <c r="AO514" s="107">
        <v>1616.04</v>
      </c>
      <c r="AP514" s="107">
        <v>2189.35</v>
      </c>
      <c r="AQ514" s="107">
        <v>982.97</v>
      </c>
      <c r="AR514" s="107">
        <v>1367.16</v>
      </c>
      <c r="AS514" s="107">
        <v>1630.4</v>
      </c>
      <c r="AT514" s="107">
        <v>799</v>
      </c>
      <c r="AU514" s="107">
        <v>1003</v>
      </c>
      <c r="AV514" s="107">
        <v>1131</v>
      </c>
    </row>
    <row r="515" spans="1:48" ht="30" customHeight="1" outlineLevel="2">
      <c r="A515" s="116" t="s">
        <v>1243</v>
      </c>
      <c r="B515" s="117" t="s">
        <v>1244</v>
      </c>
      <c r="C515" s="134" t="s">
        <v>242</v>
      </c>
      <c r="E515" s="105">
        <f>MIN(N515,R515,V515,Z515,AD515)</f>
        <v>376.09000000000003</v>
      </c>
      <c r="F515" s="105">
        <f>AVERAGE(N515,R515,V515,Z515,AD515)</f>
        <v>1003.7786</v>
      </c>
      <c r="G515" s="105">
        <f>MAX(N515,R515,V515,Z515,AD515)</f>
        <v>1391.269</v>
      </c>
      <c r="H515" s="106"/>
      <c r="I515" s="105">
        <f>MIN(T515,X515,AB515,AF515,P515)</f>
        <v>791.923</v>
      </c>
      <c r="J515" s="105">
        <f>AVERAGE(P515,T515,X515,AB515,AF515)</f>
        <v>1674.5036</v>
      </c>
      <c r="K515" s="105">
        <f>MAX(P515,T515,X515,AB515,AF515)</f>
        <v>2332</v>
      </c>
      <c r="N515" s="107">
        <f t="shared" si="207"/>
        <v>1391.269</v>
      </c>
      <c r="O515" s="107">
        <f t="shared" si="208"/>
        <v>1699.1370000000002</v>
      </c>
      <c r="P515" s="107">
        <f t="shared" si="209"/>
        <v>2136.9810000000002</v>
      </c>
      <c r="R515" s="107">
        <f t="shared" si="210"/>
        <v>847.35200000000009</v>
      </c>
      <c r="S515" s="107">
        <f t="shared" si="211"/>
        <v>1081.7619999999999</v>
      </c>
      <c r="T515" s="107">
        <f t="shared" si="212"/>
        <v>1258.9280000000001</v>
      </c>
      <c r="V515" s="107">
        <f t="shared" si="213"/>
        <v>376.09000000000003</v>
      </c>
      <c r="W515" s="107">
        <f t="shared" si="214"/>
        <v>580.33800000000008</v>
      </c>
      <c r="X515" s="107">
        <f t="shared" si="215"/>
        <v>791.923</v>
      </c>
      <c r="Z515" s="107">
        <f t="shared" si="216"/>
        <v>1117.182</v>
      </c>
      <c r="AA515" s="107">
        <f t="shared" si="217"/>
        <v>1554.146</v>
      </c>
      <c r="AB515" s="107">
        <f t="shared" si="218"/>
        <v>1852.6860000000001</v>
      </c>
      <c r="AD515" s="107">
        <f t="shared" si="219"/>
        <v>1287</v>
      </c>
      <c r="AE515" s="107">
        <f t="shared" si="220"/>
        <v>1936.0000000000002</v>
      </c>
      <c r="AF515" s="107">
        <f t="shared" si="221"/>
        <v>2332</v>
      </c>
      <c r="AH515" s="107">
        <v>1264.79</v>
      </c>
      <c r="AI515" s="107">
        <v>1544.67</v>
      </c>
      <c r="AJ515" s="107">
        <v>1942.71</v>
      </c>
      <c r="AK515" s="107">
        <v>770.32</v>
      </c>
      <c r="AL515" s="107">
        <v>983.42</v>
      </c>
      <c r="AM515" s="107">
        <v>1144.48</v>
      </c>
      <c r="AN515" s="107">
        <v>341.9</v>
      </c>
      <c r="AO515" s="107">
        <v>527.58000000000004</v>
      </c>
      <c r="AP515" s="107">
        <v>719.93</v>
      </c>
      <c r="AQ515" s="107">
        <v>1015.62</v>
      </c>
      <c r="AR515" s="107">
        <v>1412.86</v>
      </c>
      <c r="AS515" s="107">
        <v>1684.26</v>
      </c>
      <c r="AT515" s="107">
        <v>1170</v>
      </c>
      <c r="AU515" s="107">
        <v>1760</v>
      </c>
      <c r="AV515" s="107">
        <v>2120</v>
      </c>
    </row>
    <row r="516" spans="1:48" ht="30" customHeight="1" outlineLevel="2">
      <c r="A516" s="116" t="s">
        <v>1245</v>
      </c>
      <c r="B516" s="117" t="s">
        <v>1246</v>
      </c>
      <c r="C516" s="134" t="s">
        <v>242</v>
      </c>
      <c r="E516" s="105">
        <f>MIN(N516,R516,V516,Z516,AD516)</f>
        <v>256.23400000000004</v>
      </c>
      <c r="F516" s="105">
        <f>AVERAGE(N516,R516,V516,Z516,AD516)</f>
        <v>526.42700000000002</v>
      </c>
      <c r="G516" s="105">
        <f>MAX(N516,R516,V516,Z516,AD516)</f>
        <v>871.2</v>
      </c>
      <c r="H516" s="106"/>
      <c r="I516" s="105">
        <f>MIN(T516,X516,AB516,AF516,P516)</f>
        <v>529.79300000000001</v>
      </c>
      <c r="J516" s="105">
        <f>AVERAGE(P516,T516,X516,AB516,AF516)</f>
        <v>857.75360000000001</v>
      </c>
      <c r="K516" s="105">
        <f>MAX(P516,T516,X516,AB516,AF516)</f>
        <v>1234.2</v>
      </c>
      <c r="N516" s="107">
        <f t="shared" ref="N516:N579" si="246" xml:space="preserve"> IF(ISBLANK(AH516),"",_k_EIFFAGE * AH516)</f>
        <v>383.48200000000003</v>
      </c>
      <c r="O516" s="107">
        <f t="shared" ref="O516:O579" si="247" xml:space="preserve"> IF(ISBLANK(AI516),"",_k_EIFFAGE * AI516)</f>
        <v>537.96600000000001</v>
      </c>
      <c r="P516" s="107">
        <f t="shared" ref="P516:P579" si="248" xml:space="preserve"> IF(ISBLANK(AJ516),"",_k_EIFFAGE * AJ516)</f>
        <v>760.1880000000001</v>
      </c>
      <c r="R516" s="107">
        <f t="shared" ref="R516:R579" si="249" xml:space="preserve"> IF(ISBLANK(AK516),"",_k_ERI * AK516)</f>
        <v>551.14400000000012</v>
      </c>
      <c r="S516" s="107">
        <f t="shared" ref="S516:S579" si="250" xml:space="preserve"> IF(ISBLANK(AL516),"",_k_ERI * AL516)</f>
        <v>696.68500000000006</v>
      </c>
      <c r="T516" s="107">
        <f t="shared" ref="T516:T579" si="251" xml:space="preserve"> IF(ISBLANK(AM516),"",_k_ERI * AM516)</f>
        <v>814.61599999999999</v>
      </c>
      <c r="V516" s="107">
        <f t="shared" ref="V516:V579" si="252" xml:space="preserve"> IF(ISBLANK(AN516),"",_k_INEO * AN516)</f>
        <v>256.23400000000004</v>
      </c>
      <c r="W516" s="107">
        <f t="shared" ref="W516:W579" si="253" xml:space="preserve"> IF(ISBLANK(AO516),"",_k_INEO * AO516)</f>
        <v>386.16600000000005</v>
      </c>
      <c r="X516" s="107">
        <f t="shared" ref="X516:X579" si="254" xml:space="preserve"> IF(ISBLANK(AP516),"",_k_INEO * AP516)</f>
        <v>529.79300000000001</v>
      </c>
      <c r="Z516" s="107">
        <f t="shared" ref="Z516:Z579" si="255" xml:space="preserve"> IF(ISBLANK(AQ516),"",_k_SDEL * AQ516)</f>
        <v>570.07500000000005</v>
      </c>
      <c r="AA516" s="107">
        <f t="shared" ref="AA516:AA579" si="256" xml:space="preserve"> IF(ISBLANK(AR516),"",_k_SDEL * AR516)</f>
        <v>788.20500000000004</v>
      </c>
      <c r="AB516" s="107">
        <f t="shared" ref="AB516:AB579" si="257" xml:space="preserve"> IF(ISBLANK(AS516),"",_k_SDEL * AS516)</f>
        <v>949.97100000000012</v>
      </c>
      <c r="AD516" s="107">
        <f t="shared" ref="AD516:AD579" si="258" xml:space="preserve"> IF(ISBLANK(AT516),"",_k_SOGETREL * AT516)</f>
        <v>871.2</v>
      </c>
      <c r="AE516" s="107">
        <f t="shared" ref="AE516:AE579" si="259" xml:space="preserve"> IF(ISBLANK(AU516),"",_k_SOGETREL * AU516)</f>
        <v>1094.5</v>
      </c>
      <c r="AF516" s="107">
        <f t="shared" ref="AF516:AF579" si="260" xml:space="preserve"> IF(ISBLANK(AV516),"",_k_SOGETREL * AV516)</f>
        <v>1234.2</v>
      </c>
      <c r="AH516" s="107">
        <v>348.62</v>
      </c>
      <c r="AI516" s="107">
        <v>489.06</v>
      </c>
      <c r="AJ516" s="107">
        <v>691.08</v>
      </c>
      <c r="AK516" s="107">
        <v>501.04</v>
      </c>
      <c r="AL516" s="107">
        <v>633.35</v>
      </c>
      <c r="AM516" s="107">
        <v>740.56</v>
      </c>
      <c r="AN516" s="107">
        <v>232.94</v>
      </c>
      <c r="AO516" s="107">
        <v>351.06</v>
      </c>
      <c r="AP516" s="107">
        <v>481.63</v>
      </c>
      <c r="AQ516" s="107">
        <v>518.25</v>
      </c>
      <c r="AR516" s="107">
        <v>716.55</v>
      </c>
      <c r="AS516" s="107">
        <v>863.61</v>
      </c>
      <c r="AT516" s="107">
        <v>792</v>
      </c>
      <c r="AU516" s="107">
        <v>995</v>
      </c>
      <c r="AV516" s="107">
        <v>1122</v>
      </c>
    </row>
    <row r="517" spans="1:48" ht="30" customHeight="1" outlineLevel="2">
      <c r="A517" s="116" t="s">
        <v>1247</v>
      </c>
      <c r="B517" s="117" t="s">
        <v>1248</v>
      </c>
      <c r="C517" s="134" t="s">
        <v>242</v>
      </c>
      <c r="E517" s="105">
        <f>MIN(N517,R517,V517,Z517,AD517)</f>
        <v>376.09000000000003</v>
      </c>
      <c r="F517" s="105">
        <f>AVERAGE(N517,R517,V517,Z517,AD517)</f>
        <v>545.92560000000003</v>
      </c>
      <c r="G517" s="105">
        <f>MAX(N517,R517,V517,Z517,AD517)</f>
        <v>785.11400000000003</v>
      </c>
      <c r="H517" s="106"/>
      <c r="I517" s="105">
        <f>MIN(T517,X517,AB517,AF517,P517)</f>
        <v>747.09799999999996</v>
      </c>
      <c r="J517" s="105">
        <f>AVERAGE(P517,T517,X517,AB517,AF517)</f>
        <v>982.26919999999996</v>
      </c>
      <c r="K517" s="105">
        <f>MAX(P517,T517,X517,AB517,AF517)</f>
        <v>1530.8260000000002</v>
      </c>
      <c r="N517" s="107">
        <f t="shared" si="246"/>
        <v>785.11400000000003</v>
      </c>
      <c r="O517" s="107">
        <f t="shared" si="247"/>
        <v>1092.9820000000002</v>
      </c>
      <c r="P517" s="107">
        <f t="shared" si="248"/>
        <v>1530.8260000000002</v>
      </c>
      <c r="R517" s="107">
        <f t="shared" si="249"/>
        <v>506.13200000000006</v>
      </c>
      <c r="S517" s="107">
        <f t="shared" si="250"/>
        <v>638.17600000000004</v>
      </c>
      <c r="T517" s="107">
        <f t="shared" si="251"/>
        <v>747.09799999999996</v>
      </c>
      <c r="V517" s="107">
        <f t="shared" si="252"/>
        <v>376.09000000000003</v>
      </c>
      <c r="W517" s="107">
        <f t="shared" si="253"/>
        <v>580.33800000000008</v>
      </c>
      <c r="X517" s="107">
        <f t="shared" si="254"/>
        <v>791.923</v>
      </c>
      <c r="Z517" s="107">
        <f t="shared" si="255"/>
        <v>634.39200000000005</v>
      </c>
      <c r="AA517" s="107">
        <f t="shared" si="256"/>
        <v>878.25100000000009</v>
      </c>
      <c r="AB517" s="107">
        <f t="shared" si="257"/>
        <v>1056.0990000000002</v>
      </c>
      <c r="AD517" s="107">
        <f t="shared" si="258"/>
        <v>427.90000000000003</v>
      </c>
      <c r="AE517" s="107">
        <f t="shared" si="259"/>
        <v>647.90000000000009</v>
      </c>
      <c r="AF517" s="107">
        <f t="shared" si="260"/>
        <v>785.40000000000009</v>
      </c>
      <c r="AH517" s="107">
        <v>713.74</v>
      </c>
      <c r="AI517" s="107">
        <v>993.62</v>
      </c>
      <c r="AJ517" s="107">
        <v>1391.66</v>
      </c>
      <c r="AK517" s="107">
        <v>460.12</v>
      </c>
      <c r="AL517" s="107">
        <v>580.16</v>
      </c>
      <c r="AM517" s="107">
        <v>679.18</v>
      </c>
      <c r="AN517" s="107">
        <v>341.9</v>
      </c>
      <c r="AO517" s="107">
        <v>527.58000000000004</v>
      </c>
      <c r="AP517" s="107">
        <v>719.93</v>
      </c>
      <c r="AQ517" s="107">
        <v>576.72</v>
      </c>
      <c r="AR517" s="107">
        <v>798.41</v>
      </c>
      <c r="AS517" s="107">
        <v>960.09</v>
      </c>
      <c r="AT517" s="107">
        <v>389</v>
      </c>
      <c r="AU517" s="107">
        <v>589</v>
      </c>
      <c r="AV517" s="107">
        <v>714</v>
      </c>
    </row>
    <row r="518" spans="1:48" ht="30" customHeight="1" outlineLevel="1">
      <c r="A518" s="132" t="s">
        <v>1249</v>
      </c>
      <c r="B518" s="133" t="s">
        <v>1250</v>
      </c>
      <c r="C518" s="111"/>
      <c r="N518" s="11" t="str">
        <f t="shared" si="246"/>
        <v/>
      </c>
      <c r="O518" s="11" t="str">
        <f t="shared" si="247"/>
        <v/>
      </c>
      <c r="P518" s="11" t="str">
        <f t="shared" si="248"/>
        <v/>
      </c>
      <c r="R518" s="11" t="str">
        <f t="shared" si="249"/>
        <v/>
      </c>
      <c r="S518" s="11" t="str">
        <f t="shared" si="250"/>
        <v/>
      </c>
      <c r="T518" s="11" t="str">
        <f t="shared" si="251"/>
        <v/>
      </c>
      <c r="V518" s="11" t="str">
        <f t="shared" si="252"/>
        <v/>
      </c>
      <c r="W518" s="11" t="str">
        <f t="shared" si="253"/>
        <v/>
      </c>
      <c r="X518" s="11" t="str">
        <f t="shared" si="254"/>
        <v/>
      </c>
      <c r="Z518" s="11" t="str">
        <f t="shared" si="255"/>
        <v/>
      </c>
      <c r="AA518" s="11" t="str">
        <f t="shared" si="256"/>
        <v/>
      </c>
      <c r="AB518" s="11" t="str">
        <f t="shared" si="257"/>
        <v/>
      </c>
      <c r="AD518" s="11" t="str">
        <f t="shared" si="258"/>
        <v/>
      </c>
      <c r="AE518" s="11" t="str">
        <f t="shared" si="259"/>
        <v/>
      </c>
      <c r="AF518" s="11" t="str">
        <f t="shared" si="260"/>
        <v/>
      </c>
    </row>
    <row r="519" spans="1:48" ht="30" customHeight="1" outlineLevel="2">
      <c r="A519" s="116" t="s">
        <v>1251</v>
      </c>
      <c r="B519" s="117" t="s">
        <v>1252</v>
      </c>
      <c r="C519" s="134" t="s">
        <v>242</v>
      </c>
      <c r="E519" s="105">
        <f>MIN(N519,R519,V519,Z519,AD519)</f>
        <v>1834.316</v>
      </c>
      <c r="F519" s="105">
        <f>AVERAGE(N519,R519,V519,Z519,AD519)</f>
        <v>2407.0970000000002</v>
      </c>
      <c r="G519" s="105">
        <f>MAX(N519,R519,V519,Z519,AD519)</f>
        <v>2920.5000000000005</v>
      </c>
      <c r="H519" s="106"/>
      <c r="I519" s="105">
        <f>MIN(T519,X519,AB519,AF519,P519)</f>
        <v>3252.0180000000005</v>
      </c>
      <c r="J519" s="105">
        <f>AVERAGE(P519,T519,X519,AB519,AF519)</f>
        <v>3961.2429999999999</v>
      </c>
      <c r="K519" s="105">
        <f>MAX(P519,T519,X519,AB519,AF519)</f>
        <v>4828.1750000000002</v>
      </c>
      <c r="N519" s="107">
        <f t="shared" si="246"/>
        <v>2272.8090000000002</v>
      </c>
      <c r="O519" s="107">
        <f t="shared" si="247"/>
        <v>2931.2580000000003</v>
      </c>
      <c r="P519" s="107">
        <f t="shared" si="248"/>
        <v>3861.9570000000003</v>
      </c>
      <c r="R519" s="107">
        <f t="shared" si="249"/>
        <v>2423.96</v>
      </c>
      <c r="S519" s="107">
        <f t="shared" si="250"/>
        <v>2907.5310000000004</v>
      </c>
      <c r="T519" s="107">
        <f t="shared" si="251"/>
        <v>3252.0180000000005</v>
      </c>
      <c r="V519" s="107">
        <f t="shared" si="252"/>
        <v>1834.316</v>
      </c>
      <c r="W519" s="107">
        <f t="shared" si="253"/>
        <v>2942.6650000000004</v>
      </c>
      <c r="X519" s="107">
        <f t="shared" si="254"/>
        <v>3981.0650000000005</v>
      </c>
      <c r="Z519" s="107">
        <f t="shared" si="255"/>
        <v>2920.5000000000005</v>
      </c>
      <c r="AA519" s="107">
        <f t="shared" si="256"/>
        <v>4078.8</v>
      </c>
      <c r="AB519" s="107">
        <f t="shared" si="257"/>
        <v>4828.1750000000002</v>
      </c>
      <c r="AD519" s="107">
        <f t="shared" si="258"/>
        <v>2583.9</v>
      </c>
      <c r="AE519" s="107">
        <f t="shared" si="259"/>
        <v>3228.5000000000005</v>
      </c>
      <c r="AF519" s="107">
        <f t="shared" si="260"/>
        <v>3883.0000000000005</v>
      </c>
      <c r="AH519" s="107">
        <v>2066.19</v>
      </c>
      <c r="AI519" s="107">
        <v>2664.78</v>
      </c>
      <c r="AJ519" s="107">
        <v>3510.87</v>
      </c>
      <c r="AK519" s="107">
        <v>2203.6</v>
      </c>
      <c r="AL519" s="107">
        <v>2643.21</v>
      </c>
      <c r="AM519" s="107">
        <v>2956.38</v>
      </c>
      <c r="AN519" s="107">
        <v>1667.56</v>
      </c>
      <c r="AO519" s="107">
        <v>2675.15</v>
      </c>
      <c r="AP519" s="107">
        <v>3619.15</v>
      </c>
      <c r="AQ519" s="107">
        <v>2655</v>
      </c>
      <c r="AR519" s="107">
        <v>3708</v>
      </c>
      <c r="AS519" s="107">
        <v>4389.25</v>
      </c>
      <c r="AT519" s="107">
        <v>2349</v>
      </c>
      <c r="AU519" s="107">
        <v>2935</v>
      </c>
      <c r="AV519" s="107">
        <v>3530</v>
      </c>
    </row>
    <row r="520" spans="1:48" ht="30" customHeight="1" outlineLevel="2">
      <c r="A520" s="116" t="s">
        <v>1253</v>
      </c>
      <c r="B520" s="117" t="s">
        <v>1254</v>
      </c>
      <c r="C520" s="134" t="s">
        <v>242</v>
      </c>
      <c r="E520" s="105">
        <f>MIN(N520,R520,V520,Z520,AD520)</f>
        <v>177.10000000000002</v>
      </c>
      <c r="F520" s="105">
        <f>AVERAGE(N520,R520,V520,Z520,AD520)</f>
        <v>248.61760000000004</v>
      </c>
      <c r="G520" s="105">
        <f>MAX(N520,R520,V520,Z520,AD520)</f>
        <v>380.69900000000001</v>
      </c>
      <c r="H520" s="106"/>
      <c r="I520" s="105">
        <f>MIN(T520,X520,AB520,AF520,P520)</f>
        <v>287.10000000000002</v>
      </c>
      <c r="J520" s="105">
        <f>AVERAGE(P520,T520,X520,AB520,AF520)</f>
        <v>411.87299999999993</v>
      </c>
      <c r="K520" s="105">
        <f>MAX(P520,T520,X520,AB520,AF520)</f>
        <v>637.505</v>
      </c>
      <c r="N520" s="107">
        <f t="shared" si="246"/>
        <v>231.25300000000001</v>
      </c>
      <c r="O520" s="107">
        <f t="shared" si="247"/>
        <v>287.13299999999998</v>
      </c>
      <c r="P520" s="107">
        <f t="shared" si="248"/>
        <v>370.74400000000003</v>
      </c>
      <c r="R520" s="107">
        <f t="shared" si="249"/>
        <v>226.98500000000001</v>
      </c>
      <c r="S520" s="107">
        <f t="shared" si="250"/>
        <v>256.99299999999999</v>
      </c>
      <c r="T520" s="107">
        <f t="shared" si="251"/>
        <v>298.03400000000005</v>
      </c>
      <c r="V520" s="107">
        <f t="shared" si="252"/>
        <v>227.05100000000002</v>
      </c>
      <c r="W520" s="107">
        <f t="shared" si="253"/>
        <v>338.899</v>
      </c>
      <c r="X520" s="107">
        <f t="shared" si="254"/>
        <v>465.98200000000003</v>
      </c>
      <c r="Z520" s="107">
        <f t="shared" si="255"/>
        <v>380.69900000000001</v>
      </c>
      <c r="AA520" s="107">
        <f t="shared" si="256"/>
        <v>523.08299999999997</v>
      </c>
      <c r="AB520" s="107">
        <f t="shared" si="257"/>
        <v>637.505</v>
      </c>
      <c r="AD520" s="107">
        <f t="shared" si="258"/>
        <v>177.10000000000002</v>
      </c>
      <c r="AE520" s="107">
        <f t="shared" si="259"/>
        <v>242.00000000000003</v>
      </c>
      <c r="AF520" s="107">
        <f t="shared" si="260"/>
        <v>287.10000000000002</v>
      </c>
      <c r="AH520" s="107">
        <v>210.23</v>
      </c>
      <c r="AI520" s="107">
        <v>261.02999999999997</v>
      </c>
      <c r="AJ520" s="107">
        <v>337.04</v>
      </c>
      <c r="AK520" s="107">
        <v>206.35</v>
      </c>
      <c r="AL520" s="107">
        <v>233.63</v>
      </c>
      <c r="AM520" s="107">
        <v>270.94</v>
      </c>
      <c r="AN520" s="107">
        <v>206.41</v>
      </c>
      <c r="AO520" s="107">
        <v>308.08999999999997</v>
      </c>
      <c r="AP520" s="107">
        <v>423.62</v>
      </c>
      <c r="AQ520" s="107">
        <v>346.09</v>
      </c>
      <c r="AR520" s="107">
        <v>475.53</v>
      </c>
      <c r="AS520" s="107">
        <v>579.54999999999995</v>
      </c>
      <c r="AT520" s="107">
        <v>161</v>
      </c>
      <c r="AU520" s="107">
        <v>220</v>
      </c>
      <c r="AV520" s="107">
        <v>261</v>
      </c>
    </row>
    <row r="521" spans="1:48" ht="30" customHeight="1" outlineLevel="2">
      <c r="A521" s="116" t="s">
        <v>1255</v>
      </c>
      <c r="B521" s="117" t="s">
        <v>1256</v>
      </c>
      <c r="C521" s="134" t="s">
        <v>242</v>
      </c>
      <c r="E521" s="105">
        <f>MIN(N521,R521,V521,Z521,AD521)</f>
        <v>226.25900000000001</v>
      </c>
      <c r="F521" s="105">
        <f>AVERAGE(N521,R521,V521,Z521,AD521)</f>
        <v>293.89800000000002</v>
      </c>
      <c r="G521" s="105">
        <f>MAX(N521,R521,V521,Z521,AD521)</f>
        <v>435.6</v>
      </c>
      <c r="H521" s="106"/>
      <c r="I521" s="105">
        <f>MIN(T521,X521,AB521,AF521,P521)</f>
        <v>368.43400000000003</v>
      </c>
      <c r="J521" s="105">
        <f>AVERAGE(P521,T521,X521,AB521,AF521)</f>
        <v>517.13420000000008</v>
      </c>
      <c r="K521" s="105">
        <f>MAX(P521,T521,X521,AB521,AF521)</f>
        <v>792.00000000000011</v>
      </c>
      <c r="N521" s="107">
        <f t="shared" si="246"/>
        <v>242.13200000000003</v>
      </c>
      <c r="O521" s="107">
        <f t="shared" si="247"/>
        <v>330.86900000000003</v>
      </c>
      <c r="P521" s="107">
        <f t="shared" si="248"/>
        <v>460.69100000000003</v>
      </c>
      <c r="R521" s="107">
        <f t="shared" si="249"/>
        <v>267.94900000000001</v>
      </c>
      <c r="S521" s="107">
        <f t="shared" si="250"/>
        <v>315.57900000000001</v>
      </c>
      <c r="T521" s="107">
        <f t="shared" si="251"/>
        <v>368.43400000000003</v>
      </c>
      <c r="V521" s="107">
        <f t="shared" si="252"/>
        <v>226.25900000000001</v>
      </c>
      <c r="W521" s="107">
        <f t="shared" si="253"/>
        <v>337.60100000000006</v>
      </c>
      <c r="X521" s="107">
        <f t="shared" si="254"/>
        <v>464.233</v>
      </c>
      <c r="Z521" s="107">
        <f t="shared" si="255"/>
        <v>297.55</v>
      </c>
      <c r="AA521" s="107">
        <f t="shared" si="256"/>
        <v>406.68099999999998</v>
      </c>
      <c r="AB521" s="107">
        <f t="shared" si="257"/>
        <v>500.31300000000005</v>
      </c>
      <c r="AD521" s="107">
        <f t="shared" si="258"/>
        <v>435.6</v>
      </c>
      <c r="AE521" s="107">
        <f t="shared" si="259"/>
        <v>654.5</v>
      </c>
      <c r="AF521" s="107">
        <f t="shared" si="260"/>
        <v>792.00000000000011</v>
      </c>
      <c r="AH521" s="107">
        <v>220.12</v>
      </c>
      <c r="AI521" s="107">
        <v>300.79000000000002</v>
      </c>
      <c r="AJ521" s="107">
        <v>418.81</v>
      </c>
      <c r="AK521" s="107">
        <v>243.59</v>
      </c>
      <c r="AL521" s="107">
        <v>286.89</v>
      </c>
      <c r="AM521" s="107">
        <v>334.94</v>
      </c>
      <c r="AN521" s="107">
        <v>205.69</v>
      </c>
      <c r="AO521" s="107">
        <v>306.91000000000003</v>
      </c>
      <c r="AP521" s="107">
        <v>422.03</v>
      </c>
      <c r="AQ521" s="107">
        <v>270.5</v>
      </c>
      <c r="AR521" s="107">
        <v>369.71</v>
      </c>
      <c r="AS521" s="107">
        <v>454.83</v>
      </c>
      <c r="AT521" s="107">
        <v>396</v>
      </c>
      <c r="AU521" s="107">
        <v>595</v>
      </c>
      <c r="AV521" s="107">
        <v>720</v>
      </c>
    </row>
    <row r="522" spans="1:48" ht="30" customHeight="1" outlineLevel="1">
      <c r="A522" s="132" t="s">
        <v>1257</v>
      </c>
      <c r="B522" s="133" t="s">
        <v>1258</v>
      </c>
      <c r="C522" s="101"/>
      <c r="N522" s="11" t="str">
        <f t="shared" si="246"/>
        <v/>
      </c>
      <c r="O522" s="11" t="str">
        <f t="shared" si="247"/>
        <v/>
      </c>
      <c r="P522" s="11" t="str">
        <f t="shared" si="248"/>
        <v/>
      </c>
      <c r="R522" s="11" t="str">
        <f t="shared" si="249"/>
        <v/>
      </c>
      <c r="S522" s="11" t="str">
        <f t="shared" si="250"/>
        <v/>
      </c>
      <c r="T522" s="11" t="str">
        <f t="shared" si="251"/>
        <v/>
      </c>
      <c r="V522" s="11" t="str">
        <f t="shared" si="252"/>
        <v/>
      </c>
      <c r="W522" s="11" t="str">
        <f t="shared" si="253"/>
        <v/>
      </c>
      <c r="X522" s="11" t="str">
        <f t="shared" si="254"/>
        <v/>
      </c>
      <c r="Z522" s="11" t="str">
        <f t="shared" si="255"/>
        <v/>
      </c>
      <c r="AA522" s="11" t="str">
        <f t="shared" si="256"/>
        <v/>
      </c>
      <c r="AB522" s="11" t="str">
        <f t="shared" si="257"/>
        <v/>
      </c>
      <c r="AD522" s="11" t="str">
        <f t="shared" si="258"/>
        <v/>
      </c>
      <c r="AE522" s="11" t="str">
        <f t="shared" si="259"/>
        <v/>
      </c>
      <c r="AF522" s="11" t="str">
        <f t="shared" si="260"/>
        <v/>
      </c>
    </row>
    <row r="523" spans="1:48" ht="30" customHeight="1" outlineLevel="2">
      <c r="A523" s="116" t="s">
        <v>1259</v>
      </c>
      <c r="B523" s="117" t="s">
        <v>1260</v>
      </c>
      <c r="C523" s="134" t="s">
        <v>242</v>
      </c>
      <c r="E523" s="105">
        <f>MIN(N523,R523,V523,Z523,AD523)</f>
        <v>304.07300000000004</v>
      </c>
      <c r="F523" s="105">
        <f>AVERAGE(N523,R523,V523,Z523,AD523)</f>
        <v>451.85800000000006</v>
      </c>
      <c r="G523" s="105">
        <f>MAX(N523,R523,V523,Z523,AD523)</f>
        <v>644.6880000000001</v>
      </c>
      <c r="H523" s="106"/>
      <c r="I523" s="105">
        <f>MIN(T523,X523,AB523,AF523,P523)</f>
        <v>444.00400000000002</v>
      </c>
      <c r="J523" s="105">
        <f>AVERAGE(P523,T523,X523,AB523,AF523)</f>
        <v>823.98580000000004</v>
      </c>
      <c r="K523" s="105">
        <f>MAX(P523,T523,X523,AB523,AF523)</f>
        <v>1073.0830000000001</v>
      </c>
      <c r="N523" s="107">
        <f t="shared" si="246"/>
        <v>386.68299999999999</v>
      </c>
      <c r="O523" s="107">
        <f t="shared" si="247"/>
        <v>541.16700000000003</v>
      </c>
      <c r="P523" s="107">
        <f t="shared" si="248"/>
        <v>763.38900000000012</v>
      </c>
      <c r="R523" s="107">
        <f t="shared" si="249"/>
        <v>304.07300000000004</v>
      </c>
      <c r="S523" s="107">
        <f t="shared" si="250"/>
        <v>375.49600000000004</v>
      </c>
      <c r="T523" s="107">
        <f t="shared" si="251"/>
        <v>444.00400000000002</v>
      </c>
      <c r="V523" s="107">
        <f t="shared" si="252"/>
        <v>495.94600000000008</v>
      </c>
      <c r="W523" s="107">
        <f t="shared" si="253"/>
        <v>774.5100000000001</v>
      </c>
      <c r="X523" s="107">
        <f t="shared" si="254"/>
        <v>1054.0530000000001</v>
      </c>
      <c r="Z523" s="107">
        <f t="shared" si="255"/>
        <v>644.6880000000001</v>
      </c>
      <c r="AA523" s="107">
        <f t="shared" si="256"/>
        <v>892.66100000000006</v>
      </c>
      <c r="AB523" s="107">
        <f t="shared" si="257"/>
        <v>1073.0830000000001</v>
      </c>
      <c r="AD523" s="107">
        <f t="shared" si="258"/>
        <v>427.90000000000003</v>
      </c>
      <c r="AE523" s="107">
        <f t="shared" si="259"/>
        <v>647.90000000000009</v>
      </c>
      <c r="AF523" s="107">
        <f t="shared" si="260"/>
        <v>785.40000000000009</v>
      </c>
      <c r="AH523" s="107">
        <v>351.53</v>
      </c>
      <c r="AI523" s="107">
        <v>491.97</v>
      </c>
      <c r="AJ523" s="107">
        <v>693.99</v>
      </c>
      <c r="AK523" s="107">
        <v>276.43</v>
      </c>
      <c r="AL523" s="107">
        <v>341.36</v>
      </c>
      <c r="AM523" s="107">
        <v>403.64</v>
      </c>
      <c r="AN523" s="107">
        <v>450.86</v>
      </c>
      <c r="AO523" s="107">
        <v>704.1</v>
      </c>
      <c r="AP523" s="107">
        <v>958.23</v>
      </c>
      <c r="AQ523" s="107">
        <v>586.08000000000004</v>
      </c>
      <c r="AR523" s="107">
        <v>811.51</v>
      </c>
      <c r="AS523" s="107">
        <v>975.53</v>
      </c>
      <c r="AT523" s="107">
        <v>389</v>
      </c>
      <c r="AU523" s="107">
        <v>589</v>
      </c>
      <c r="AV523" s="107">
        <v>714</v>
      </c>
    </row>
    <row r="524" spans="1:48" ht="30" customHeight="1" outlineLevel="2">
      <c r="A524" s="116" t="s">
        <v>1261</v>
      </c>
      <c r="B524" s="117" t="s">
        <v>1262</v>
      </c>
      <c r="C524" s="134" t="s">
        <v>242</v>
      </c>
      <c r="E524" s="105">
        <f>MIN(N524,R524,V524,Z524,AD524)</f>
        <v>146.036</v>
      </c>
      <c r="F524" s="105">
        <f>AVERAGE(N524,R524,V524,Z524,AD524)</f>
        <v>446.05220000000008</v>
      </c>
      <c r="G524" s="105">
        <f>MAX(N524,R524,V524,Z524,AD524)</f>
        <v>975.38100000000009</v>
      </c>
      <c r="H524" s="106"/>
      <c r="I524" s="105">
        <f>MIN(T524,X524,AB524,AF524,P524)</f>
        <v>206.95400000000001</v>
      </c>
      <c r="J524" s="105">
        <f>AVERAGE(P524,T524,X524,AB524,AF524)</f>
        <v>868.7492000000002</v>
      </c>
      <c r="K524" s="105">
        <f>MAX(P524,T524,X524,AB524,AF524)</f>
        <v>2102.5840000000003</v>
      </c>
      <c r="N524" s="107">
        <f t="shared" si="246"/>
        <v>386.68299999999999</v>
      </c>
      <c r="O524" s="107">
        <f t="shared" si="247"/>
        <v>541.16700000000003</v>
      </c>
      <c r="P524" s="107">
        <f t="shared" si="248"/>
        <v>763.38900000000012</v>
      </c>
      <c r="R524" s="107">
        <f t="shared" si="249"/>
        <v>146.036</v>
      </c>
      <c r="S524" s="107">
        <f t="shared" si="250"/>
        <v>170.04900000000001</v>
      </c>
      <c r="T524" s="107">
        <f t="shared" si="251"/>
        <v>206.95400000000001</v>
      </c>
      <c r="V524" s="107">
        <f t="shared" si="252"/>
        <v>975.38100000000009</v>
      </c>
      <c r="W524" s="107">
        <f t="shared" si="253"/>
        <v>1551.1870000000001</v>
      </c>
      <c r="X524" s="107">
        <f t="shared" si="254"/>
        <v>2102.5840000000003</v>
      </c>
      <c r="Z524" s="107">
        <f t="shared" si="255"/>
        <v>355.86100000000005</v>
      </c>
      <c r="AA524" s="107">
        <f t="shared" si="256"/>
        <v>488.30100000000004</v>
      </c>
      <c r="AB524" s="107">
        <f t="shared" si="257"/>
        <v>596.51900000000001</v>
      </c>
      <c r="AD524" s="107">
        <f t="shared" si="258"/>
        <v>366.3</v>
      </c>
      <c r="AE524" s="107">
        <f t="shared" si="259"/>
        <v>555.5</v>
      </c>
      <c r="AF524" s="107">
        <f t="shared" si="260"/>
        <v>674.30000000000007</v>
      </c>
      <c r="AH524" s="107">
        <v>351.53</v>
      </c>
      <c r="AI524" s="107">
        <v>491.97</v>
      </c>
      <c r="AJ524" s="107">
        <v>693.99</v>
      </c>
      <c r="AK524" s="107">
        <v>132.76</v>
      </c>
      <c r="AL524" s="107">
        <v>154.59</v>
      </c>
      <c r="AM524" s="107">
        <v>188.14</v>
      </c>
      <c r="AN524" s="107">
        <v>886.71</v>
      </c>
      <c r="AO524" s="107">
        <v>1410.17</v>
      </c>
      <c r="AP524" s="107">
        <v>1911.44</v>
      </c>
      <c r="AQ524" s="107">
        <v>323.51</v>
      </c>
      <c r="AR524" s="107">
        <v>443.91</v>
      </c>
      <c r="AS524" s="107">
        <v>542.29</v>
      </c>
      <c r="AT524" s="107">
        <v>333</v>
      </c>
      <c r="AU524" s="107">
        <v>505</v>
      </c>
      <c r="AV524" s="107">
        <v>613</v>
      </c>
    </row>
    <row r="525" spans="1:48" ht="30" customHeight="1" outlineLevel="2">
      <c r="A525" s="116" t="s">
        <v>1263</v>
      </c>
      <c r="B525" s="117" t="s">
        <v>1264</v>
      </c>
      <c r="C525" s="134" t="s">
        <v>242</v>
      </c>
      <c r="E525" s="105">
        <f>MIN(N525,R525,V525,Z525,AD525)</f>
        <v>388.52000000000004</v>
      </c>
      <c r="F525" s="105">
        <f>AVERAGE(N525,R525,V525,Z525,AD525)</f>
        <v>607.8116</v>
      </c>
      <c r="G525" s="105">
        <f>MAX(N525,R525,V525,Z525,AD525)</f>
        <v>735.66899999999998</v>
      </c>
      <c r="H525" s="106"/>
      <c r="I525" s="105">
        <f>MIN(T525,X525,AB525,AF525,P525)</f>
        <v>570.67999999999995</v>
      </c>
      <c r="J525" s="105">
        <f>AVERAGE(P525,T525,X525,AB525,AF525)</f>
        <v>1121.098</v>
      </c>
      <c r="K525" s="105">
        <f>MAX(P525,T525,X525,AB525,AF525)</f>
        <v>1578.3130000000001</v>
      </c>
      <c r="N525" s="107">
        <f t="shared" si="246"/>
        <v>551.96900000000005</v>
      </c>
      <c r="O525" s="107">
        <f t="shared" si="247"/>
        <v>772.18900000000008</v>
      </c>
      <c r="P525" s="107">
        <f t="shared" si="248"/>
        <v>1086.8220000000001</v>
      </c>
      <c r="R525" s="107">
        <f t="shared" si="249"/>
        <v>388.52000000000004</v>
      </c>
      <c r="S525" s="107">
        <f t="shared" si="250"/>
        <v>485.27600000000007</v>
      </c>
      <c r="T525" s="107">
        <f t="shared" si="251"/>
        <v>570.67999999999995</v>
      </c>
      <c r="V525" s="107">
        <f t="shared" si="252"/>
        <v>735.66899999999998</v>
      </c>
      <c r="W525" s="107">
        <f t="shared" si="253"/>
        <v>1162.8540000000003</v>
      </c>
      <c r="X525" s="107">
        <f t="shared" si="254"/>
        <v>1578.3130000000001</v>
      </c>
      <c r="Z525" s="107">
        <f t="shared" si="255"/>
        <v>720.50000000000011</v>
      </c>
      <c r="AA525" s="107">
        <f t="shared" si="256"/>
        <v>998.80000000000007</v>
      </c>
      <c r="AB525" s="107">
        <f t="shared" si="257"/>
        <v>1198.1750000000002</v>
      </c>
      <c r="AD525" s="107">
        <f t="shared" si="258"/>
        <v>642.40000000000009</v>
      </c>
      <c r="AE525" s="107">
        <f t="shared" si="259"/>
        <v>969.1</v>
      </c>
      <c r="AF525" s="107">
        <f t="shared" si="260"/>
        <v>1171.5</v>
      </c>
      <c r="AH525" s="107">
        <v>501.79</v>
      </c>
      <c r="AI525" s="107">
        <v>701.99</v>
      </c>
      <c r="AJ525" s="107">
        <v>988.02</v>
      </c>
      <c r="AK525" s="107">
        <v>353.2</v>
      </c>
      <c r="AL525" s="107">
        <v>441.16</v>
      </c>
      <c r="AM525" s="107">
        <v>518.79999999999995</v>
      </c>
      <c r="AN525" s="107">
        <v>668.79</v>
      </c>
      <c r="AO525" s="107">
        <v>1057.1400000000001</v>
      </c>
      <c r="AP525" s="107">
        <v>1434.83</v>
      </c>
      <c r="AQ525" s="107">
        <v>655</v>
      </c>
      <c r="AR525" s="107">
        <v>908</v>
      </c>
      <c r="AS525" s="107">
        <v>1089.25</v>
      </c>
      <c r="AT525" s="107">
        <v>584</v>
      </c>
      <c r="AU525" s="107">
        <v>881</v>
      </c>
      <c r="AV525" s="107">
        <v>1065</v>
      </c>
    </row>
    <row r="526" spans="1:48" ht="30" customHeight="1" outlineLevel="1">
      <c r="A526" s="132" t="s">
        <v>1265</v>
      </c>
      <c r="B526" s="133" t="s">
        <v>1266</v>
      </c>
      <c r="C526" s="101"/>
      <c r="N526" s="11" t="str">
        <f t="shared" si="246"/>
        <v/>
      </c>
      <c r="O526" s="11" t="str">
        <f t="shared" si="247"/>
        <v/>
      </c>
      <c r="P526" s="11" t="str">
        <f t="shared" si="248"/>
        <v/>
      </c>
      <c r="R526" s="11" t="str">
        <f t="shared" si="249"/>
        <v/>
      </c>
      <c r="S526" s="11" t="str">
        <f t="shared" si="250"/>
        <v/>
      </c>
      <c r="T526" s="11" t="str">
        <f t="shared" si="251"/>
        <v/>
      </c>
      <c r="V526" s="11" t="str">
        <f t="shared" si="252"/>
        <v/>
      </c>
      <c r="W526" s="11" t="str">
        <f t="shared" si="253"/>
        <v/>
      </c>
      <c r="X526" s="11" t="str">
        <f t="shared" si="254"/>
        <v/>
      </c>
      <c r="Z526" s="11" t="str">
        <f t="shared" si="255"/>
        <v/>
      </c>
      <c r="AA526" s="11" t="str">
        <f t="shared" si="256"/>
        <v/>
      </c>
      <c r="AB526" s="11" t="str">
        <f t="shared" si="257"/>
        <v/>
      </c>
      <c r="AD526" s="11" t="str">
        <f t="shared" si="258"/>
        <v/>
      </c>
      <c r="AE526" s="11" t="str">
        <f t="shared" si="259"/>
        <v/>
      </c>
      <c r="AF526" s="11" t="str">
        <f t="shared" si="260"/>
        <v/>
      </c>
    </row>
    <row r="527" spans="1:48" ht="30" customHeight="1" outlineLevel="2">
      <c r="A527" s="116" t="s">
        <v>1267</v>
      </c>
      <c r="B527" s="117" t="s">
        <v>1268</v>
      </c>
      <c r="C527" s="134" t="s">
        <v>242</v>
      </c>
      <c r="E527" s="105">
        <f>MIN(N527,R527,V527,Z527,AD527)</f>
        <v>702.52600000000007</v>
      </c>
      <c r="F527" s="105">
        <f>AVERAGE(N527,R527,V527,Z527,AD527)</f>
        <v>927.73119999999994</v>
      </c>
      <c r="G527" s="105">
        <f>MAX(N527,R527,V527,Z527,AD527)</f>
        <v>1134.6170000000002</v>
      </c>
      <c r="H527" s="106"/>
      <c r="I527" s="105">
        <f>MIN(T527,X527,AB527,AF527,P527)</f>
        <v>1079.2320000000002</v>
      </c>
      <c r="J527" s="105">
        <f>AVERAGE(P527,T527,X527,AB527,AF527)</f>
        <v>1544.2811999999999</v>
      </c>
      <c r="K527" s="105">
        <f>MAX(P527,T527,X527,AB527,AF527)</f>
        <v>2408.2850000000003</v>
      </c>
      <c r="N527" s="107">
        <f t="shared" si="246"/>
        <v>702.52600000000007</v>
      </c>
      <c r="O527" s="107">
        <f t="shared" si="247"/>
        <v>857.0100000000001</v>
      </c>
      <c r="P527" s="107">
        <f t="shared" si="248"/>
        <v>1079.2320000000002</v>
      </c>
      <c r="R527" s="107">
        <f t="shared" si="249"/>
        <v>947.14400000000001</v>
      </c>
      <c r="S527" s="107">
        <f t="shared" si="250"/>
        <v>1092.6850000000002</v>
      </c>
      <c r="T527" s="107">
        <f t="shared" si="251"/>
        <v>1210.616</v>
      </c>
      <c r="V527" s="107">
        <f t="shared" si="252"/>
        <v>1115.1690000000001</v>
      </c>
      <c r="W527" s="107">
        <f t="shared" si="253"/>
        <v>1777.644</v>
      </c>
      <c r="X527" s="107">
        <f t="shared" si="254"/>
        <v>2408.2850000000003</v>
      </c>
      <c r="Z527" s="107">
        <f t="shared" si="255"/>
        <v>1134.6170000000002</v>
      </c>
      <c r="AA527" s="107">
        <f t="shared" si="256"/>
        <v>1578.566</v>
      </c>
      <c r="AB527" s="107">
        <f t="shared" si="257"/>
        <v>1881.4730000000002</v>
      </c>
      <c r="AD527" s="107">
        <f t="shared" si="258"/>
        <v>739.2</v>
      </c>
      <c r="AE527" s="107">
        <f t="shared" si="259"/>
        <v>986.7</v>
      </c>
      <c r="AF527" s="107">
        <f t="shared" si="260"/>
        <v>1141.8000000000002</v>
      </c>
      <c r="AH527" s="107">
        <v>638.66</v>
      </c>
      <c r="AI527" s="107">
        <v>779.1</v>
      </c>
      <c r="AJ527" s="107">
        <v>981.12</v>
      </c>
      <c r="AK527" s="107">
        <v>861.04</v>
      </c>
      <c r="AL527" s="107">
        <v>993.35</v>
      </c>
      <c r="AM527" s="107">
        <v>1100.56</v>
      </c>
      <c r="AN527" s="107">
        <v>1013.79</v>
      </c>
      <c r="AO527" s="107">
        <v>1616.04</v>
      </c>
      <c r="AP527" s="107">
        <v>2189.35</v>
      </c>
      <c r="AQ527" s="107">
        <v>1031.47</v>
      </c>
      <c r="AR527" s="107">
        <v>1435.06</v>
      </c>
      <c r="AS527" s="107">
        <v>1710.43</v>
      </c>
      <c r="AT527" s="107">
        <v>672</v>
      </c>
      <c r="AU527" s="107">
        <v>897</v>
      </c>
      <c r="AV527" s="107">
        <v>1038</v>
      </c>
    </row>
    <row r="528" spans="1:48" ht="30" customHeight="1" outlineLevel="2">
      <c r="A528" s="116" t="s">
        <v>1269</v>
      </c>
      <c r="B528" s="117" t="s">
        <v>1270</v>
      </c>
      <c r="C528" s="134" t="s">
        <v>242</v>
      </c>
      <c r="E528" s="105">
        <f>MIN(N528,R528,V528,Z528,AD528)</f>
        <v>178.20000000000002</v>
      </c>
      <c r="F528" s="105">
        <f>AVERAGE(N528,R528,V528,Z528,AD528)</f>
        <v>501.29200000000003</v>
      </c>
      <c r="G528" s="105">
        <f>MAX(N528,R528,V528,Z528,AD528)</f>
        <v>1020.921</v>
      </c>
      <c r="H528" s="106"/>
      <c r="I528" s="105">
        <f>MIN(T528,X528,AB528,AF528,P528)</f>
        <v>303.38000000000005</v>
      </c>
      <c r="J528" s="105">
        <f>AVERAGE(P528,T528,X528,AB528,AF528)</f>
        <v>927.66300000000012</v>
      </c>
      <c r="K528" s="105">
        <f>MAX(P528,T528,X528,AB528,AF528)</f>
        <v>2202.1780000000003</v>
      </c>
      <c r="N528" s="107">
        <f t="shared" si="246"/>
        <v>512.56700000000012</v>
      </c>
      <c r="O528" s="107">
        <f t="shared" si="247"/>
        <v>623.22700000000009</v>
      </c>
      <c r="P528" s="107">
        <f t="shared" si="248"/>
        <v>783.84900000000005</v>
      </c>
      <c r="R528" s="107">
        <f t="shared" si="249"/>
        <v>281.07200000000006</v>
      </c>
      <c r="S528" s="107">
        <f t="shared" si="250"/>
        <v>345.59800000000001</v>
      </c>
      <c r="T528" s="107">
        <f t="shared" si="251"/>
        <v>409.50799999999998</v>
      </c>
      <c r="V528" s="107">
        <f t="shared" si="252"/>
        <v>1020.921</v>
      </c>
      <c r="W528" s="107">
        <f t="shared" si="253"/>
        <v>1624.9640000000002</v>
      </c>
      <c r="X528" s="107">
        <f t="shared" si="254"/>
        <v>2202.1780000000003</v>
      </c>
      <c r="Z528" s="107">
        <f t="shared" si="255"/>
        <v>178.20000000000002</v>
      </c>
      <c r="AA528" s="107">
        <f t="shared" si="256"/>
        <v>239.58000000000004</v>
      </c>
      <c r="AB528" s="107">
        <f t="shared" si="257"/>
        <v>303.38000000000005</v>
      </c>
      <c r="AD528" s="107">
        <f t="shared" si="258"/>
        <v>513.70000000000005</v>
      </c>
      <c r="AE528" s="107">
        <f t="shared" si="259"/>
        <v>776.6</v>
      </c>
      <c r="AF528" s="107">
        <f t="shared" si="260"/>
        <v>939.40000000000009</v>
      </c>
      <c r="AH528" s="107">
        <v>465.97</v>
      </c>
      <c r="AI528" s="107">
        <v>566.57000000000005</v>
      </c>
      <c r="AJ528" s="107">
        <v>712.59</v>
      </c>
      <c r="AK528" s="107">
        <v>255.52</v>
      </c>
      <c r="AL528" s="107">
        <v>314.18</v>
      </c>
      <c r="AM528" s="107">
        <v>372.28</v>
      </c>
      <c r="AN528" s="107">
        <v>928.11</v>
      </c>
      <c r="AO528" s="107">
        <v>1477.24</v>
      </c>
      <c r="AP528" s="107">
        <v>2001.98</v>
      </c>
      <c r="AQ528" s="107">
        <v>162</v>
      </c>
      <c r="AR528" s="107">
        <v>217.8</v>
      </c>
      <c r="AS528" s="107">
        <v>275.8</v>
      </c>
      <c r="AT528" s="107">
        <v>467</v>
      </c>
      <c r="AU528" s="107">
        <v>706</v>
      </c>
      <c r="AV528" s="107">
        <v>854</v>
      </c>
    </row>
    <row r="529" spans="1:48" ht="30" customHeight="1" outlineLevel="2">
      <c r="A529" s="116" t="s">
        <v>1271</v>
      </c>
      <c r="B529" s="117" t="s">
        <v>1272</v>
      </c>
      <c r="C529" s="134" t="s">
        <v>242</v>
      </c>
      <c r="E529" s="105">
        <f>MIN(N529,R529,V529,Z529,AD529)</f>
        <v>281.07200000000006</v>
      </c>
      <c r="F529" s="105">
        <f>AVERAGE(N529,R529,V529,Z529,AD529)</f>
        <v>529.62360000000012</v>
      </c>
      <c r="G529" s="105">
        <f>MAX(N529,R529,V529,Z529,AD529)</f>
        <v>818.48800000000006</v>
      </c>
      <c r="H529" s="106"/>
      <c r="I529" s="105">
        <f>MIN(T529,X529,AB529,AF529,P529)</f>
        <v>409.50799999999998</v>
      </c>
      <c r="J529" s="105">
        <f>AVERAGE(P529,T529,X529,AB529,AF529)</f>
        <v>977.79880000000014</v>
      </c>
      <c r="K529" s="105">
        <f>MAX(P529,T529,X529,AB529,AF529)</f>
        <v>1578.3130000000001</v>
      </c>
      <c r="N529" s="107">
        <f t="shared" si="246"/>
        <v>818.48800000000006</v>
      </c>
      <c r="O529" s="107">
        <f t="shared" si="247"/>
        <v>1082.5210000000002</v>
      </c>
      <c r="P529" s="107">
        <f t="shared" si="248"/>
        <v>1458.7650000000003</v>
      </c>
      <c r="R529" s="107">
        <f t="shared" si="249"/>
        <v>281.07200000000006</v>
      </c>
      <c r="S529" s="107">
        <f t="shared" si="250"/>
        <v>345.59800000000001</v>
      </c>
      <c r="T529" s="107">
        <f t="shared" si="251"/>
        <v>409.50799999999998</v>
      </c>
      <c r="V529" s="107">
        <f t="shared" si="252"/>
        <v>735.66899999999998</v>
      </c>
      <c r="W529" s="107">
        <f t="shared" si="253"/>
        <v>1162.8540000000003</v>
      </c>
      <c r="X529" s="107">
        <f t="shared" si="254"/>
        <v>1578.3130000000001</v>
      </c>
      <c r="Z529" s="107">
        <f t="shared" si="255"/>
        <v>299.18900000000002</v>
      </c>
      <c r="AA529" s="107">
        <f t="shared" si="256"/>
        <v>408.96900000000005</v>
      </c>
      <c r="AB529" s="107">
        <f t="shared" si="257"/>
        <v>503.00800000000004</v>
      </c>
      <c r="AD529" s="107">
        <f t="shared" si="258"/>
        <v>513.70000000000005</v>
      </c>
      <c r="AE529" s="107">
        <f t="shared" si="259"/>
        <v>776.6</v>
      </c>
      <c r="AF529" s="107">
        <f t="shared" si="260"/>
        <v>939.40000000000009</v>
      </c>
      <c r="AH529" s="107">
        <v>744.08</v>
      </c>
      <c r="AI529" s="107">
        <v>984.11</v>
      </c>
      <c r="AJ529" s="107">
        <v>1326.15</v>
      </c>
      <c r="AK529" s="107">
        <v>255.52</v>
      </c>
      <c r="AL529" s="107">
        <v>314.18</v>
      </c>
      <c r="AM529" s="107">
        <v>372.28</v>
      </c>
      <c r="AN529" s="107">
        <v>668.79</v>
      </c>
      <c r="AO529" s="107">
        <v>1057.1400000000001</v>
      </c>
      <c r="AP529" s="107">
        <v>1434.83</v>
      </c>
      <c r="AQ529" s="107">
        <v>271.99</v>
      </c>
      <c r="AR529" s="107">
        <v>371.79</v>
      </c>
      <c r="AS529" s="107">
        <v>457.28</v>
      </c>
      <c r="AT529" s="107">
        <v>467</v>
      </c>
      <c r="AU529" s="107">
        <v>706</v>
      </c>
      <c r="AV529" s="107">
        <v>854</v>
      </c>
    </row>
    <row r="530" spans="1:48" ht="30" customHeight="1" outlineLevel="1">
      <c r="A530" s="132" t="s">
        <v>1273</v>
      </c>
      <c r="B530" s="133" t="s">
        <v>1274</v>
      </c>
      <c r="C530" s="101"/>
      <c r="N530" s="11" t="str">
        <f t="shared" si="246"/>
        <v/>
      </c>
      <c r="O530" s="11" t="str">
        <f t="shared" si="247"/>
        <v/>
      </c>
      <c r="P530" s="11" t="str">
        <f t="shared" si="248"/>
        <v/>
      </c>
      <c r="R530" s="11" t="str">
        <f t="shared" si="249"/>
        <v/>
      </c>
      <c r="S530" s="11" t="str">
        <f t="shared" si="250"/>
        <v/>
      </c>
      <c r="T530" s="11" t="str">
        <f t="shared" si="251"/>
        <v/>
      </c>
      <c r="V530" s="11" t="str">
        <f t="shared" si="252"/>
        <v/>
      </c>
      <c r="W530" s="11" t="str">
        <f t="shared" si="253"/>
        <v/>
      </c>
      <c r="X530" s="11" t="str">
        <f t="shared" si="254"/>
        <v/>
      </c>
      <c r="Z530" s="11" t="str">
        <f t="shared" si="255"/>
        <v/>
      </c>
      <c r="AA530" s="11" t="str">
        <f t="shared" si="256"/>
        <v/>
      </c>
      <c r="AB530" s="11" t="str">
        <f t="shared" si="257"/>
        <v/>
      </c>
      <c r="AD530" s="11" t="str">
        <f t="shared" si="258"/>
        <v/>
      </c>
      <c r="AE530" s="11" t="str">
        <f t="shared" si="259"/>
        <v/>
      </c>
      <c r="AF530" s="11" t="str">
        <f t="shared" si="260"/>
        <v/>
      </c>
    </row>
    <row r="531" spans="1:48" ht="30" customHeight="1" outlineLevel="2">
      <c r="A531" s="116" t="s">
        <v>1275</v>
      </c>
      <c r="B531" s="117" t="s">
        <v>1276</v>
      </c>
      <c r="C531" s="134" t="s">
        <v>242</v>
      </c>
      <c r="E531" s="105">
        <f t="shared" ref="E531:E538" si="261">MIN(N531,R531,V531,Z531,AD531)</f>
        <v>606.49600000000009</v>
      </c>
      <c r="F531" s="105">
        <f t="shared" ref="F531:F538" si="262">AVERAGE(N531,R531,V531,Z531,AD531)</f>
        <v>1012.4906000000001</v>
      </c>
      <c r="G531" s="105">
        <f t="shared" ref="G531:G538" si="263">MAX(N531,R531,V531,Z531,AD531)</f>
        <v>1406.7460000000001</v>
      </c>
      <c r="H531" s="106"/>
      <c r="I531" s="105">
        <f t="shared" ref="I531:I538" si="264">MIN(T531,X531,AB531,AF531,P531)</f>
        <v>1120.251</v>
      </c>
      <c r="J531" s="105">
        <f t="shared" ref="J531:J538" si="265">AVERAGE(P531,T531,X531,AB531,AF531)</f>
        <v>1733.9058000000005</v>
      </c>
      <c r="K531" s="105">
        <f t="shared" ref="K531:K538" si="266">MAX(P531,T531,X531,AB531,AF531)</f>
        <v>3045.9770000000003</v>
      </c>
      <c r="N531" s="107">
        <f t="shared" si="246"/>
        <v>606.49600000000009</v>
      </c>
      <c r="O531" s="107">
        <f t="shared" si="247"/>
        <v>817.9380000000001</v>
      </c>
      <c r="P531" s="107">
        <f t="shared" si="248"/>
        <v>1120.251</v>
      </c>
      <c r="R531" s="107">
        <f t="shared" si="249"/>
        <v>965.09600000000012</v>
      </c>
      <c r="S531" s="107">
        <f t="shared" si="250"/>
        <v>1056.6270000000002</v>
      </c>
      <c r="T531" s="107">
        <f t="shared" si="251"/>
        <v>1138.5440000000001</v>
      </c>
      <c r="V531" s="107">
        <f t="shared" si="252"/>
        <v>1406.7460000000001</v>
      </c>
      <c r="W531" s="107">
        <f t="shared" si="253"/>
        <v>2250.0060000000003</v>
      </c>
      <c r="X531" s="107">
        <f t="shared" si="254"/>
        <v>3045.9770000000003</v>
      </c>
      <c r="Z531" s="107">
        <f t="shared" si="255"/>
        <v>1344.9150000000002</v>
      </c>
      <c r="AA531" s="107">
        <f t="shared" si="256"/>
        <v>1872.9810000000002</v>
      </c>
      <c r="AB531" s="107">
        <f t="shared" si="257"/>
        <v>2228.4569999999999</v>
      </c>
      <c r="AD531" s="107">
        <f t="shared" si="258"/>
        <v>739.2</v>
      </c>
      <c r="AE531" s="107">
        <f t="shared" si="259"/>
        <v>983.40000000000009</v>
      </c>
      <c r="AF531" s="107">
        <f t="shared" si="260"/>
        <v>1136.3000000000002</v>
      </c>
      <c r="AH531" s="107">
        <v>551.36</v>
      </c>
      <c r="AI531" s="107">
        <v>743.58</v>
      </c>
      <c r="AJ531" s="107">
        <v>1018.41</v>
      </c>
      <c r="AK531" s="107">
        <v>877.36</v>
      </c>
      <c r="AL531" s="107">
        <v>960.57</v>
      </c>
      <c r="AM531" s="107">
        <v>1035.04</v>
      </c>
      <c r="AN531" s="107">
        <v>1278.8599999999999</v>
      </c>
      <c r="AO531" s="107">
        <v>2045.46</v>
      </c>
      <c r="AP531" s="107">
        <v>2769.07</v>
      </c>
      <c r="AQ531" s="107">
        <v>1222.6500000000001</v>
      </c>
      <c r="AR531" s="107">
        <v>1702.71</v>
      </c>
      <c r="AS531" s="107">
        <v>2025.87</v>
      </c>
      <c r="AT531" s="107">
        <v>672</v>
      </c>
      <c r="AU531" s="107">
        <v>894</v>
      </c>
      <c r="AV531" s="107">
        <v>1033</v>
      </c>
    </row>
    <row r="532" spans="1:48" ht="30" customHeight="1" outlineLevel="2">
      <c r="A532" s="116" t="s">
        <v>1277</v>
      </c>
      <c r="B532" s="117" t="s">
        <v>1278</v>
      </c>
      <c r="C532" s="134" t="s">
        <v>242</v>
      </c>
      <c r="E532" s="105">
        <f t="shared" si="261"/>
        <v>132.74800000000002</v>
      </c>
      <c r="F532" s="105">
        <f t="shared" si="262"/>
        <v>317.32800000000003</v>
      </c>
      <c r="G532" s="105">
        <f t="shared" si="263"/>
        <v>702.52600000000007</v>
      </c>
      <c r="H532" s="106"/>
      <c r="I532" s="105">
        <f t="shared" si="264"/>
        <v>126.14800000000002</v>
      </c>
      <c r="J532" s="105">
        <f t="shared" si="265"/>
        <v>518.86120000000005</v>
      </c>
      <c r="K532" s="105">
        <f t="shared" si="266"/>
        <v>1079.2320000000002</v>
      </c>
      <c r="N532" s="107">
        <f t="shared" si="246"/>
        <v>702.52600000000007</v>
      </c>
      <c r="O532" s="107">
        <f t="shared" si="247"/>
        <v>857.0100000000001</v>
      </c>
      <c r="P532" s="107">
        <f t="shared" si="248"/>
        <v>1079.2320000000002</v>
      </c>
      <c r="R532" s="107">
        <f t="shared" si="249"/>
        <v>132.74800000000002</v>
      </c>
      <c r="S532" s="107">
        <f t="shared" si="250"/>
        <v>116.24800000000002</v>
      </c>
      <c r="T532" s="107">
        <f t="shared" si="251"/>
        <v>126.14800000000002</v>
      </c>
      <c r="V532" s="107">
        <f t="shared" si="252"/>
        <v>228.63500000000002</v>
      </c>
      <c r="W532" s="107">
        <f t="shared" si="253"/>
        <v>341.46200000000005</v>
      </c>
      <c r="X532" s="107">
        <f t="shared" si="254"/>
        <v>469.43600000000004</v>
      </c>
      <c r="Z532" s="107">
        <f t="shared" si="255"/>
        <v>150.93099999999998</v>
      </c>
      <c r="AA532" s="107">
        <f t="shared" si="256"/>
        <v>201.41</v>
      </c>
      <c r="AB532" s="107">
        <f t="shared" si="257"/>
        <v>258.39000000000004</v>
      </c>
      <c r="AD532" s="107">
        <f t="shared" si="258"/>
        <v>371.8</v>
      </c>
      <c r="AE532" s="107">
        <f t="shared" si="259"/>
        <v>548.90000000000009</v>
      </c>
      <c r="AF532" s="107">
        <f t="shared" si="260"/>
        <v>661.1</v>
      </c>
      <c r="AH532" s="107">
        <v>638.66</v>
      </c>
      <c r="AI532" s="107">
        <v>779.1</v>
      </c>
      <c r="AJ532" s="107">
        <v>981.12</v>
      </c>
      <c r="AK532" s="107">
        <v>120.68</v>
      </c>
      <c r="AL532" s="107">
        <v>105.68</v>
      </c>
      <c r="AM532" s="107">
        <v>114.68</v>
      </c>
      <c r="AN532" s="107">
        <v>207.85</v>
      </c>
      <c r="AO532" s="107">
        <v>310.42</v>
      </c>
      <c r="AP532" s="107">
        <v>426.76</v>
      </c>
      <c r="AQ532" s="107">
        <v>137.20999999999998</v>
      </c>
      <c r="AR532" s="107">
        <v>183.1</v>
      </c>
      <c r="AS532" s="107">
        <v>234.9</v>
      </c>
      <c r="AT532" s="107">
        <v>338</v>
      </c>
      <c r="AU532" s="107">
        <v>499</v>
      </c>
      <c r="AV532" s="107">
        <v>601</v>
      </c>
    </row>
    <row r="533" spans="1:48" ht="30" customHeight="1" outlineLevel="2">
      <c r="A533" s="116" t="s">
        <v>1279</v>
      </c>
      <c r="B533" s="117" t="s">
        <v>1280</v>
      </c>
      <c r="C533" s="134" t="s">
        <v>242</v>
      </c>
      <c r="E533" s="105">
        <f t="shared" si="261"/>
        <v>622.1930000000001</v>
      </c>
      <c r="F533" s="105">
        <f t="shared" si="262"/>
        <v>908.86620000000005</v>
      </c>
      <c r="G533" s="105">
        <f t="shared" si="263"/>
        <v>1196.9100000000001</v>
      </c>
      <c r="H533" s="106"/>
      <c r="I533" s="105">
        <f t="shared" si="264"/>
        <v>1226.5</v>
      </c>
      <c r="J533" s="105">
        <f t="shared" si="265"/>
        <v>1580.7396000000001</v>
      </c>
      <c r="K533" s="105">
        <f t="shared" si="266"/>
        <v>2153.4810000000002</v>
      </c>
      <c r="N533" s="107">
        <f t="shared" si="246"/>
        <v>1196.9100000000001</v>
      </c>
      <c r="O533" s="107">
        <f t="shared" si="247"/>
        <v>1592.4150000000002</v>
      </c>
      <c r="P533" s="107">
        <f t="shared" si="248"/>
        <v>2153.4810000000002</v>
      </c>
      <c r="R533" s="107">
        <f t="shared" si="249"/>
        <v>988.32800000000009</v>
      </c>
      <c r="S533" s="107">
        <f t="shared" si="250"/>
        <v>1239.7660000000001</v>
      </c>
      <c r="T533" s="107">
        <f t="shared" si="251"/>
        <v>1429.1200000000001</v>
      </c>
      <c r="V533" s="107">
        <f t="shared" si="252"/>
        <v>622.1930000000001</v>
      </c>
      <c r="W533" s="107">
        <f t="shared" si="253"/>
        <v>979.01100000000008</v>
      </c>
      <c r="X533" s="107">
        <f t="shared" si="254"/>
        <v>1330.1420000000001</v>
      </c>
      <c r="Z533" s="107">
        <f t="shared" si="255"/>
        <v>1063.7</v>
      </c>
      <c r="AA533" s="107">
        <f t="shared" si="256"/>
        <v>1479.28</v>
      </c>
      <c r="AB533" s="107">
        <f t="shared" si="257"/>
        <v>1764.4550000000002</v>
      </c>
      <c r="AD533" s="107">
        <f t="shared" si="258"/>
        <v>673.2</v>
      </c>
      <c r="AE533" s="107">
        <f t="shared" si="259"/>
        <v>1015.3000000000001</v>
      </c>
      <c r="AF533" s="107">
        <f t="shared" si="260"/>
        <v>1226.5</v>
      </c>
      <c r="AH533" s="107">
        <v>1088.0999999999999</v>
      </c>
      <c r="AI533" s="107">
        <v>1447.65</v>
      </c>
      <c r="AJ533" s="107">
        <v>1957.71</v>
      </c>
      <c r="AK533" s="107">
        <v>898.48</v>
      </c>
      <c r="AL533" s="107">
        <v>1127.06</v>
      </c>
      <c r="AM533" s="107">
        <v>1299.2</v>
      </c>
      <c r="AN533" s="107">
        <v>565.63</v>
      </c>
      <c r="AO533" s="107">
        <v>890.01</v>
      </c>
      <c r="AP533" s="107">
        <v>1209.22</v>
      </c>
      <c r="AQ533" s="107">
        <v>967</v>
      </c>
      <c r="AR533" s="107">
        <v>1344.8</v>
      </c>
      <c r="AS533" s="107">
        <v>1604.05</v>
      </c>
      <c r="AT533" s="107">
        <v>612</v>
      </c>
      <c r="AU533" s="107">
        <v>923</v>
      </c>
      <c r="AV533" s="107">
        <v>1115</v>
      </c>
    </row>
    <row r="534" spans="1:48" ht="30" customHeight="1" outlineLevel="2">
      <c r="A534" s="116" t="s">
        <v>1281</v>
      </c>
      <c r="B534" s="117" t="s">
        <v>1282</v>
      </c>
      <c r="C534" s="134" t="s">
        <v>242</v>
      </c>
      <c r="E534" s="105">
        <f t="shared" si="261"/>
        <v>241.83500000000001</v>
      </c>
      <c r="F534" s="105">
        <f t="shared" si="262"/>
        <v>474.76000000000005</v>
      </c>
      <c r="G534" s="105">
        <f t="shared" si="263"/>
        <v>686.78500000000008</v>
      </c>
      <c r="H534" s="106"/>
      <c r="I534" s="105">
        <f t="shared" si="264"/>
        <v>498.31100000000004</v>
      </c>
      <c r="J534" s="105">
        <f t="shared" si="265"/>
        <v>823.11900000000003</v>
      </c>
      <c r="K534" s="105">
        <f t="shared" si="266"/>
        <v>1142.5370000000003</v>
      </c>
      <c r="N534" s="107">
        <f t="shared" si="246"/>
        <v>606.49600000000009</v>
      </c>
      <c r="O534" s="107">
        <f t="shared" si="247"/>
        <v>817.9380000000001</v>
      </c>
      <c r="P534" s="107">
        <f t="shared" si="248"/>
        <v>1120.251</v>
      </c>
      <c r="R534" s="107">
        <f t="shared" si="249"/>
        <v>431.68400000000003</v>
      </c>
      <c r="S534" s="107">
        <f t="shared" si="250"/>
        <v>523.8420000000001</v>
      </c>
      <c r="T534" s="107">
        <f t="shared" si="251"/>
        <v>606.49600000000009</v>
      </c>
      <c r="V534" s="107">
        <f t="shared" si="252"/>
        <v>241.83500000000001</v>
      </c>
      <c r="W534" s="107">
        <f t="shared" si="253"/>
        <v>362.84600000000006</v>
      </c>
      <c r="X534" s="107">
        <f t="shared" si="254"/>
        <v>498.31100000000004</v>
      </c>
      <c r="Z534" s="107">
        <f t="shared" si="255"/>
        <v>686.78500000000008</v>
      </c>
      <c r="AA534" s="107">
        <f t="shared" si="256"/>
        <v>951.58800000000008</v>
      </c>
      <c r="AB534" s="107">
        <f t="shared" si="257"/>
        <v>1142.5370000000003</v>
      </c>
      <c r="AD534" s="107">
        <f t="shared" si="258"/>
        <v>407.00000000000006</v>
      </c>
      <c r="AE534" s="107">
        <f t="shared" si="259"/>
        <v>616</v>
      </c>
      <c r="AF534" s="107">
        <f t="shared" si="260"/>
        <v>748.00000000000011</v>
      </c>
      <c r="AH534" s="107">
        <v>551.36</v>
      </c>
      <c r="AI534" s="107">
        <v>743.58</v>
      </c>
      <c r="AJ534" s="107">
        <v>1018.41</v>
      </c>
      <c r="AK534" s="107">
        <v>392.44</v>
      </c>
      <c r="AL534" s="107">
        <v>476.22</v>
      </c>
      <c r="AM534" s="107">
        <v>551.36</v>
      </c>
      <c r="AN534" s="107">
        <v>219.85</v>
      </c>
      <c r="AO534" s="107">
        <v>329.86</v>
      </c>
      <c r="AP534" s="107">
        <v>453.01</v>
      </c>
      <c r="AQ534" s="107">
        <v>624.35</v>
      </c>
      <c r="AR534" s="107">
        <v>865.08</v>
      </c>
      <c r="AS534" s="107">
        <v>1038.67</v>
      </c>
      <c r="AT534" s="107">
        <v>370</v>
      </c>
      <c r="AU534" s="107">
        <v>560</v>
      </c>
      <c r="AV534" s="107">
        <v>680</v>
      </c>
    </row>
    <row r="535" spans="1:48" ht="30" customHeight="1" outlineLevel="2">
      <c r="A535" s="116" t="s">
        <v>1283</v>
      </c>
      <c r="B535" s="117" t="s">
        <v>1284</v>
      </c>
      <c r="C535" s="134" t="s">
        <v>242</v>
      </c>
      <c r="E535" s="105">
        <f t="shared" si="261"/>
        <v>241.83500000000001</v>
      </c>
      <c r="F535" s="105">
        <f t="shared" si="262"/>
        <v>643.98840000000007</v>
      </c>
      <c r="G535" s="105">
        <f t="shared" si="263"/>
        <v>948.2</v>
      </c>
      <c r="H535" s="106"/>
      <c r="I535" s="105">
        <f t="shared" si="264"/>
        <v>498.31100000000004</v>
      </c>
      <c r="J535" s="105">
        <f t="shared" si="265"/>
        <v>1106.2303999999999</v>
      </c>
      <c r="K535" s="105">
        <f t="shared" si="266"/>
        <v>1573.88</v>
      </c>
      <c r="N535" s="107">
        <f t="shared" si="246"/>
        <v>716.68299999999999</v>
      </c>
      <c r="O535" s="107">
        <f t="shared" si="247"/>
        <v>971.96000000000015</v>
      </c>
      <c r="P535" s="107">
        <f t="shared" si="248"/>
        <v>1335.8730000000003</v>
      </c>
      <c r="R535" s="107">
        <f t="shared" si="249"/>
        <v>701.62400000000014</v>
      </c>
      <c r="S535" s="107">
        <f t="shared" si="250"/>
        <v>872.34400000000005</v>
      </c>
      <c r="T535" s="107">
        <f t="shared" si="251"/>
        <v>1007.6880000000001</v>
      </c>
      <c r="V535" s="107">
        <f t="shared" si="252"/>
        <v>241.83500000000001</v>
      </c>
      <c r="W535" s="107">
        <f t="shared" si="253"/>
        <v>362.84600000000006</v>
      </c>
      <c r="X535" s="107">
        <f t="shared" si="254"/>
        <v>498.31100000000004</v>
      </c>
      <c r="Z535" s="107">
        <f t="shared" si="255"/>
        <v>948.2</v>
      </c>
      <c r="AA535" s="107">
        <f t="shared" si="256"/>
        <v>1317.5800000000002</v>
      </c>
      <c r="AB535" s="107">
        <f t="shared" si="257"/>
        <v>1573.88</v>
      </c>
      <c r="AD535" s="107">
        <f t="shared" si="258"/>
        <v>611.6</v>
      </c>
      <c r="AE535" s="107">
        <f t="shared" si="259"/>
        <v>922.90000000000009</v>
      </c>
      <c r="AF535" s="107">
        <f t="shared" si="260"/>
        <v>1115.4000000000001</v>
      </c>
      <c r="AH535" s="107">
        <v>651.53</v>
      </c>
      <c r="AI535" s="107">
        <v>883.6</v>
      </c>
      <c r="AJ535" s="107">
        <v>1214.43</v>
      </c>
      <c r="AK535" s="107">
        <v>637.84</v>
      </c>
      <c r="AL535" s="107">
        <v>793.04</v>
      </c>
      <c r="AM535" s="107">
        <v>916.08</v>
      </c>
      <c r="AN535" s="107">
        <v>219.85</v>
      </c>
      <c r="AO535" s="107">
        <v>329.86</v>
      </c>
      <c r="AP535" s="107">
        <v>453.01</v>
      </c>
      <c r="AQ535" s="107">
        <v>862</v>
      </c>
      <c r="AR535" s="107">
        <v>1197.8</v>
      </c>
      <c r="AS535" s="107">
        <v>1430.8</v>
      </c>
      <c r="AT535" s="107">
        <v>556</v>
      </c>
      <c r="AU535" s="107">
        <v>839</v>
      </c>
      <c r="AV535" s="107">
        <v>1014</v>
      </c>
    </row>
    <row r="536" spans="1:48" ht="30" customHeight="1" outlineLevel="2">
      <c r="A536" s="116" t="s">
        <v>1285</v>
      </c>
      <c r="B536" s="117" t="s">
        <v>1286</v>
      </c>
      <c r="C536" s="134" t="s">
        <v>242</v>
      </c>
      <c r="E536" s="105">
        <f t="shared" si="261"/>
        <v>241.83500000000001</v>
      </c>
      <c r="F536" s="105">
        <f t="shared" si="262"/>
        <v>501.01700000000011</v>
      </c>
      <c r="G536" s="105">
        <f t="shared" si="263"/>
        <v>684.2</v>
      </c>
      <c r="H536" s="106"/>
      <c r="I536" s="105">
        <f t="shared" si="264"/>
        <v>498.31100000000004</v>
      </c>
      <c r="J536" s="105">
        <f t="shared" si="265"/>
        <v>867.6096</v>
      </c>
      <c r="K536" s="105">
        <f t="shared" si="266"/>
        <v>1138.28</v>
      </c>
      <c r="N536" s="107">
        <f t="shared" si="246"/>
        <v>606.49600000000009</v>
      </c>
      <c r="O536" s="107">
        <f t="shared" si="247"/>
        <v>817.9380000000001</v>
      </c>
      <c r="P536" s="107">
        <f t="shared" si="248"/>
        <v>1120.251</v>
      </c>
      <c r="R536" s="107">
        <f t="shared" si="249"/>
        <v>483.05400000000003</v>
      </c>
      <c r="S536" s="107">
        <f t="shared" si="250"/>
        <v>591.27200000000005</v>
      </c>
      <c r="T536" s="107">
        <f t="shared" si="251"/>
        <v>684.70600000000013</v>
      </c>
      <c r="V536" s="107">
        <f t="shared" si="252"/>
        <v>241.83500000000001</v>
      </c>
      <c r="W536" s="107">
        <f t="shared" si="253"/>
        <v>362.84600000000006</v>
      </c>
      <c r="X536" s="107">
        <f t="shared" si="254"/>
        <v>498.31100000000004</v>
      </c>
      <c r="Z536" s="107">
        <f t="shared" si="255"/>
        <v>684.2</v>
      </c>
      <c r="AA536" s="107">
        <f t="shared" si="256"/>
        <v>947.98</v>
      </c>
      <c r="AB536" s="107">
        <f t="shared" si="257"/>
        <v>1138.28</v>
      </c>
      <c r="AD536" s="107">
        <f t="shared" si="258"/>
        <v>489.50000000000006</v>
      </c>
      <c r="AE536" s="107">
        <f t="shared" si="259"/>
        <v>740.30000000000007</v>
      </c>
      <c r="AF536" s="107">
        <f t="shared" si="260"/>
        <v>896.50000000000011</v>
      </c>
      <c r="AH536" s="107">
        <v>551.36</v>
      </c>
      <c r="AI536" s="107">
        <v>743.58</v>
      </c>
      <c r="AJ536" s="107">
        <v>1018.41</v>
      </c>
      <c r="AK536" s="107">
        <v>439.14</v>
      </c>
      <c r="AL536" s="107">
        <v>537.52</v>
      </c>
      <c r="AM536" s="107">
        <v>622.46</v>
      </c>
      <c r="AN536" s="107">
        <v>219.85</v>
      </c>
      <c r="AO536" s="107">
        <v>329.86</v>
      </c>
      <c r="AP536" s="107">
        <v>453.01</v>
      </c>
      <c r="AQ536" s="107">
        <v>622</v>
      </c>
      <c r="AR536" s="107">
        <v>861.8</v>
      </c>
      <c r="AS536" s="107">
        <v>1034.8</v>
      </c>
      <c r="AT536" s="107">
        <v>445</v>
      </c>
      <c r="AU536" s="107">
        <v>673</v>
      </c>
      <c r="AV536" s="107">
        <v>815</v>
      </c>
    </row>
    <row r="537" spans="1:48" ht="30" customHeight="1" outlineLevel="2">
      <c r="A537" s="116" t="s">
        <v>1287</v>
      </c>
      <c r="B537" s="117" t="s">
        <v>1288</v>
      </c>
      <c r="C537" s="134" t="s">
        <v>242</v>
      </c>
      <c r="E537" s="105">
        <f t="shared" si="261"/>
        <v>163.98800000000003</v>
      </c>
      <c r="F537" s="105">
        <f t="shared" si="262"/>
        <v>362.57319999999999</v>
      </c>
      <c r="G537" s="105">
        <f t="shared" si="263"/>
        <v>604.60400000000004</v>
      </c>
      <c r="H537" s="106"/>
      <c r="I537" s="105">
        <f t="shared" si="264"/>
        <v>224.77400000000003</v>
      </c>
      <c r="J537" s="105">
        <f t="shared" si="265"/>
        <v>657.70760000000007</v>
      </c>
      <c r="K537" s="105">
        <f t="shared" si="266"/>
        <v>1139.4569999999999</v>
      </c>
      <c r="N537" s="107">
        <f t="shared" si="246"/>
        <v>604.60400000000004</v>
      </c>
      <c r="O537" s="107">
        <f t="shared" si="247"/>
        <v>824.82400000000007</v>
      </c>
      <c r="P537" s="107">
        <f t="shared" si="248"/>
        <v>1139.4569999999999</v>
      </c>
      <c r="R537" s="107">
        <f t="shared" si="249"/>
        <v>163.98800000000003</v>
      </c>
      <c r="S537" s="107">
        <f t="shared" si="250"/>
        <v>187.89100000000002</v>
      </c>
      <c r="T537" s="107">
        <f t="shared" si="251"/>
        <v>224.77400000000003</v>
      </c>
      <c r="V537" s="107">
        <f t="shared" si="252"/>
        <v>301.774</v>
      </c>
      <c r="W537" s="107">
        <f t="shared" si="253"/>
        <v>459.94300000000004</v>
      </c>
      <c r="X537" s="107">
        <f t="shared" si="254"/>
        <v>629.38700000000006</v>
      </c>
      <c r="Z537" s="107">
        <f t="shared" si="255"/>
        <v>437.8</v>
      </c>
      <c r="AA537" s="107">
        <f t="shared" si="256"/>
        <v>603.0200000000001</v>
      </c>
      <c r="AB537" s="107">
        <f t="shared" si="257"/>
        <v>731.72000000000014</v>
      </c>
      <c r="AD537" s="107">
        <f t="shared" si="258"/>
        <v>304.70000000000005</v>
      </c>
      <c r="AE537" s="107">
        <f t="shared" si="259"/>
        <v>463.1</v>
      </c>
      <c r="AF537" s="107">
        <f t="shared" si="260"/>
        <v>563.20000000000005</v>
      </c>
      <c r="AH537" s="107">
        <v>549.64</v>
      </c>
      <c r="AI537" s="107">
        <v>749.84</v>
      </c>
      <c r="AJ537" s="107">
        <v>1035.8699999999999</v>
      </c>
      <c r="AK537" s="107">
        <v>149.08000000000001</v>
      </c>
      <c r="AL537" s="107">
        <v>170.81</v>
      </c>
      <c r="AM537" s="107">
        <v>204.34</v>
      </c>
      <c r="AN537" s="107">
        <v>274.33999999999997</v>
      </c>
      <c r="AO537" s="107">
        <v>418.13</v>
      </c>
      <c r="AP537" s="107">
        <v>572.16999999999996</v>
      </c>
      <c r="AQ537" s="107">
        <v>398</v>
      </c>
      <c r="AR537" s="107">
        <v>548.20000000000005</v>
      </c>
      <c r="AS537" s="107">
        <v>665.2</v>
      </c>
      <c r="AT537" s="107">
        <v>277</v>
      </c>
      <c r="AU537" s="107">
        <v>421</v>
      </c>
      <c r="AV537" s="107">
        <v>512</v>
      </c>
    </row>
    <row r="538" spans="1:48" ht="30" customHeight="1" outlineLevel="2">
      <c r="A538" s="116" t="s">
        <v>1289</v>
      </c>
      <c r="B538" s="117" t="s">
        <v>1290</v>
      </c>
      <c r="C538" s="134" t="s">
        <v>242</v>
      </c>
      <c r="E538" s="105">
        <f t="shared" si="261"/>
        <v>366.3</v>
      </c>
      <c r="F538" s="105">
        <f t="shared" si="262"/>
        <v>419.529</v>
      </c>
      <c r="G538" s="105">
        <f t="shared" si="263"/>
        <v>500.85200000000003</v>
      </c>
      <c r="H538" s="106"/>
      <c r="I538" s="105">
        <f t="shared" si="264"/>
        <v>590.83200000000011</v>
      </c>
      <c r="J538" s="105">
        <f t="shared" si="265"/>
        <v>736.26300000000015</v>
      </c>
      <c r="K538" s="105">
        <f t="shared" si="266"/>
        <v>835.74700000000007</v>
      </c>
      <c r="N538" s="107">
        <f t="shared" si="246"/>
        <v>430.47399999999999</v>
      </c>
      <c r="O538" s="107">
        <f t="shared" si="247"/>
        <v>563.04600000000005</v>
      </c>
      <c r="P538" s="107">
        <f t="shared" si="248"/>
        <v>754.46800000000007</v>
      </c>
      <c r="R538" s="107">
        <f t="shared" si="249"/>
        <v>408.36400000000003</v>
      </c>
      <c r="S538" s="107">
        <f t="shared" si="250"/>
        <v>504.988</v>
      </c>
      <c r="T538" s="107">
        <f t="shared" si="251"/>
        <v>590.83200000000011</v>
      </c>
      <c r="V538" s="107">
        <f t="shared" si="252"/>
        <v>391.65500000000003</v>
      </c>
      <c r="W538" s="107">
        <f t="shared" si="253"/>
        <v>605.55000000000007</v>
      </c>
      <c r="X538" s="107">
        <f t="shared" si="254"/>
        <v>825.96800000000007</v>
      </c>
      <c r="Z538" s="107">
        <f t="shared" si="255"/>
        <v>500.85200000000003</v>
      </c>
      <c r="AA538" s="107">
        <f t="shared" si="256"/>
        <v>691.28400000000011</v>
      </c>
      <c r="AB538" s="107">
        <f t="shared" si="257"/>
        <v>835.74700000000007</v>
      </c>
      <c r="AD538" s="107">
        <f t="shared" si="258"/>
        <v>366.3</v>
      </c>
      <c r="AE538" s="107">
        <f t="shared" si="259"/>
        <v>555.5</v>
      </c>
      <c r="AF538" s="107">
        <f t="shared" si="260"/>
        <v>674.30000000000007</v>
      </c>
      <c r="AH538" s="107">
        <v>391.34</v>
      </c>
      <c r="AI538" s="107">
        <v>511.86</v>
      </c>
      <c r="AJ538" s="107">
        <v>685.88</v>
      </c>
      <c r="AK538" s="107">
        <v>371.24</v>
      </c>
      <c r="AL538" s="107">
        <v>459.08</v>
      </c>
      <c r="AM538" s="107">
        <v>537.12</v>
      </c>
      <c r="AN538" s="107">
        <v>356.05</v>
      </c>
      <c r="AO538" s="107">
        <v>550.5</v>
      </c>
      <c r="AP538" s="107">
        <v>750.88</v>
      </c>
      <c r="AQ538" s="107">
        <v>455.32</v>
      </c>
      <c r="AR538" s="107">
        <v>628.44000000000005</v>
      </c>
      <c r="AS538" s="107">
        <v>759.77</v>
      </c>
      <c r="AT538" s="107">
        <v>333</v>
      </c>
      <c r="AU538" s="107">
        <v>505</v>
      </c>
      <c r="AV538" s="107">
        <v>613</v>
      </c>
    </row>
    <row r="539" spans="1:48" ht="30" customHeight="1" outlineLevel="1">
      <c r="A539" s="132" t="s">
        <v>1291</v>
      </c>
      <c r="B539" s="133" t="s">
        <v>1292</v>
      </c>
      <c r="C539" s="101"/>
      <c r="N539" s="11" t="str">
        <f t="shared" si="246"/>
        <v/>
      </c>
      <c r="O539" s="11" t="str">
        <f t="shared" si="247"/>
        <v/>
      </c>
      <c r="P539" s="11" t="str">
        <f t="shared" si="248"/>
        <v/>
      </c>
      <c r="R539" s="11" t="str">
        <f t="shared" si="249"/>
        <v/>
      </c>
      <c r="S539" s="11" t="str">
        <f t="shared" si="250"/>
        <v/>
      </c>
      <c r="T539" s="11" t="str">
        <f t="shared" si="251"/>
        <v/>
      </c>
      <c r="V539" s="11" t="str">
        <f t="shared" si="252"/>
        <v/>
      </c>
      <c r="W539" s="11" t="str">
        <f t="shared" si="253"/>
        <v/>
      </c>
      <c r="X539" s="11" t="str">
        <f t="shared" si="254"/>
        <v/>
      </c>
      <c r="Z539" s="11" t="str">
        <f t="shared" si="255"/>
        <v/>
      </c>
      <c r="AA539" s="11" t="str">
        <f t="shared" si="256"/>
        <v/>
      </c>
      <c r="AB539" s="11" t="str">
        <f t="shared" si="257"/>
        <v/>
      </c>
      <c r="AD539" s="11" t="str">
        <f t="shared" si="258"/>
        <v/>
      </c>
      <c r="AE539" s="11" t="str">
        <f t="shared" si="259"/>
        <v/>
      </c>
      <c r="AF539" s="11" t="str">
        <f t="shared" si="260"/>
        <v/>
      </c>
    </row>
    <row r="540" spans="1:48" ht="30" customHeight="1" outlineLevel="2">
      <c r="A540" s="116" t="s">
        <v>1293</v>
      </c>
      <c r="B540" s="117" t="s">
        <v>1294</v>
      </c>
      <c r="C540" s="134" t="s">
        <v>242</v>
      </c>
      <c r="E540" s="105">
        <f t="shared" ref="E540:E548" si="267">MIN(N540,R540,V540,Z540,AD540)</f>
        <v>667.72199999999998</v>
      </c>
      <c r="F540" s="105">
        <f t="shared" ref="F540:F548" si="268">AVERAGE(N540,R540,V540,Z540,AD540)</f>
        <v>959.57400000000018</v>
      </c>
      <c r="G540" s="105">
        <f t="shared" ref="G540:G548" si="269">MAX(N540,R540,V540,Z540,AD540)</f>
        <v>1373.405</v>
      </c>
      <c r="H540" s="106"/>
      <c r="I540" s="105">
        <f t="shared" ref="I540:I548" si="270">MIN(T540,X540,AB540,AF540,P540)</f>
        <v>1363.23</v>
      </c>
      <c r="J540" s="105">
        <f t="shared" ref="J540:J548" si="271">AVERAGE(P540,T540,X540,AB540,AF540)</f>
        <v>1674.4926000000003</v>
      </c>
      <c r="K540" s="105">
        <f t="shared" ref="K540:K548" si="272">MAX(P540,T540,X540,AB540,AF540)</f>
        <v>2275.471</v>
      </c>
      <c r="N540" s="107">
        <f t="shared" si="246"/>
        <v>904.01300000000015</v>
      </c>
      <c r="O540" s="107">
        <f t="shared" si="247"/>
        <v>1233.7819999999999</v>
      </c>
      <c r="P540" s="107">
        <f t="shared" si="248"/>
        <v>1702.4370000000001</v>
      </c>
      <c r="R540" s="107">
        <f t="shared" si="249"/>
        <v>957.33</v>
      </c>
      <c r="S540" s="107">
        <f t="shared" si="250"/>
        <v>1089.0440000000001</v>
      </c>
      <c r="T540" s="107">
        <f t="shared" si="251"/>
        <v>1363.23</v>
      </c>
      <c r="V540" s="107">
        <f t="shared" si="252"/>
        <v>667.72199999999998</v>
      </c>
      <c r="W540" s="107">
        <f t="shared" si="253"/>
        <v>1052.7880000000002</v>
      </c>
      <c r="X540" s="107">
        <f t="shared" si="254"/>
        <v>1429.7250000000001</v>
      </c>
      <c r="Z540" s="107">
        <f t="shared" si="255"/>
        <v>1373.405</v>
      </c>
      <c r="AA540" s="107">
        <f t="shared" si="256"/>
        <v>1912.8670000000002</v>
      </c>
      <c r="AB540" s="107">
        <f t="shared" si="257"/>
        <v>2275.471</v>
      </c>
      <c r="AD540" s="107">
        <f t="shared" si="258"/>
        <v>895.40000000000009</v>
      </c>
      <c r="AE540" s="107">
        <f t="shared" si="259"/>
        <v>1333.2</v>
      </c>
      <c r="AF540" s="107">
        <f t="shared" si="260"/>
        <v>1601.6000000000001</v>
      </c>
      <c r="AH540" s="107">
        <v>821.83</v>
      </c>
      <c r="AI540" s="107">
        <v>1121.6199999999999</v>
      </c>
      <c r="AJ540" s="107">
        <v>1547.67</v>
      </c>
      <c r="AK540" s="107">
        <v>870.3</v>
      </c>
      <c r="AL540" s="107">
        <v>990.04</v>
      </c>
      <c r="AM540" s="107">
        <v>1239.3</v>
      </c>
      <c r="AN540" s="107">
        <v>607.02</v>
      </c>
      <c r="AO540" s="107">
        <v>957.08</v>
      </c>
      <c r="AP540" s="107">
        <v>1299.75</v>
      </c>
      <c r="AQ540" s="107">
        <v>1248.55</v>
      </c>
      <c r="AR540" s="107">
        <v>1738.97</v>
      </c>
      <c r="AS540" s="107">
        <v>2068.6099999999997</v>
      </c>
      <c r="AT540" s="107">
        <v>814</v>
      </c>
      <c r="AU540" s="107">
        <v>1212</v>
      </c>
      <c r="AV540" s="107">
        <v>1456</v>
      </c>
    </row>
    <row r="541" spans="1:48" ht="30" customHeight="1" outlineLevel="2">
      <c r="A541" s="116" t="s">
        <v>1295</v>
      </c>
      <c r="B541" s="117" t="s">
        <v>1296</v>
      </c>
      <c r="C541" s="134" t="s">
        <v>242</v>
      </c>
      <c r="E541" s="105">
        <f t="shared" si="267"/>
        <v>787.57800000000009</v>
      </c>
      <c r="F541" s="105">
        <f t="shared" si="268"/>
        <v>1329.0310000000002</v>
      </c>
      <c r="G541" s="105">
        <f t="shared" si="269"/>
        <v>1984.3230000000003</v>
      </c>
      <c r="H541" s="106"/>
      <c r="I541" s="105">
        <f t="shared" si="270"/>
        <v>1591.7</v>
      </c>
      <c r="J541" s="105">
        <f t="shared" si="271"/>
        <v>2224.0438000000004</v>
      </c>
      <c r="K541" s="105">
        <f t="shared" si="272"/>
        <v>3283.4780000000001</v>
      </c>
      <c r="N541" s="107">
        <f t="shared" si="246"/>
        <v>1008.436</v>
      </c>
      <c r="O541" s="107">
        <f t="shared" si="247"/>
        <v>1316.3040000000003</v>
      </c>
      <c r="P541" s="107">
        <f t="shared" si="248"/>
        <v>1754.1480000000001</v>
      </c>
      <c r="R541" s="107">
        <f t="shared" si="249"/>
        <v>1979.3180000000002</v>
      </c>
      <c r="S541" s="107">
        <f t="shared" si="250"/>
        <v>2457.84</v>
      </c>
      <c r="T541" s="107">
        <f t="shared" si="251"/>
        <v>2799.038</v>
      </c>
      <c r="V541" s="107">
        <f t="shared" si="252"/>
        <v>787.57800000000009</v>
      </c>
      <c r="W541" s="107">
        <f t="shared" si="253"/>
        <v>1246.96</v>
      </c>
      <c r="X541" s="107">
        <f t="shared" si="254"/>
        <v>1691.855</v>
      </c>
      <c r="Z541" s="107">
        <f t="shared" si="255"/>
        <v>1984.3230000000003</v>
      </c>
      <c r="AA541" s="107">
        <f t="shared" si="256"/>
        <v>2768.15</v>
      </c>
      <c r="AB541" s="107">
        <f t="shared" si="257"/>
        <v>3283.4780000000001</v>
      </c>
      <c r="AD541" s="107">
        <f t="shared" si="258"/>
        <v>885.50000000000011</v>
      </c>
      <c r="AE541" s="107">
        <f t="shared" si="259"/>
        <v>1323.3000000000002</v>
      </c>
      <c r="AF541" s="107">
        <f t="shared" si="260"/>
        <v>1591.7</v>
      </c>
      <c r="AH541" s="107">
        <v>916.76</v>
      </c>
      <c r="AI541" s="107">
        <v>1196.6400000000001</v>
      </c>
      <c r="AJ541" s="107">
        <v>1594.68</v>
      </c>
      <c r="AK541" s="107">
        <v>1799.38</v>
      </c>
      <c r="AL541" s="107">
        <v>2234.4</v>
      </c>
      <c r="AM541" s="107">
        <v>2544.58</v>
      </c>
      <c r="AN541" s="107">
        <v>715.98</v>
      </c>
      <c r="AO541" s="107">
        <v>1133.5999999999999</v>
      </c>
      <c r="AP541" s="107">
        <v>1538.05</v>
      </c>
      <c r="AQ541" s="107">
        <v>1803.93</v>
      </c>
      <c r="AR541" s="107">
        <v>2516.5</v>
      </c>
      <c r="AS541" s="107">
        <v>2984.98</v>
      </c>
      <c r="AT541" s="107">
        <v>805</v>
      </c>
      <c r="AU541" s="107">
        <v>1203</v>
      </c>
      <c r="AV541" s="107">
        <v>1447</v>
      </c>
    </row>
    <row r="542" spans="1:48" ht="30" customHeight="1" outlineLevel="2">
      <c r="A542" s="116" t="s">
        <v>1297</v>
      </c>
      <c r="B542" s="117" t="s">
        <v>1298</v>
      </c>
      <c r="C542" s="134" t="s">
        <v>242</v>
      </c>
      <c r="E542" s="105">
        <f t="shared" si="267"/>
        <v>787.58900000000006</v>
      </c>
      <c r="F542" s="105">
        <f t="shared" si="268"/>
        <v>1057.6632000000002</v>
      </c>
      <c r="G542" s="105">
        <f t="shared" si="269"/>
        <v>1319.6260000000002</v>
      </c>
      <c r="H542" s="106"/>
      <c r="I542" s="105">
        <f t="shared" si="270"/>
        <v>1534.4340000000002</v>
      </c>
      <c r="J542" s="105">
        <f t="shared" si="271"/>
        <v>1850.4046000000003</v>
      </c>
      <c r="K542" s="105">
        <f t="shared" si="272"/>
        <v>2186.7230000000004</v>
      </c>
      <c r="N542" s="107">
        <f t="shared" si="246"/>
        <v>1095.1270000000002</v>
      </c>
      <c r="O542" s="107">
        <f t="shared" si="247"/>
        <v>1481.8650000000002</v>
      </c>
      <c r="P542" s="107">
        <f t="shared" si="248"/>
        <v>2030.6000000000001</v>
      </c>
      <c r="R542" s="107">
        <f t="shared" si="249"/>
        <v>1075.0740000000001</v>
      </c>
      <c r="S542" s="107">
        <f t="shared" si="250"/>
        <v>1337.5120000000002</v>
      </c>
      <c r="T542" s="107">
        <f t="shared" si="251"/>
        <v>1534.4340000000002</v>
      </c>
      <c r="V542" s="107">
        <f t="shared" si="252"/>
        <v>787.58900000000006</v>
      </c>
      <c r="W542" s="107">
        <f t="shared" si="253"/>
        <v>1246.96</v>
      </c>
      <c r="X542" s="107">
        <f t="shared" si="254"/>
        <v>1691.866</v>
      </c>
      <c r="Z542" s="107">
        <f t="shared" si="255"/>
        <v>1319.6260000000002</v>
      </c>
      <c r="AA542" s="107">
        <f t="shared" si="256"/>
        <v>1837.5720000000001</v>
      </c>
      <c r="AB542" s="107">
        <f t="shared" si="257"/>
        <v>2186.7230000000004</v>
      </c>
      <c r="AD542" s="107">
        <f t="shared" si="258"/>
        <v>1010.9000000000001</v>
      </c>
      <c r="AE542" s="107">
        <f t="shared" si="259"/>
        <v>1505.9</v>
      </c>
      <c r="AF542" s="107">
        <f t="shared" si="260"/>
        <v>1808.4</v>
      </c>
      <c r="AH542" s="107">
        <v>995.57</v>
      </c>
      <c r="AI542" s="107">
        <v>1347.15</v>
      </c>
      <c r="AJ542" s="107">
        <v>1846</v>
      </c>
      <c r="AK542" s="107">
        <v>977.34</v>
      </c>
      <c r="AL542" s="107">
        <v>1215.92</v>
      </c>
      <c r="AM542" s="107">
        <v>1394.94</v>
      </c>
      <c r="AN542" s="107">
        <v>715.99</v>
      </c>
      <c r="AO542" s="107">
        <v>1133.5999999999999</v>
      </c>
      <c r="AP542" s="107">
        <v>1538.06</v>
      </c>
      <c r="AQ542" s="107">
        <v>1199.6600000000001</v>
      </c>
      <c r="AR542" s="107">
        <v>1670.52</v>
      </c>
      <c r="AS542" s="107">
        <v>1987.93</v>
      </c>
      <c r="AT542" s="107">
        <v>919</v>
      </c>
      <c r="AU542" s="107">
        <v>1369</v>
      </c>
      <c r="AV542" s="107">
        <v>1644</v>
      </c>
    </row>
    <row r="543" spans="1:48" ht="30" customHeight="1" outlineLevel="2">
      <c r="A543" s="116" t="s">
        <v>1299</v>
      </c>
      <c r="B543" s="117" t="s">
        <v>1300</v>
      </c>
      <c r="C543" s="134" t="s">
        <v>242</v>
      </c>
      <c r="E543" s="105">
        <f t="shared" si="267"/>
        <v>693.74800000000005</v>
      </c>
      <c r="F543" s="105">
        <f t="shared" si="268"/>
        <v>797.56600000000003</v>
      </c>
      <c r="G543" s="105">
        <f t="shared" si="269"/>
        <v>914.1</v>
      </c>
      <c r="H543" s="106"/>
      <c r="I543" s="105">
        <f t="shared" si="270"/>
        <v>987.09600000000012</v>
      </c>
      <c r="J543" s="105">
        <f t="shared" si="271"/>
        <v>1411.454</v>
      </c>
      <c r="K543" s="105">
        <f t="shared" si="272"/>
        <v>1599.3560000000002</v>
      </c>
      <c r="N543" s="107">
        <f t="shared" si="246"/>
        <v>874.74200000000008</v>
      </c>
      <c r="O543" s="107">
        <f t="shared" si="247"/>
        <v>1173.8319999999999</v>
      </c>
      <c r="P543" s="107">
        <f t="shared" si="248"/>
        <v>1599.3560000000002</v>
      </c>
      <c r="R543" s="107">
        <f t="shared" si="249"/>
        <v>693.74800000000005</v>
      </c>
      <c r="S543" s="107">
        <f t="shared" si="250"/>
        <v>856.81200000000001</v>
      </c>
      <c r="T543" s="107">
        <f t="shared" si="251"/>
        <v>987.09600000000012</v>
      </c>
      <c r="V543" s="107">
        <f t="shared" si="252"/>
        <v>739.64</v>
      </c>
      <c r="W543" s="107">
        <f t="shared" si="253"/>
        <v>1169.2890000000002</v>
      </c>
      <c r="X543" s="107">
        <f t="shared" si="254"/>
        <v>1587.0030000000002</v>
      </c>
      <c r="Z543" s="107">
        <f t="shared" si="255"/>
        <v>914.1</v>
      </c>
      <c r="AA543" s="107">
        <f t="shared" si="256"/>
        <v>1269.8400000000001</v>
      </c>
      <c r="AB543" s="107">
        <f t="shared" si="257"/>
        <v>1517.6150000000002</v>
      </c>
      <c r="AD543" s="107">
        <f t="shared" si="258"/>
        <v>765.6</v>
      </c>
      <c r="AE543" s="107">
        <f t="shared" si="259"/>
        <v>1137.4000000000001</v>
      </c>
      <c r="AF543" s="107">
        <f t="shared" si="260"/>
        <v>1366.2</v>
      </c>
      <c r="AH543" s="107">
        <v>795.22</v>
      </c>
      <c r="AI543" s="107">
        <v>1067.1199999999999</v>
      </c>
      <c r="AJ543" s="107">
        <v>1453.96</v>
      </c>
      <c r="AK543" s="107">
        <v>630.67999999999995</v>
      </c>
      <c r="AL543" s="107">
        <v>778.92</v>
      </c>
      <c r="AM543" s="107">
        <v>897.36</v>
      </c>
      <c r="AN543" s="107">
        <v>672.4</v>
      </c>
      <c r="AO543" s="107">
        <v>1062.99</v>
      </c>
      <c r="AP543" s="107">
        <v>1442.73</v>
      </c>
      <c r="AQ543" s="107">
        <v>831</v>
      </c>
      <c r="AR543" s="107">
        <v>1154.4000000000001</v>
      </c>
      <c r="AS543" s="107">
        <v>1379.65</v>
      </c>
      <c r="AT543" s="107">
        <v>696</v>
      </c>
      <c r="AU543" s="107">
        <v>1034</v>
      </c>
      <c r="AV543" s="107">
        <v>1242</v>
      </c>
    </row>
    <row r="544" spans="1:48" ht="30" customHeight="1" outlineLevel="2">
      <c r="A544" s="116" t="s">
        <v>1301</v>
      </c>
      <c r="B544" s="117" t="s">
        <v>1302</v>
      </c>
      <c r="C544" s="134" t="s">
        <v>242</v>
      </c>
      <c r="E544" s="105">
        <f t="shared" si="267"/>
        <v>212.27800000000002</v>
      </c>
      <c r="F544" s="105">
        <f t="shared" si="268"/>
        <v>373.1662</v>
      </c>
      <c r="G544" s="105">
        <f t="shared" si="269"/>
        <v>470.745</v>
      </c>
      <c r="H544" s="106"/>
      <c r="I544" s="105">
        <f t="shared" si="270"/>
        <v>433.65300000000008</v>
      </c>
      <c r="J544" s="105">
        <f t="shared" si="271"/>
        <v>643.98180000000002</v>
      </c>
      <c r="K544" s="105">
        <f t="shared" si="272"/>
        <v>814.00000000000011</v>
      </c>
      <c r="N544" s="107">
        <f t="shared" si="246"/>
        <v>376.24400000000003</v>
      </c>
      <c r="O544" s="107">
        <f t="shared" si="247"/>
        <v>508.81600000000003</v>
      </c>
      <c r="P544" s="107">
        <f t="shared" si="248"/>
        <v>700.23800000000006</v>
      </c>
      <c r="R544" s="107">
        <f t="shared" si="249"/>
        <v>347.86400000000003</v>
      </c>
      <c r="S544" s="107">
        <f t="shared" si="250"/>
        <v>417.95600000000002</v>
      </c>
      <c r="T544" s="107">
        <f t="shared" si="251"/>
        <v>485.93600000000004</v>
      </c>
      <c r="V544" s="107">
        <f t="shared" si="252"/>
        <v>212.27800000000002</v>
      </c>
      <c r="W544" s="107">
        <f t="shared" si="253"/>
        <v>314.952</v>
      </c>
      <c r="X544" s="107">
        <f t="shared" si="254"/>
        <v>433.65300000000008</v>
      </c>
      <c r="Z544" s="107">
        <f t="shared" si="255"/>
        <v>470.745</v>
      </c>
      <c r="AA544" s="107">
        <f t="shared" si="256"/>
        <v>649.14300000000003</v>
      </c>
      <c r="AB544" s="107">
        <f t="shared" si="257"/>
        <v>786.08200000000011</v>
      </c>
      <c r="AD544" s="107">
        <f t="shared" si="258"/>
        <v>458.70000000000005</v>
      </c>
      <c r="AE544" s="107">
        <f t="shared" si="259"/>
        <v>676.5</v>
      </c>
      <c r="AF544" s="107">
        <f t="shared" si="260"/>
        <v>814.00000000000011</v>
      </c>
      <c r="AH544" s="107">
        <v>342.04</v>
      </c>
      <c r="AI544" s="107">
        <v>462.56</v>
      </c>
      <c r="AJ544" s="107">
        <v>636.58000000000004</v>
      </c>
      <c r="AK544" s="107">
        <v>316.24</v>
      </c>
      <c r="AL544" s="107">
        <v>379.96</v>
      </c>
      <c r="AM544" s="107">
        <v>441.76</v>
      </c>
      <c r="AN544" s="107">
        <v>192.98</v>
      </c>
      <c r="AO544" s="107">
        <v>286.32</v>
      </c>
      <c r="AP544" s="107">
        <v>394.23</v>
      </c>
      <c r="AQ544" s="107">
        <v>427.95</v>
      </c>
      <c r="AR544" s="107">
        <v>590.13</v>
      </c>
      <c r="AS544" s="107">
        <v>714.62</v>
      </c>
      <c r="AT544" s="107">
        <v>417</v>
      </c>
      <c r="AU544" s="107">
        <v>615</v>
      </c>
      <c r="AV544" s="107">
        <v>740</v>
      </c>
    </row>
    <row r="545" spans="1:48" ht="30" customHeight="1" outlineLevel="2">
      <c r="A545" s="116" t="s">
        <v>1303</v>
      </c>
      <c r="B545" s="117" t="s">
        <v>1304</v>
      </c>
      <c r="C545" s="134" t="s">
        <v>242</v>
      </c>
      <c r="E545" s="105">
        <f t="shared" si="267"/>
        <v>1051.2810000000002</v>
      </c>
      <c r="F545" s="105">
        <f t="shared" si="268"/>
        <v>1863.2086000000004</v>
      </c>
      <c r="G545" s="105">
        <f t="shared" si="269"/>
        <v>2998.4240000000004</v>
      </c>
      <c r="H545" s="106"/>
      <c r="I545" s="105">
        <f t="shared" si="270"/>
        <v>2268.5740000000005</v>
      </c>
      <c r="J545" s="105">
        <f t="shared" si="271"/>
        <v>3069.0946000000004</v>
      </c>
      <c r="K545" s="105">
        <f t="shared" si="272"/>
        <v>3858.6570000000002</v>
      </c>
      <c r="N545" s="107">
        <f t="shared" si="246"/>
        <v>2005.9380000000001</v>
      </c>
      <c r="O545" s="107">
        <f t="shared" si="247"/>
        <v>2773.9470000000001</v>
      </c>
      <c r="P545" s="107">
        <f t="shared" si="248"/>
        <v>3858.6570000000002</v>
      </c>
      <c r="R545" s="107">
        <f t="shared" si="249"/>
        <v>2998.4240000000004</v>
      </c>
      <c r="S545" s="107">
        <f t="shared" si="250"/>
        <v>3335.8710000000005</v>
      </c>
      <c r="T545" s="107">
        <f t="shared" si="251"/>
        <v>3582.3920000000003</v>
      </c>
      <c r="V545" s="107">
        <f t="shared" si="252"/>
        <v>1051.2810000000002</v>
      </c>
      <c r="W545" s="107">
        <f t="shared" si="253"/>
        <v>1674.1450000000002</v>
      </c>
      <c r="X545" s="107">
        <f t="shared" si="254"/>
        <v>2268.5740000000005</v>
      </c>
      <c r="Z545" s="107">
        <f t="shared" si="255"/>
        <v>1716.0000000000002</v>
      </c>
      <c r="AA545" s="107">
        <f t="shared" si="256"/>
        <v>2392.5</v>
      </c>
      <c r="AB545" s="107">
        <f t="shared" si="257"/>
        <v>2840.7500000000005</v>
      </c>
      <c r="AD545" s="107">
        <f t="shared" si="258"/>
        <v>1544.4</v>
      </c>
      <c r="AE545" s="107">
        <f t="shared" si="259"/>
        <v>2322.1000000000004</v>
      </c>
      <c r="AF545" s="107">
        <f t="shared" si="260"/>
        <v>2795.1000000000004</v>
      </c>
      <c r="AH545" s="107">
        <v>1823.58</v>
      </c>
      <c r="AI545" s="107">
        <v>2521.77</v>
      </c>
      <c r="AJ545" s="107">
        <v>3507.87</v>
      </c>
      <c r="AK545" s="107">
        <v>2725.84</v>
      </c>
      <c r="AL545" s="107">
        <v>3032.61</v>
      </c>
      <c r="AM545" s="107">
        <v>3256.72</v>
      </c>
      <c r="AN545" s="107">
        <v>955.71</v>
      </c>
      <c r="AO545" s="107">
        <v>1521.95</v>
      </c>
      <c r="AP545" s="107">
        <v>2062.34</v>
      </c>
      <c r="AQ545" s="107">
        <v>1560</v>
      </c>
      <c r="AR545" s="107">
        <v>2175</v>
      </c>
      <c r="AS545" s="107">
        <v>2582.5</v>
      </c>
      <c r="AT545" s="107">
        <v>1404</v>
      </c>
      <c r="AU545" s="107">
        <v>2111</v>
      </c>
      <c r="AV545" s="107">
        <v>2541</v>
      </c>
    </row>
    <row r="546" spans="1:48" ht="30" customHeight="1" outlineLevel="2">
      <c r="A546" s="116" t="s">
        <v>1305</v>
      </c>
      <c r="B546" s="117" t="s">
        <v>1306</v>
      </c>
      <c r="C546" s="134" t="s">
        <v>242</v>
      </c>
      <c r="E546" s="105">
        <f t="shared" si="267"/>
        <v>182.60000000000002</v>
      </c>
      <c r="F546" s="105">
        <f t="shared" si="268"/>
        <v>343.28579999999999</v>
      </c>
      <c r="G546" s="105">
        <f t="shared" si="269"/>
        <v>476.35500000000008</v>
      </c>
      <c r="H546" s="106"/>
      <c r="I546" s="105">
        <f t="shared" si="270"/>
        <v>4.4000000000000004</v>
      </c>
      <c r="J546" s="105">
        <f t="shared" si="271"/>
        <v>10.780000000000001</v>
      </c>
      <c r="K546" s="105">
        <f t="shared" si="272"/>
        <v>27.500000000000004</v>
      </c>
      <c r="N546" s="107">
        <f t="shared" si="246"/>
        <v>476.35500000000008</v>
      </c>
      <c r="O546" s="107">
        <f t="shared" si="247"/>
        <v>-1.1000000000000001</v>
      </c>
      <c r="P546" s="107">
        <f t="shared" si="248"/>
        <v>5.5</v>
      </c>
      <c r="R546" s="107">
        <f t="shared" si="249"/>
        <v>287.47400000000005</v>
      </c>
      <c r="S546" s="107">
        <f t="shared" si="250"/>
        <v>-5.5</v>
      </c>
      <c r="T546" s="107">
        <f t="shared" si="251"/>
        <v>4.4000000000000004</v>
      </c>
      <c r="V546" s="107">
        <f t="shared" si="252"/>
        <v>396.00000000000006</v>
      </c>
      <c r="W546" s="107">
        <f t="shared" si="253"/>
        <v>-2.2000000000000002</v>
      </c>
      <c r="X546" s="107">
        <f t="shared" si="254"/>
        <v>5.5</v>
      </c>
      <c r="Z546" s="107">
        <f t="shared" si="255"/>
        <v>374.00000000000006</v>
      </c>
      <c r="AA546" s="107">
        <f t="shared" si="256"/>
        <v>5.5</v>
      </c>
      <c r="AB546" s="107">
        <f t="shared" si="257"/>
        <v>27.500000000000004</v>
      </c>
      <c r="AD546" s="107">
        <f t="shared" si="258"/>
        <v>182.60000000000002</v>
      </c>
      <c r="AE546" s="107">
        <f t="shared" si="259"/>
        <v>2.2000000000000002</v>
      </c>
      <c r="AF546" s="107">
        <f t="shared" si="260"/>
        <v>11</v>
      </c>
      <c r="AH546" s="107">
        <v>433.05</v>
      </c>
      <c r="AI546" s="107">
        <v>-1</v>
      </c>
      <c r="AJ546" s="107">
        <v>5</v>
      </c>
      <c r="AK546" s="107">
        <v>261.34000000000003</v>
      </c>
      <c r="AL546" s="107">
        <v>-5</v>
      </c>
      <c r="AM546" s="107">
        <v>4</v>
      </c>
      <c r="AN546" s="107">
        <v>360</v>
      </c>
      <c r="AO546" s="107">
        <v>-2</v>
      </c>
      <c r="AP546" s="107">
        <v>5</v>
      </c>
      <c r="AQ546" s="107">
        <v>340</v>
      </c>
      <c r="AR546" s="107">
        <v>5</v>
      </c>
      <c r="AS546" s="107">
        <v>25</v>
      </c>
      <c r="AT546" s="107">
        <v>166</v>
      </c>
      <c r="AU546" s="107">
        <v>2</v>
      </c>
      <c r="AV546" s="107">
        <v>10</v>
      </c>
    </row>
    <row r="547" spans="1:48" ht="30" customHeight="1" outlineLevel="2">
      <c r="A547" s="116" t="s">
        <v>1307</v>
      </c>
      <c r="B547" s="117" t="s">
        <v>1308</v>
      </c>
      <c r="C547" s="134" t="s">
        <v>242</v>
      </c>
      <c r="E547" s="105">
        <f t="shared" si="267"/>
        <v>735.66899999999998</v>
      </c>
      <c r="F547" s="105">
        <f t="shared" si="268"/>
        <v>1052.2534000000001</v>
      </c>
      <c r="G547" s="105">
        <f t="shared" si="269"/>
        <v>1503.0840000000003</v>
      </c>
      <c r="H547" s="106"/>
      <c r="I547" s="105">
        <f t="shared" si="270"/>
        <v>1570.8000000000002</v>
      </c>
      <c r="J547" s="105">
        <f t="shared" si="271"/>
        <v>1746.7230000000004</v>
      </c>
      <c r="K547" s="105">
        <f t="shared" si="272"/>
        <v>2169.2000000000003</v>
      </c>
      <c r="N547" s="107">
        <f t="shared" si="246"/>
        <v>848.9140000000001</v>
      </c>
      <c r="O547" s="107">
        <f t="shared" si="247"/>
        <v>1156.7819999999999</v>
      </c>
      <c r="P547" s="107">
        <f t="shared" si="248"/>
        <v>1594.6260000000002</v>
      </c>
      <c r="R547" s="107">
        <f t="shared" si="249"/>
        <v>1503.0840000000003</v>
      </c>
      <c r="S547" s="107">
        <f t="shared" si="250"/>
        <v>1599.1470000000002</v>
      </c>
      <c r="T547" s="107">
        <f t="shared" si="251"/>
        <v>1820.6760000000002</v>
      </c>
      <c r="V547" s="107">
        <f t="shared" si="252"/>
        <v>735.66899999999998</v>
      </c>
      <c r="W547" s="107">
        <f t="shared" si="253"/>
        <v>1162.8540000000003</v>
      </c>
      <c r="X547" s="107">
        <f t="shared" si="254"/>
        <v>1578.3130000000001</v>
      </c>
      <c r="Z547" s="107">
        <f t="shared" si="255"/>
        <v>1309</v>
      </c>
      <c r="AA547" s="107">
        <f t="shared" si="256"/>
        <v>1822.7</v>
      </c>
      <c r="AB547" s="107">
        <f t="shared" si="257"/>
        <v>2169.2000000000003</v>
      </c>
      <c r="AD547" s="107">
        <f t="shared" si="258"/>
        <v>864.6</v>
      </c>
      <c r="AE547" s="107">
        <f t="shared" si="259"/>
        <v>1302.4000000000001</v>
      </c>
      <c r="AF547" s="107">
        <f t="shared" si="260"/>
        <v>1570.8000000000002</v>
      </c>
      <c r="AH547" s="107">
        <v>771.74</v>
      </c>
      <c r="AI547" s="107">
        <v>1051.6199999999999</v>
      </c>
      <c r="AJ547" s="107">
        <v>1449.66</v>
      </c>
      <c r="AK547" s="107">
        <v>1366.44</v>
      </c>
      <c r="AL547" s="107">
        <v>1453.77</v>
      </c>
      <c r="AM547" s="107">
        <v>1655.16</v>
      </c>
      <c r="AN547" s="107">
        <v>668.79</v>
      </c>
      <c r="AO547" s="107">
        <v>1057.1400000000001</v>
      </c>
      <c r="AP547" s="107">
        <v>1434.83</v>
      </c>
      <c r="AQ547" s="107">
        <v>1190</v>
      </c>
      <c r="AR547" s="107">
        <v>1657</v>
      </c>
      <c r="AS547" s="107">
        <v>1972</v>
      </c>
      <c r="AT547" s="107">
        <v>786</v>
      </c>
      <c r="AU547" s="107">
        <v>1184</v>
      </c>
      <c r="AV547" s="107">
        <v>1428</v>
      </c>
    </row>
    <row r="548" spans="1:48" ht="30" customHeight="1" outlineLevel="2" thickBot="1">
      <c r="A548" s="116" t="s">
        <v>1309</v>
      </c>
      <c r="B548" s="117" t="s">
        <v>1310</v>
      </c>
      <c r="C548" s="134" t="s">
        <v>242</v>
      </c>
      <c r="E548" s="105">
        <f t="shared" si="267"/>
        <v>735.66899999999998</v>
      </c>
      <c r="F548" s="105">
        <f t="shared" si="268"/>
        <v>1279.7114000000001</v>
      </c>
      <c r="G548" s="105">
        <f t="shared" si="269"/>
        <v>1783.65</v>
      </c>
      <c r="H548" s="106"/>
      <c r="I548" s="105">
        <f t="shared" si="270"/>
        <v>1570.8000000000002</v>
      </c>
      <c r="J548" s="105">
        <f t="shared" si="271"/>
        <v>2134.1320000000001</v>
      </c>
      <c r="K548" s="105">
        <f t="shared" si="272"/>
        <v>2952.3670000000002</v>
      </c>
      <c r="N548" s="107">
        <f t="shared" si="246"/>
        <v>1234.585</v>
      </c>
      <c r="O548" s="107">
        <f t="shared" si="247"/>
        <v>1695.8370000000002</v>
      </c>
      <c r="P548" s="107">
        <f t="shared" si="248"/>
        <v>2349.3030000000003</v>
      </c>
      <c r="R548" s="107">
        <f t="shared" si="249"/>
        <v>1780.0530000000001</v>
      </c>
      <c r="S548" s="107">
        <f t="shared" si="250"/>
        <v>2031.1390000000001</v>
      </c>
      <c r="T548" s="107">
        <f t="shared" si="251"/>
        <v>2219.877</v>
      </c>
      <c r="V548" s="107">
        <f t="shared" si="252"/>
        <v>735.66899999999998</v>
      </c>
      <c r="W548" s="107">
        <f t="shared" si="253"/>
        <v>1162.8540000000003</v>
      </c>
      <c r="X548" s="107">
        <f t="shared" si="254"/>
        <v>1578.3130000000001</v>
      </c>
      <c r="Z548" s="107">
        <f t="shared" si="255"/>
        <v>1783.65</v>
      </c>
      <c r="AA548" s="107">
        <f t="shared" si="256"/>
        <v>2487.21</v>
      </c>
      <c r="AB548" s="107">
        <f t="shared" si="257"/>
        <v>2952.3670000000002</v>
      </c>
      <c r="AD548" s="107">
        <f t="shared" si="258"/>
        <v>864.6</v>
      </c>
      <c r="AE548" s="107">
        <f t="shared" si="259"/>
        <v>1302.4000000000001</v>
      </c>
      <c r="AF548" s="107">
        <f t="shared" si="260"/>
        <v>1570.8000000000002</v>
      </c>
      <c r="AH548" s="107">
        <v>1122.3499999999999</v>
      </c>
      <c r="AI548" s="107">
        <v>1541.67</v>
      </c>
      <c r="AJ548" s="107">
        <v>2135.73</v>
      </c>
      <c r="AK548" s="107">
        <v>1618.23</v>
      </c>
      <c r="AL548" s="107">
        <v>1846.49</v>
      </c>
      <c r="AM548" s="107">
        <v>2018.07</v>
      </c>
      <c r="AN548" s="107">
        <v>668.79</v>
      </c>
      <c r="AO548" s="107">
        <v>1057.1400000000001</v>
      </c>
      <c r="AP548" s="107">
        <v>1434.83</v>
      </c>
      <c r="AQ548" s="107">
        <v>1621.5</v>
      </c>
      <c r="AR548" s="107">
        <v>2261.1</v>
      </c>
      <c r="AS548" s="107">
        <v>2683.97</v>
      </c>
      <c r="AT548" s="107">
        <v>786</v>
      </c>
      <c r="AU548" s="107">
        <v>1184</v>
      </c>
      <c r="AV548" s="107">
        <v>1428</v>
      </c>
    </row>
    <row r="549" spans="1:48" ht="30" customHeight="1" thickBot="1">
      <c r="A549" s="96" t="s">
        <v>1311</v>
      </c>
      <c r="B549" s="115" t="s">
        <v>1312</v>
      </c>
      <c r="C549" s="98"/>
      <c r="N549" s="11" t="str">
        <f t="shared" si="246"/>
        <v/>
      </c>
      <c r="O549" s="11" t="str">
        <f t="shared" si="247"/>
        <v/>
      </c>
      <c r="P549" s="11" t="str">
        <f t="shared" si="248"/>
        <v/>
      </c>
      <c r="R549" s="11" t="str">
        <f t="shared" si="249"/>
        <v/>
      </c>
      <c r="S549" s="11" t="str">
        <f t="shared" si="250"/>
        <v/>
      </c>
      <c r="T549" s="11" t="str">
        <f t="shared" si="251"/>
        <v/>
      </c>
      <c r="V549" s="11" t="str">
        <f t="shared" si="252"/>
        <v/>
      </c>
      <c r="W549" s="11" t="str">
        <f t="shared" si="253"/>
        <v/>
      </c>
      <c r="X549" s="11" t="str">
        <f t="shared" si="254"/>
        <v/>
      </c>
      <c r="Z549" s="11" t="str">
        <f t="shared" si="255"/>
        <v/>
      </c>
      <c r="AA549" s="11" t="str">
        <f t="shared" si="256"/>
        <v/>
      </c>
      <c r="AB549" s="11" t="str">
        <f t="shared" si="257"/>
        <v/>
      </c>
      <c r="AD549" s="11" t="str">
        <f t="shared" si="258"/>
        <v/>
      </c>
      <c r="AE549" s="11" t="str">
        <f t="shared" si="259"/>
        <v/>
      </c>
      <c r="AF549" s="11" t="str">
        <f t="shared" si="260"/>
        <v/>
      </c>
    </row>
    <row r="550" spans="1:48" ht="30" customHeight="1" outlineLevel="1">
      <c r="A550" s="132" t="s">
        <v>1313</v>
      </c>
      <c r="B550" s="133" t="s">
        <v>1314</v>
      </c>
      <c r="C550" s="101"/>
      <c r="N550" s="11" t="str">
        <f t="shared" si="246"/>
        <v/>
      </c>
      <c r="O550" s="11" t="str">
        <f t="shared" si="247"/>
        <v/>
      </c>
      <c r="P550" s="11" t="str">
        <f t="shared" si="248"/>
        <v/>
      </c>
      <c r="R550" s="11" t="str">
        <f t="shared" si="249"/>
        <v/>
      </c>
      <c r="S550" s="11" t="str">
        <f t="shared" si="250"/>
        <v/>
      </c>
      <c r="T550" s="11" t="str">
        <f t="shared" si="251"/>
        <v/>
      </c>
      <c r="V550" s="11" t="str">
        <f t="shared" si="252"/>
        <v/>
      </c>
      <c r="W550" s="11" t="str">
        <f t="shared" si="253"/>
        <v/>
      </c>
      <c r="X550" s="11" t="str">
        <f t="shared" si="254"/>
        <v/>
      </c>
      <c r="Z550" s="11" t="str">
        <f t="shared" si="255"/>
        <v/>
      </c>
      <c r="AA550" s="11" t="str">
        <f t="shared" si="256"/>
        <v/>
      </c>
      <c r="AB550" s="11" t="str">
        <f t="shared" si="257"/>
        <v/>
      </c>
      <c r="AD550" s="11" t="str">
        <f t="shared" si="258"/>
        <v/>
      </c>
      <c r="AE550" s="11" t="str">
        <f t="shared" si="259"/>
        <v/>
      </c>
      <c r="AF550" s="11" t="str">
        <f t="shared" si="260"/>
        <v/>
      </c>
    </row>
    <row r="551" spans="1:48" ht="30" customHeight="1" outlineLevel="2">
      <c r="A551" s="116" t="s">
        <v>1315</v>
      </c>
      <c r="B551" s="117" t="s">
        <v>1316</v>
      </c>
      <c r="C551" s="134" t="s">
        <v>242</v>
      </c>
      <c r="E551" s="105">
        <f>MIN(N551,R551,V551,Z551,AD551)</f>
        <v>527.89</v>
      </c>
      <c r="F551" s="105">
        <f>AVERAGE(N551,R551,V551,Z551,AD551)</f>
        <v>711.40960000000018</v>
      </c>
      <c r="G551" s="105">
        <f>MAX(N551,R551,V551,Z551,AD551)</f>
        <v>880.3850000000001</v>
      </c>
      <c r="H551" s="106"/>
      <c r="I551" s="105">
        <f>MIN(T551,X551,AB551,AF551,P551)</f>
        <v>1072.4010000000001</v>
      </c>
      <c r="J551" s="105">
        <f>AVERAGE(P551,T551,X551,AB551,AF551)</f>
        <v>1239.0862000000002</v>
      </c>
      <c r="K551" s="105">
        <f>MAX(P551,T551,X551,AB551,AF551)</f>
        <v>1389.3000000000002</v>
      </c>
      <c r="N551" s="107">
        <f t="shared" si="246"/>
        <v>558.64600000000007</v>
      </c>
      <c r="O551" s="107">
        <f t="shared" si="247"/>
        <v>770.08800000000008</v>
      </c>
      <c r="P551" s="107">
        <f t="shared" si="248"/>
        <v>1072.4010000000001</v>
      </c>
      <c r="R551" s="107">
        <f t="shared" si="249"/>
        <v>880.3850000000001</v>
      </c>
      <c r="S551" s="107">
        <f t="shared" si="250"/>
        <v>1107.2710000000002</v>
      </c>
      <c r="T551" s="107">
        <f t="shared" si="251"/>
        <v>1279.9270000000001</v>
      </c>
      <c r="V551" s="107">
        <f t="shared" si="252"/>
        <v>527.89</v>
      </c>
      <c r="W551" s="107">
        <f t="shared" si="253"/>
        <v>826.25400000000002</v>
      </c>
      <c r="X551" s="107">
        <f t="shared" si="254"/>
        <v>1123.914</v>
      </c>
      <c r="Z551" s="107">
        <f t="shared" si="255"/>
        <v>800.32700000000011</v>
      </c>
      <c r="AA551" s="107">
        <f t="shared" si="256"/>
        <v>1110.5600000000002</v>
      </c>
      <c r="AB551" s="107">
        <f t="shared" si="257"/>
        <v>1329.8890000000001</v>
      </c>
      <c r="AD551" s="107">
        <f t="shared" si="258"/>
        <v>789.80000000000007</v>
      </c>
      <c r="AE551" s="107">
        <f t="shared" si="259"/>
        <v>1160.5</v>
      </c>
      <c r="AF551" s="107">
        <f t="shared" si="260"/>
        <v>1389.3000000000002</v>
      </c>
      <c r="AH551" s="107">
        <v>507.86</v>
      </c>
      <c r="AI551" s="107">
        <v>700.08</v>
      </c>
      <c r="AJ551" s="107">
        <v>974.91</v>
      </c>
      <c r="AK551" s="107">
        <v>800.35</v>
      </c>
      <c r="AL551" s="107">
        <v>1006.61</v>
      </c>
      <c r="AM551" s="107">
        <v>1163.57</v>
      </c>
      <c r="AN551" s="107">
        <v>479.9</v>
      </c>
      <c r="AO551" s="107">
        <v>751.14</v>
      </c>
      <c r="AP551" s="107">
        <v>1021.74</v>
      </c>
      <c r="AQ551" s="107">
        <v>727.57</v>
      </c>
      <c r="AR551" s="107">
        <v>1009.6</v>
      </c>
      <c r="AS551" s="107">
        <v>1208.99</v>
      </c>
      <c r="AT551" s="107">
        <v>718</v>
      </c>
      <c r="AU551" s="107">
        <v>1055</v>
      </c>
      <c r="AV551" s="107">
        <v>1263</v>
      </c>
    </row>
    <row r="552" spans="1:48" ht="30" customHeight="1" outlineLevel="2">
      <c r="A552" s="116" t="s">
        <v>1317</v>
      </c>
      <c r="B552" s="117" t="s">
        <v>1318</v>
      </c>
      <c r="C552" s="134" t="s">
        <v>242</v>
      </c>
      <c r="E552" s="105">
        <f>MIN(N552,R552,V552,Z552,AD552)</f>
        <v>154</v>
      </c>
      <c r="F552" s="105">
        <f>AVERAGE(N552,R552,V552,Z552,AD552)</f>
        <v>408.55760000000004</v>
      </c>
      <c r="G552" s="105">
        <f>MAX(N552,R552,V552,Z552,AD552)</f>
        <v>756.84400000000005</v>
      </c>
      <c r="H552" s="106"/>
      <c r="I552" s="105">
        <f>MIN(T552,X552,AB552,AF552,P552)</f>
        <v>265.10000000000002</v>
      </c>
      <c r="J552" s="105">
        <f>AVERAGE(P552,T552,X552,AB552,AF552)</f>
        <v>685.68720000000008</v>
      </c>
      <c r="K552" s="105">
        <f>MAX(P552,T552,X552,AB552,AF552)</f>
        <v>1258.1470000000002</v>
      </c>
      <c r="N552" s="107">
        <f t="shared" si="246"/>
        <v>439.31800000000004</v>
      </c>
      <c r="O552" s="107">
        <f t="shared" si="247"/>
        <v>593.80200000000013</v>
      </c>
      <c r="P552" s="107">
        <f t="shared" si="248"/>
        <v>816.02400000000011</v>
      </c>
      <c r="R552" s="107">
        <f t="shared" si="249"/>
        <v>515.10800000000006</v>
      </c>
      <c r="S552" s="107">
        <f t="shared" si="250"/>
        <v>632.10400000000004</v>
      </c>
      <c r="T552" s="107">
        <f t="shared" si="251"/>
        <v>731.53300000000002</v>
      </c>
      <c r="V552" s="107">
        <f t="shared" si="252"/>
        <v>177.518</v>
      </c>
      <c r="W552" s="107">
        <f t="shared" si="253"/>
        <v>258.64300000000003</v>
      </c>
      <c r="X552" s="107">
        <f t="shared" si="254"/>
        <v>357.63200000000006</v>
      </c>
      <c r="Z552" s="107">
        <f t="shared" si="255"/>
        <v>756.84400000000005</v>
      </c>
      <c r="AA552" s="107">
        <f t="shared" si="256"/>
        <v>1049.6860000000001</v>
      </c>
      <c r="AB552" s="107">
        <f t="shared" si="257"/>
        <v>1258.1470000000002</v>
      </c>
      <c r="AD552" s="107">
        <f t="shared" si="258"/>
        <v>154</v>
      </c>
      <c r="AE552" s="107">
        <f t="shared" si="259"/>
        <v>218.9</v>
      </c>
      <c r="AF552" s="107">
        <f t="shared" si="260"/>
        <v>265.10000000000002</v>
      </c>
      <c r="AH552" s="107">
        <v>399.38</v>
      </c>
      <c r="AI552" s="107">
        <v>539.82000000000005</v>
      </c>
      <c r="AJ552" s="107">
        <v>741.84</v>
      </c>
      <c r="AK552" s="107">
        <v>468.28</v>
      </c>
      <c r="AL552" s="107">
        <v>574.64</v>
      </c>
      <c r="AM552" s="107">
        <v>665.03</v>
      </c>
      <c r="AN552" s="107">
        <v>161.38</v>
      </c>
      <c r="AO552" s="107">
        <v>235.13</v>
      </c>
      <c r="AP552" s="107">
        <v>325.12</v>
      </c>
      <c r="AQ552" s="107">
        <v>688.04</v>
      </c>
      <c r="AR552" s="107">
        <v>954.26</v>
      </c>
      <c r="AS552" s="107">
        <v>1143.77</v>
      </c>
      <c r="AT552" s="107">
        <v>140</v>
      </c>
      <c r="AU552" s="107">
        <v>199</v>
      </c>
      <c r="AV552" s="107">
        <v>241</v>
      </c>
    </row>
    <row r="553" spans="1:48" ht="30" customHeight="1" outlineLevel="2">
      <c r="A553" s="116" t="s">
        <v>1319</v>
      </c>
      <c r="B553" s="117" t="s">
        <v>1320</v>
      </c>
      <c r="C553" s="134" t="s">
        <v>242</v>
      </c>
      <c r="E553" s="105">
        <f>MIN(N553,R553,V553,Z553,AD553)</f>
        <v>571.84600000000012</v>
      </c>
      <c r="F553" s="105">
        <f>AVERAGE(N553,R553,V553,Z553,AD553)</f>
        <v>740.70480000000009</v>
      </c>
      <c r="G553" s="105">
        <f>MAX(N553,R553,V553,Z553,AD553)</f>
        <v>1058.2</v>
      </c>
      <c r="H553" s="106"/>
      <c r="I553" s="105">
        <f>MIN(T553,X553,AB553,AF553,P553)</f>
        <v>875.89700000000005</v>
      </c>
      <c r="J553" s="105">
        <f>AVERAGE(P553,T553,X553,AB553,AF553)</f>
        <v>1303.4296000000002</v>
      </c>
      <c r="K553" s="105">
        <f>MAX(P553,T553,X553,AB553,AF553)</f>
        <v>1919.5000000000002</v>
      </c>
      <c r="N553" s="107">
        <f t="shared" si="246"/>
        <v>801.06400000000008</v>
      </c>
      <c r="O553" s="107">
        <f t="shared" si="247"/>
        <v>1108.932</v>
      </c>
      <c r="P553" s="107">
        <f t="shared" si="248"/>
        <v>1546.7760000000003</v>
      </c>
      <c r="R553" s="107">
        <f t="shared" si="249"/>
        <v>682.68200000000002</v>
      </c>
      <c r="S553" s="107">
        <f t="shared" si="250"/>
        <v>833.44799999999998</v>
      </c>
      <c r="T553" s="107">
        <f t="shared" si="251"/>
        <v>954.93200000000013</v>
      </c>
      <c r="V553" s="107">
        <f t="shared" si="252"/>
        <v>571.84600000000012</v>
      </c>
      <c r="W553" s="107">
        <f t="shared" si="253"/>
        <v>897.46800000000007</v>
      </c>
      <c r="X553" s="107">
        <f t="shared" si="254"/>
        <v>1220.0430000000001</v>
      </c>
      <c r="Z553" s="107">
        <f t="shared" si="255"/>
        <v>589.73200000000008</v>
      </c>
      <c r="AA553" s="107">
        <f t="shared" si="256"/>
        <v>799.81000000000006</v>
      </c>
      <c r="AB553" s="107">
        <f t="shared" si="257"/>
        <v>875.89700000000005</v>
      </c>
      <c r="AD553" s="107">
        <f t="shared" si="258"/>
        <v>1058.2</v>
      </c>
      <c r="AE553" s="107">
        <f t="shared" si="259"/>
        <v>1592.8000000000002</v>
      </c>
      <c r="AF553" s="107">
        <f t="shared" si="260"/>
        <v>1919.5000000000002</v>
      </c>
      <c r="AH553" s="107">
        <v>728.24</v>
      </c>
      <c r="AI553" s="107">
        <v>1008.12</v>
      </c>
      <c r="AJ553" s="107">
        <v>1406.16</v>
      </c>
      <c r="AK553" s="107">
        <v>620.62</v>
      </c>
      <c r="AL553" s="107">
        <v>757.68</v>
      </c>
      <c r="AM553" s="107">
        <v>868.12</v>
      </c>
      <c r="AN553" s="107">
        <v>519.86</v>
      </c>
      <c r="AO553" s="107">
        <v>815.88</v>
      </c>
      <c r="AP553" s="107">
        <v>1109.1300000000001</v>
      </c>
      <c r="AQ553" s="107">
        <v>536.12</v>
      </c>
      <c r="AR553" s="107">
        <v>727.1</v>
      </c>
      <c r="AS553" s="107">
        <v>796.27</v>
      </c>
      <c r="AT553" s="107">
        <v>962</v>
      </c>
      <c r="AU553" s="107">
        <v>1448</v>
      </c>
      <c r="AV553" s="107">
        <v>1745</v>
      </c>
    </row>
    <row r="554" spans="1:48" ht="30" customHeight="1" outlineLevel="2">
      <c r="A554" s="116" t="s">
        <v>1321</v>
      </c>
      <c r="B554" s="117" t="s">
        <v>1322</v>
      </c>
      <c r="C554" s="134" t="s">
        <v>242</v>
      </c>
      <c r="E554" s="105">
        <f>MIN(N554,R554,V554,Z554,AD554)</f>
        <v>360.29400000000004</v>
      </c>
      <c r="F554" s="105">
        <f>AVERAGE(N554,R554,V554,Z554,AD554)</f>
        <v>482.33020000000005</v>
      </c>
      <c r="G554" s="105">
        <f>MAX(N554,R554,V554,Z554,AD554)</f>
        <v>587.40000000000009</v>
      </c>
      <c r="H554" s="106"/>
      <c r="I554" s="105">
        <f>MIN(T554,X554,AB554,AF554,P554)</f>
        <v>633.30300000000011</v>
      </c>
      <c r="J554" s="105">
        <f>AVERAGE(P554,T554,X554,AB554,AF554)</f>
        <v>863.4208000000001</v>
      </c>
      <c r="K554" s="105">
        <f>MAX(P554,T554,X554,AB554,AF554)</f>
        <v>1072.5</v>
      </c>
      <c r="N554" s="107">
        <f t="shared" si="246"/>
        <v>360.29400000000004</v>
      </c>
      <c r="O554" s="107">
        <f t="shared" si="247"/>
        <v>492.86600000000004</v>
      </c>
      <c r="P554" s="107">
        <f t="shared" si="248"/>
        <v>684.28800000000012</v>
      </c>
      <c r="R554" s="107">
        <f t="shared" si="249"/>
        <v>434.85200000000003</v>
      </c>
      <c r="S554" s="107">
        <f t="shared" si="250"/>
        <v>541.07900000000006</v>
      </c>
      <c r="T554" s="107">
        <f t="shared" si="251"/>
        <v>633.30300000000011</v>
      </c>
      <c r="V554" s="107">
        <f t="shared" si="252"/>
        <v>465.97100000000006</v>
      </c>
      <c r="W554" s="107">
        <f t="shared" si="253"/>
        <v>725.94500000000016</v>
      </c>
      <c r="X554" s="107">
        <f t="shared" si="254"/>
        <v>988.50400000000002</v>
      </c>
      <c r="Z554" s="107">
        <f t="shared" si="255"/>
        <v>563.13400000000001</v>
      </c>
      <c r="AA554" s="107">
        <f t="shared" si="256"/>
        <v>778.48100000000011</v>
      </c>
      <c r="AB554" s="107">
        <f t="shared" si="257"/>
        <v>938.50900000000013</v>
      </c>
      <c r="AD554" s="107">
        <f t="shared" si="258"/>
        <v>587.40000000000009</v>
      </c>
      <c r="AE554" s="107">
        <f t="shared" si="259"/>
        <v>886.6</v>
      </c>
      <c r="AF554" s="107">
        <f t="shared" si="260"/>
        <v>1072.5</v>
      </c>
      <c r="AH554" s="107">
        <v>327.54000000000002</v>
      </c>
      <c r="AI554" s="107">
        <v>448.06</v>
      </c>
      <c r="AJ554" s="107">
        <v>622.08000000000004</v>
      </c>
      <c r="AK554" s="107">
        <v>395.32</v>
      </c>
      <c r="AL554" s="107">
        <v>491.89</v>
      </c>
      <c r="AM554" s="107">
        <v>575.73</v>
      </c>
      <c r="AN554" s="107">
        <v>423.61</v>
      </c>
      <c r="AO554" s="107">
        <v>659.95</v>
      </c>
      <c r="AP554" s="107">
        <v>898.64</v>
      </c>
      <c r="AQ554" s="107">
        <v>511.94</v>
      </c>
      <c r="AR554" s="107">
        <v>707.71</v>
      </c>
      <c r="AS554" s="107">
        <v>853.19</v>
      </c>
      <c r="AT554" s="107">
        <v>534</v>
      </c>
      <c r="AU554" s="107">
        <v>806</v>
      </c>
      <c r="AV554" s="107">
        <v>975</v>
      </c>
    </row>
    <row r="555" spans="1:48" ht="30" customHeight="1" outlineLevel="2">
      <c r="A555" s="116" t="s">
        <v>1323</v>
      </c>
      <c r="B555" s="117" t="s">
        <v>1324</v>
      </c>
      <c r="C555" s="134" t="s">
        <v>242</v>
      </c>
      <c r="E555" s="105">
        <f>MIN(N555,R555,V555,Z555,AD555)</f>
        <v>281.07200000000006</v>
      </c>
      <c r="F555" s="105">
        <f>AVERAGE(N555,R555,V555,Z555,AD555)</f>
        <v>454.21860000000004</v>
      </c>
      <c r="G555" s="105">
        <f>MAX(N555,R555,V555,Z555,AD555)</f>
        <v>685.30000000000007</v>
      </c>
      <c r="H555" s="106"/>
      <c r="I555" s="105">
        <f>MIN(T555,X555,AB555,AF555,P555)</f>
        <v>409.50799999999998</v>
      </c>
      <c r="J555" s="105">
        <f>AVERAGE(P555,T555,X555,AB555,AF555)</f>
        <v>817.35720000000003</v>
      </c>
      <c r="K555" s="105">
        <f>MAX(P555,T555,X555,AB555,AF555)</f>
        <v>1248.5</v>
      </c>
      <c r="N555" s="107">
        <f t="shared" si="246"/>
        <v>383.48200000000003</v>
      </c>
      <c r="O555" s="107">
        <f t="shared" si="247"/>
        <v>537.96600000000001</v>
      </c>
      <c r="P555" s="107">
        <f t="shared" si="248"/>
        <v>760.1880000000001</v>
      </c>
      <c r="R555" s="107">
        <f t="shared" si="249"/>
        <v>281.07200000000006</v>
      </c>
      <c r="S555" s="107">
        <f t="shared" si="250"/>
        <v>345.59800000000001</v>
      </c>
      <c r="T555" s="107">
        <f t="shared" si="251"/>
        <v>409.50799999999998</v>
      </c>
      <c r="V555" s="107">
        <f t="shared" si="252"/>
        <v>316.15100000000007</v>
      </c>
      <c r="W555" s="107">
        <f t="shared" si="253"/>
        <v>483.24100000000004</v>
      </c>
      <c r="X555" s="107">
        <f t="shared" si="254"/>
        <v>660.84699999999998</v>
      </c>
      <c r="Z555" s="107">
        <f t="shared" si="255"/>
        <v>605.08800000000008</v>
      </c>
      <c r="AA555" s="107">
        <f t="shared" si="256"/>
        <v>837.22100000000012</v>
      </c>
      <c r="AB555" s="107">
        <f t="shared" si="257"/>
        <v>1007.7430000000001</v>
      </c>
      <c r="AD555" s="107">
        <f t="shared" si="258"/>
        <v>685.30000000000007</v>
      </c>
      <c r="AE555" s="107">
        <f t="shared" si="259"/>
        <v>1034</v>
      </c>
      <c r="AF555" s="107">
        <f t="shared" si="260"/>
        <v>1248.5</v>
      </c>
      <c r="AH555" s="107">
        <v>348.62</v>
      </c>
      <c r="AI555" s="107">
        <v>489.06</v>
      </c>
      <c r="AJ555" s="107">
        <v>691.08</v>
      </c>
      <c r="AK555" s="107">
        <v>255.52</v>
      </c>
      <c r="AL555" s="107">
        <v>314.18</v>
      </c>
      <c r="AM555" s="107">
        <v>372.28</v>
      </c>
      <c r="AN555" s="107">
        <v>287.41000000000003</v>
      </c>
      <c r="AO555" s="107">
        <v>439.31</v>
      </c>
      <c r="AP555" s="107">
        <v>600.77</v>
      </c>
      <c r="AQ555" s="107">
        <v>550.08000000000004</v>
      </c>
      <c r="AR555" s="107">
        <v>761.11</v>
      </c>
      <c r="AS555" s="107">
        <v>916.13</v>
      </c>
      <c r="AT555" s="107">
        <v>623</v>
      </c>
      <c r="AU555" s="107">
        <v>940</v>
      </c>
      <c r="AV555" s="107">
        <v>1135</v>
      </c>
    </row>
    <row r="556" spans="1:48" ht="30" customHeight="1" outlineLevel="1">
      <c r="A556" s="132" t="s">
        <v>1325</v>
      </c>
      <c r="B556" s="133" t="s">
        <v>1326</v>
      </c>
      <c r="C556" s="101"/>
      <c r="N556" s="11" t="str">
        <f t="shared" si="246"/>
        <v/>
      </c>
      <c r="O556" s="11" t="str">
        <f t="shared" si="247"/>
        <v/>
      </c>
      <c r="P556" s="11" t="str">
        <f t="shared" si="248"/>
        <v/>
      </c>
      <c r="R556" s="11" t="str">
        <f t="shared" si="249"/>
        <v/>
      </c>
      <c r="S556" s="11" t="str">
        <f t="shared" si="250"/>
        <v/>
      </c>
      <c r="T556" s="11" t="str">
        <f t="shared" si="251"/>
        <v/>
      </c>
      <c r="V556" s="11" t="str">
        <f t="shared" si="252"/>
        <v/>
      </c>
      <c r="W556" s="11" t="str">
        <f t="shared" si="253"/>
        <v/>
      </c>
      <c r="X556" s="11" t="str">
        <f t="shared" si="254"/>
        <v/>
      </c>
      <c r="Z556" s="11" t="str">
        <f t="shared" si="255"/>
        <v/>
      </c>
      <c r="AA556" s="11" t="str">
        <f t="shared" si="256"/>
        <v/>
      </c>
      <c r="AB556" s="11" t="str">
        <f t="shared" si="257"/>
        <v/>
      </c>
      <c r="AD556" s="11" t="str">
        <f t="shared" si="258"/>
        <v/>
      </c>
      <c r="AE556" s="11" t="str">
        <f t="shared" si="259"/>
        <v/>
      </c>
      <c r="AF556" s="11" t="str">
        <f t="shared" si="260"/>
        <v/>
      </c>
    </row>
    <row r="557" spans="1:48" ht="30" customHeight="1" outlineLevel="2">
      <c r="A557" s="116" t="s">
        <v>1327</v>
      </c>
      <c r="B557" s="117" t="s">
        <v>1328</v>
      </c>
      <c r="C557" s="134" t="s">
        <v>242</v>
      </c>
      <c r="E557" s="105">
        <f t="shared" ref="E557:E562" si="273">MIN(N557,R557,V557,Z557,AD557)</f>
        <v>99.198000000000022</v>
      </c>
      <c r="F557" s="105">
        <f t="shared" ref="F557:F562" si="274">AVERAGE(N557,R557,V557,Z557,AD557)</f>
        <v>113.55080000000001</v>
      </c>
      <c r="G557" s="105">
        <f t="shared" ref="G557:G562" si="275">MAX(N557,R557,V557,Z557,AD557)</f>
        <v>144.309</v>
      </c>
      <c r="H557" s="106"/>
      <c r="I557" s="105">
        <f t="shared" ref="I557:I562" si="276">MIN(T557,X557,AB557,AF557,P557)</f>
        <v>128.02900000000002</v>
      </c>
      <c r="J557" s="105">
        <f t="shared" ref="J557:J562" si="277">AVERAGE(P557,T557,X557,AB557,AF557)</f>
        <v>196.47539999999998</v>
      </c>
      <c r="K557" s="105">
        <f t="shared" ref="K557:K562" si="278">MAX(P557,T557,X557,AB557,AF557)</f>
        <v>247.46700000000001</v>
      </c>
      <c r="N557" s="107">
        <f t="shared" si="246"/>
        <v>115.98400000000001</v>
      </c>
      <c r="O557" s="107">
        <f t="shared" si="247"/>
        <v>160.90800000000002</v>
      </c>
      <c r="P557" s="107">
        <f t="shared" si="248"/>
        <v>229.119</v>
      </c>
      <c r="R557" s="107">
        <f t="shared" si="249"/>
        <v>102.66300000000001</v>
      </c>
      <c r="S557" s="107">
        <f t="shared" si="250"/>
        <v>105.325</v>
      </c>
      <c r="T557" s="107">
        <f t="shared" si="251"/>
        <v>128.02900000000002</v>
      </c>
      <c r="V557" s="107">
        <f t="shared" si="252"/>
        <v>99.198000000000022</v>
      </c>
      <c r="W557" s="107">
        <f t="shared" si="253"/>
        <v>131.76900000000001</v>
      </c>
      <c r="X557" s="107">
        <f t="shared" si="254"/>
        <v>186.36199999999999</v>
      </c>
      <c r="Z557" s="107">
        <f t="shared" si="255"/>
        <v>144.309</v>
      </c>
      <c r="AA557" s="107">
        <f t="shared" si="256"/>
        <v>192.137</v>
      </c>
      <c r="AB557" s="107">
        <f t="shared" si="257"/>
        <v>247.46700000000001</v>
      </c>
      <c r="AD557" s="107">
        <f t="shared" si="258"/>
        <v>105.60000000000001</v>
      </c>
      <c r="AE557" s="107">
        <f t="shared" si="259"/>
        <v>155.10000000000002</v>
      </c>
      <c r="AF557" s="107">
        <f t="shared" si="260"/>
        <v>191.4</v>
      </c>
      <c r="AH557" s="107">
        <v>105.44</v>
      </c>
      <c r="AI557" s="107">
        <v>146.28</v>
      </c>
      <c r="AJ557" s="107">
        <v>208.29</v>
      </c>
      <c r="AK557" s="107">
        <v>93.33</v>
      </c>
      <c r="AL557" s="107">
        <v>95.75</v>
      </c>
      <c r="AM557" s="107">
        <v>116.39</v>
      </c>
      <c r="AN557" s="107">
        <v>90.18</v>
      </c>
      <c r="AO557" s="107">
        <v>119.79</v>
      </c>
      <c r="AP557" s="107">
        <v>169.42</v>
      </c>
      <c r="AQ557" s="107">
        <v>131.19</v>
      </c>
      <c r="AR557" s="107">
        <v>174.67</v>
      </c>
      <c r="AS557" s="107">
        <v>224.97</v>
      </c>
      <c r="AT557" s="107">
        <v>96</v>
      </c>
      <c r="AU557" s="107">
        <v>141</v>
      </c>
      <c r="AV557" s="107">
        <v>174</v>
      </c>
    </row>
    <row r="558" spans="1:48" ht="30" customHeight="1" outlineLevel="2">
      <c r="A558" s="116" t="s">
        <v>1329</v>
      </c>
      <c r="B558" s="117" t="s">
        <v>1330</v>
      </c>
      <c r="C558" s="134" t="s">
        <v>242</v>
      </c>
      <c r="E558" s="105">
        <f t="shared" si="273"/>
        <v>99.198000000000022</v>
      </c>
      <c r="F558" s="105">
        <f t="shared" si="274"/>
        <v>115.4384</v>
      </c>
      <c r="G558" s="105">
        <f t="shared" si="275"/>
        <v>153.74700000000001</v>
      </c>
      <c r="H558" s="106"/>
      <c r="I558" s="105">
        <f t="shared" si="276"/>
        <v>128.02900000000002</v>
      </c>
      <c r="J558" s="105">
        <f t="shared" si="277"/>
        <v>199.58840000000001</v>
      </c>
      <c r="K558" s="105">
        <f t="shared" si="278"/>
        <v>263.03200000000004</v>
      </c>
      <c r="N558" s="107">
        <f t="shared" si="246"/>
        <v>115.98400000000001</v>
      </c>
      <c r="O558" s="107">
        <f t="shared" si="247"/>
        <v>160.90800000000002</v>
      </c>
      <c r="P558" s="107">
        <f t="shared" si="248"/>
        <v>229.119</v>
      </c>
      <c r="R558" s="107">
        <f t="shared" si="249"/>
        <v>102.66300000000001</v>
      </c>
      <c r="S558" s="107">
        <f t="shared" si="250"/>
        <v>105.325</v>
      </c>
      <c r="T558" s="107">
        <f t="shared" si="251"/>
        <v>128.02900000000002</v>
      </c>
      <c r="V558" s="107">
        <f t="shared" si="252"/>
        <v>99.198000000000022</v>
      </c>
      <c r="W558" s="107">
        <f t="shared" si="253"/>
        <v>131.76900000000001</v>
      </c>
      <c r="X558" s="107">
        <f t="shared" si="254"/>
        <v>186.36199999999999</v>
      </c>
      <c r="Z558" s="107">
        <f t="shared" si="255"/>
        <v>153.74700000000001</v>
      </c>
      <c r="AA558" s="107">
        <f t="shared" si="256"/>
        <v>205.34800000000001</v>
      </c>
      <c r="AB558" s="107">
        <f t="shared" si="257"/>
        <v>263.03200000000004</v>
      </c>
      <c r="AD558" s="107">
        <f t="shared" si="258"/>
        <v>105.60000000000001</v>
      </c>
      <c r="AE558" s="107">
        <f t="shared" si="259"/>
        <v>155.10000000000002</v>
      </c>
      <c r="AF558" s="107">
        <f t="shared" si="260"/>
        <v>191.4</v>
      </c>
      <c r="AH558" s="107">
        <v>105.44</v>
      </c>
      <c r="AI558" s="107">
        <v>146.28</v>
      </c>
      <c r="AJ558" s="107">
        <v>208.29</v>
      </c>
      <c r="AK558" s="107">
        <v>93.33</v>
      </c>
      <c r="AL558" s="107">
        <v>95.75</v>
      </c>
      <c r="AM558" s="107">
        <v>116.39</v>
      </c>
      <c r="AN558" s="107">
        <v>90.18</v>
      </c>
      <c r="AO558" s="107">
        <v>119.79</v>
      </c>
      <c r="AP558" s="107">
        <v>169.42</v>
      </c>
      <c r="AQ558" s="107">
        <v>139.77000000000001</v>
      </c>
      <c r="AR558" s="107">
        <v>186.68</v>
      </c>
      <c r="AS558" s="107">
        <v>239.12</v>
      </c>
      <c r="AT558" s="107">
        <v>96</v>
      </c>
      <c r="AU558" s="107">
        <v>141</v>
      </c>
      <c r="AV558" s="107">
        <v>174</v>
      </c>
    </row>
    <row r="559" spans="1:48" ht="30" customHeight="1" outlineLevel="2">
      <c r="A559" s="116" t="s">
        <v>1331</v>
      </c>
      <c r="B559" s="117" t="s">
        <v>1332</v>
      </c>
      <c r="C559" s="134" t="s">
        <v>242</v>
      </c>
      <c r="E559" s="105">
        <f t="shared" si="273"/>
        <v>36.475999999999999</v>
      </c>
      <c r="F559" s="105">
        <f t="shared" si="274"/>
        <v>67.74460000000002</v>
      </c>
      <c r="G559" s="105">
        <f t="shared" si="275"/>
        <v>92.4</v>
      </c>
      <c r="H559" s="106"/>
      <c r="I559" s="105">
        <f t="shared" si="276"/>
        <v>49.181000000000004</v>
      </c>
      <c r="J559" s="105">
        <f t="shared" si="277"/>
        <v>101.98540000000001</v>
      </c>
      <c r="K559" s="105">
        <f t="shared" si="278"/>
        <v>147.65300000000002</v>
      </c>
      <c r="N559" s="107">
        <f t="shared" si="246"/>
        <v>58.277999999999999</v>
      </c>
      <c r="O559" s="107">
        <f t="shared" si="247"/>
        <v>75.812000000000012</v>
      </c>
      <c r="P559" s="107">
        <f t="shared" si="248"/>
        <v>105.51200000000001</v>
      </c>
      <c r="R559" s="107">
        <f t="shared" si="249"/>
        <v>67.749000000000009</v>
      </c>
      <c r="S559" s="107">
        <f t="shared" si="250"/>
        <v>54.625999999999998</v>
      </c>
      <c r="T559" s="107">
        <f t="shared" si="251"/>
        <v>66.781000000000006</v>
      </c>
      <c r="V559" s="107">
        <f t="shared" si="252"/>
        <v>36.475999999999999</v>
      </c>
      <c r="W559" s="107">
        <f t="shared" si="253"/>
        <v>30.162000000000003</v>
      </c>
      <c r="X559" s="107">
        <f t="shared" si="254"/>
        <v>49.181000000000004</v>
      </c>
      <c r="Z559" s="107">
        <f t="shared" si="255"/>
        <v>83.820000000000007</v>
      </c>
      <c r="AA559" s="107">
        <f t="shared" si="256"/>
        <v>107.44800000000002</v>
      </c>
      <c r="AB559" s="107">
        <f t="shared" si="257"/>
        <v>147.65300000000002</v>
      </c>
      <c r="AD559" s="107">
        <f t="shared" si="258"/>
        <v>92.4</v>
      </c>
      <c r="AE559" s="107">
        <f t="shared" si="259"/>
        <v>118.80000000000001</v>
      </c>
      <c r="AF559" s="107">
        <f t="shared" si="260"/>
        <v>140.80000000000001</v>
      </c>
      <c r="AH559" s="107">
        <v>52.98</v>
      </c>
      <c r="AI559" s="107">
        <v>68.92</v>
      </c>
      <c r="AJ559" s="107">
        <v>95.92</v>
      </c>
      <c r="AK559" s="107">
        <v>61.59</v>
      </c>
      <c r="AL559" s="107">
        <v>49.66</v>
      </c>
      <c r="AM559" s="107">
        <v>60.71</v>
      </c>
      <c r="AN559" s="107">
        <v>33.159999999999997</v>
      </c>
      <c r="AO559" s="107">
        <v>27.42</v>
      </c>
      <c r="AP559" s="107">
        <v>44.71</v>
      </c>
      <c r="AQ559" s="107">
        <v>76.2</v>
      </c>
      <c r="AR559" s="107">
        <v>97.68</v>
      </c>
      <c r="AS559" s="107">
        <v>134.23000000000002</v>
      </c>
      <c r="AT559" s="107">
        <v>84</v>
      </c>
      <c r="AU559" s="107">
        <v>108</v>
      </c>
      <c r="AV559" s="107">
        <v>128</v>
      </c>
    </row>
    <row r="560" spans="1:48" ht="30" customHeight="1" outlineLevel="2">
      <c r="A560" s="116" t="s">
        <v>1333</v>
      </c>
      <c r="B560" s="117" t="s">
        <v>1334</v>
      </c>
      <c r="C560" s="134" t="s">
        <v>242</v>
      </c>
      <c r="E560" s="105">
        <f t="shared" si="273"/>
        <v>115.98400000000001</v>
      </c>
      <c r="F560" s="105">
        <f t="shared" si="274"/>
        <v>154.33440000000002</v>
      </c>
      <c r="G560" s="105">
        <f t="shared" si="275"/>
        <v>195.93200000000002</v>
      </c>
      <c r="H560" s="106"/>
      <c r="I560" s="105">
        <f t="shared" si="276"/>
        <v>147.66400000000002</v>
      </c>
      <c r="J560" s="105">
        <f t="shared" si="277"/>
        <v>266.2176</v>
      </c>
      <c r="K560" s="105">
        <f t="shared" si="278"/>
        <v>382.96500000000003</v>
      </c>
      <c r="N560" s="107">
        <f t="shared" si="246"/>
        <v>115.98400000000001</v>
      </c>
      <c r="O560" s="107">
        <f t="shared" si="247"/>
        <v>160.90800000000002</v>
      </c>
      <c r="P560" s="107">
        <f t="shared" si="248"/>
        <v>229.119</v>
      </c>
      <c r="R560" s="107">
        <f t="shared" si="249"/>
        <v>116.66600000000001</v>
      </c>
      <c r="S560" s="107">
        <f t="shared" si="250"/>
        <v>122.70500000000001</v>
      </c>
      <c r="T560" s="107">
        <f t="shared" si="251"/>
        <v>147.66400000000002</v>
      </c>
      <c r="V560" s="107">
        <f t="shared" si="252"/>
        <v>189.09000000000003</v>
      </c>
      <c r="W560" s="107">
        <f t="shared" si="253"/>
        <v>277.39800000000002</v>
      </c>
      <c r="X560" s="107">
        <f t="shared" si="254"/>
        <v>382.96500000000003</v>
      </c>
      <c r="Z560" s="107">
        <f t="shared" si="255"/>
        <v>195.93200000000002</v>
      </c>
      <c r="AA560" s="107">
        <f t="shared" si="256"/>
        <v>264.40700000000004</v>
      </c>
      <c r="AB560" s="107">
        <f t="shared" si="257"/>
        <v>332.64</v>
      </c>
      <c r="AD560" s="107">
        <f t="shared" si="258"/>
        <v>154</v>
      </c>
      <c r="AE560" s="107">
        <f t="shared" si="259"/>
        <v>203.50000000000003</v>
      </c>
      <c r="AF560" s="107">
        <f t="shared" si="260"/>
        <v>238.70000000000002</v>
      </c>
      <c r="AH560" s="107">
        <v>105.44</v>
      </c>
      <c r="AI560" s="107">
        <v>146.28</v>
      </c>
      <c r="AJ560" s="107">
        <v>208.29</v>
      </c>
      <c r="AK560" s="107">
        <v>106.06</v>
      </c>
      <c r="AL560" s="107">
        <v>111.55</v>
      </c>
      <c r="AM560" s="107">
        <v>134.24</v>
      </c>
      <c r="AN560" s="107">
        <v>171.9</v>
      </c>
      <c r="AO560" s="107">
        <v>252.18</v>
      </c>
      <c r="AP560" s="107">
        <v>348.15</v>
      </c>
      <c r="AQ560" s="107">
        <v>178.12</v>
      </c>
      <c r="AR560" s="107">
        <v>240.37</v>
      </c>
      <c r="AS560" s="107">
        <v>302.39999999999998</v>
      </c>
      <c r="AT560" s="107">
        <v>140</v>
      </c>
      <c r="AU560" s="107">
        <v>185</v>
      </c>
      <c r="AV560" s="107">
        <v>217</v>
      </c>
    </row>
    <row r="561" spans="1:48" ht="30" customHeight="1" outlineLevel="2">
      <c r="A561" s="116" t="s">
        <v>1335</v>
      </c>
      <c r="B561" s="117" t="s">
        <v>1336</v>
      </c>
      <c r="C561" s="134" t="s">
        <v>242</v>
      </c>
      <c r="E561" s="105">
        <f t="shared" si="273"/>
        <v>115.98400000000001</v>
      </c>
      <c r="F561" s="105">
        <f t="shared" si="274"/>
        <v>214.42740000000003</v>
      </c>
      <c r="G561" s="105">
        <f t="shared" si="275"/>
        <v>295.08600000000001</v>
      </c>
      <c r="H561" s="106"/>
      <c r="I561" s="105">
        <f t="shared" si="276"/>
        <v>229.119</v>
      </c>
      <c r="J561" s="105">
        <f t="shared" si="277"/>
        <v>372.33680000000004</v>
      </c>
      <c r="K561" s="105">
        <f t="shared" si="278"/>
        <v>496.25400000000002</v>
      </c>
      <c r="N561" s="107">
        <f t="shared" si="246"/>
        <v>115.98400000000001</v>
      </c>
      <c r="O561" s="107">
        <f t="shared" si="247"/>
        <v>160.90800000000002</v>
      </c>
      <c r="P561" s="107">
        <f t="shared" si="248"/>
        <v>229.119</v>
      </c>
      <c r="R561" s="107">
        <f t="shared" si="249"/>
        <v>227.51300000000003</v>
      </c>
      <c r="S561" s="107">
        <f t="shared" si="250"/>
        <v>266.71700000000004</v>
      </c>
      <c r="T561" s="107">
        <f t="shared" si="251"/>
        <v>313.81900000000007</v>
      </c>
      <c r="V561" s="107">
        <f t="shared" si="252"/>
        <v>219.054</v>
      </c>
      <c r="W561" s="107">
        <f t="shared" si="253"/>
        <v>325.94100000000003</v>
      </c>
      <c r="X561" s="107">
        <f t="shared" si="254"/>
        <v>448.49200000000008</v>
      </c>
      <c r="Z561" s="107">
        <f t="shared" si="255"/>
        <v>295.08600000000001</v>
      </c>
      <c r="AA561" s="107">
        <f t="shared" si="256"/>
        <v>403.22700000000003</v>
      </c>
      <c r="AB561" s="107">
        <f t="shared" si="257"/>
        <v>496.25400000000002</v>
      </c>
      <c r="AD561" s="107">
        <f t="shared" si="258"/>
        <v>214.50000000000003</v>
      </c>
      <c r="AE561" s="107">
        <f t="shared" si="259"/>
        <v>310.20000000000005</v>
      </c>
      <c r="AF561" s="107">
        <f t="shared" si="260"/>
        <v>374.00000000000006</v>
      </c>
      <c r="AH561" s="107">
        <v>105.44</v>
      </c>
      <c r="AI561" s="107">
        <v>146.28</v>
      </c>
      <c r="AJ561" s="107">
        <v>208.29</v>
      </c>
      <c r="AK561" s="107">
        <v>206.83</v>
      </c>
      <c r="AL561" s="107">
        <v>242.47</v>
      </c>
      <c r="AM561" s="107">
        <v>285.29000000000002</v>
      </c>
      <c r="AN561" s="107">
        <v>199.14</v>
      </c>
      <c r="AO561" s="107">
        <v>296.31</v>
      </c>
      <c r="AP561" s="107">
        <v>407.72</v>
      </c>
      <c r="AQ561" s="107">
        <v>268.26</v>
      </c>
      <c r="AR561" s="107">
        <v>366.57</v>
      </c>
      <c r="AS561" s="107">
        <v>451.14</v>
      </c>
      <c r="AT561" s="107">
        <v>195</v>
      </c>
      <c r="AU561" s="107">
        <v>282</v>
      </c>
      <c r="AV561" s="107">
        <v>340</v>
      </c>
    </row>
    <row r="562" spans="1:48" ht="30" customHeight="1" outlineLevel="2">
      <c r="A562" s="116" t="s">
        <v>1337</v>
      </c>
      <c r="B562" s="117" t="s">
        <v>1338</v>
      </c>
      <c r="C562" s="134" t="s">
        <v>242</v>
      </c>
      <c r="E562" s="105">
        <f t="shared" si="273"/>
        <v>111.11100000000002</v>
      </c>
      <c r="F562" s="105">
        <f t="shared" si="274"/>
        <v>163.4314</v>
      </c>
      <c r="G562" s="105">
        <f t="shared" si="275"/>
        <v>236.50000000000003</v>
      </c>
      <c r="H562" s="106"/>
      <c r="I562" s="105">
        <f t="shared" si="276"/>
        <v>142.18600000000001</v>
      </c>
      <c r="J562" s="105">
        <f t="shared" si="277"/>
        <v>287.81939999999997</v>
      </c>
      <c r="K562" s="105">
        <f t="shared" si="278"/>
        <v>420.20000000000005</v>
      </c>
      <c r="N562" s="107">
        <f t="shared" si="246"/>
        <v>115.98400000000001</v>
      </c>
      <c r="O562" s="107">
        <f t="shared" si="247"/>
        <v>160.90800000000002</v>
      </c>
      <c r="P562" s="107">
        <f t="shared" si="248"/>
        <v>229.119</v>
      </c>
      <c r="R562" s="107">
        <f t="shared" si="249"/>
        <v>111.11100000000002</v>
      </c>
      <c r="S562" s="107">
        <f t="shared" si="250"/>
        <v>117.227</v>
      </c>
      <c r="T562" s="107">
        <f t="shared" si="251"/>
        <v>142.18600000000001</v>
      </c>
      <c r="V562" s="107">
        <f t="shared" si="252"/>
        <v>159.126</v>
      </c>
      <c r="W562" s="107">
        <f t="shared" si="253"/>
        <v>228.85500000000002</v>
      </c>
      <c r="X562" s="107">
        <f t="shared" si="254"/>
        <v>317.42700000000002</v>
      </c>
      <c r="Z562" s="107">
        <f t="shared" si="255"/>
        <v>194.43600000000001</v>
      </c>
      <c r="AA562" s="107">
        <f t="shared" si="256"/>
        <v>262.30600000000004</v>
      </c>
      <c r="AB562" s="107">
        <f t="shared" si="257"/>
        <v>330.16500000000002</v>
      </c>
      <c r="AD562" s="107">
        <f t="shared" si="258"/>
        <v>236.50000000000003</v>
      </c>
      <c r="AE562" s="107">
        <f t="shared" si="259"/>
        <v>347.6</v>
      </c>
      <c r="AF562" s="107">
        <f t="shared" si="260"/>
        <v>420.20000000000005</v>
      </c>
      <c r="AH562" s="107">
        <v>105.44</v>
      </c>
      <c r="AI562" s="107">
        <v>146.28</v>
      </c>
      <c r="AJ562" s="107">
        <v>208.29</v>
      </c>
      <c r="AK562" s="107">
        <v>101.01</v>
      </c>
      <c r="AL562" s="107">
        <v>106.57</v>
      </c>
      <c r="AM562" s="107">
        <v>129.26</v>
      </c>
      <c r="AN562" s="107">
        <v>144.66</v>
      </c>
      <c r="AO562" s="107">
        <v>208.05</v>
      </c>
      <c r="AP562" s="107">
        <v>288.57</v>
      </c>
      <c r="AQ562" s="107">
        <v>176.76</v>
      </c>
      <c r="AR562" s="107">
        <v>238.46</v>
      </c>
      <c r="AS562" s="107">
        <v>300.14999999999998</v>
      </c>
      <c r="AT562" s="107">
        <v>215</v>
      </c>
      <c r="AU562" s="107">
        <v>316</v>
      </c>
      <c r="AV562" s="107">
        <v>382</v>
      </c>
    </row>
    <row r="563" spans="1:48" ht="30" customHeight="1" outlineLevel="1">
      <c r="A563" s="132" t="s">
        <v>1339</v>
      </c>
      <c r="B563" s="133" t="s">
        <v>1340</v>
      </c>
      <c r="C563" s="101"/>
      <c r="N563" s="11" t="str">
        <f t="shared" si="246"/>
        <v/>
      </c>
      <c r="O563" s="11" t="str">
        <f t="shared" si="247"/>
        <v/>
      </c>
      <c r="P563" s="11" t="str">
        <f t="shared" si="248"/>
        <v/>
      </c>
      <c r="R563" s="11" t="str">
        <f t="shared" si="249"/>
        <v/>
      </c>
      <c r="S563" s="11" t="str">
        <f t="shared" si="250"/>
        <v/>
      </c>
      <c r="T563" s="11" t="str">
        <f t="shared" si="251"/>
        <v/>
      </c>
      <c r="V563" s="11" t="str">
        <f t="shared" si="252"/>
        <v/>
      </c>
      <c r="W563" s="11" t="str">
        <f t="shared" si="253"/>
        <v/>
      </c>
      <c r="X563" s="11" t="str">
        <f t="shared" si="254"/>
        <v/>
      </c>
      <c r="Z563" s="11" t="str">
        <f t="shared" si="255"/>
        <v/>
      </c>
      <c r="AA563" s="11" t="str">
        <f t="shared" si="256"/>
        <v/>
      </c>
      <c r="AB563" s="11" t="str">
        <f t="shared" si="257"/>
        <v/>
      </c>
      <c r="AD563" s="11" t="str">
        <f t="shared" si="258"/>
        <v/>
      </c>
      <c r="AE563" s="11" t="str">
        <f t="shared" si="259"/>
        <v/>
      </c>
      <c r="AF563" s="11" t="str">
        <f t="shared" si="260"/>
        <v/>
      </c>
    </row>
    <row r="564" spans="1:48" ht="30" customHeight="1" outlineLevel="2">
      <c r="A564" s="116" t="s">
        <v>1341</v>
      </c>
      <c r="B564" s="117" t="s">
        <v>1342</v>
      </c>
      <c r="C564" s="134" t="s">
        <v>242</v>
      </c>
      <c r="E564" s="105">
        <f>MIN(N564,R564,V564,Z564,AD564)</f>
        <v>100.617</v>
      </c>
      <c r="F564" s="105">
        <f>AVERAGE(N564,R564,V564,Z564,AD564)</f>
        <v>206.50300000000001</v>
      </c>
      <c r="G564" s="105">
        <f>MAX(N564,R564,V564,Z564,AD564)</f>
        <v>370.32600000000008</v>
      </c>
      <c r="H564" s="106"/>
      <c r="I564" s="105">
        <f>MIN(T564,X564,AB564,AF564,P564)</f>
        <v>200.56300000000002</v>
      </c>
      <c r="J564" s="105">
        <f>AVERAGE(P564,T564,X564,AB564,AF564)</f>
        <v>345.34939999999995</v>
      </c>
      <c r="K564" s="105">
        <f>MAX(P564,T564,X564,AB564,AF564)</f>
        <v>515.38300000000004</v>
      </c>
      <c r="N564" s="107">
        <f t="shared" si="246"/>
        <v>100.617</v>
      </c>
      <c r="O564" s="107">
        <f t="shared" si="247"/>
        <v>140.06300000000002</v>
      </c>
      <c r="P564" s="107">
        <f t="shared" si="248"/>
        <v>200.56300000000002</v>
      </c>
      <c r="R564" s="107">
        <f t="shared" si="249"/>
        <v>370.32600000000008</v>
      </c>
      <c r="S564" s="107">
        <f t="shared" si="250"/>
        <v>444.64200000000005</v>
      </c>
      <c r="T564" s="107">
        <f t="shared" si="251"/>
        <v>515.38300000000004</v>
      </c>
      <c r="V564" s="107">
        <f t="shared" si="252"/>
        <v>129.16200000000001</v>
      </c>
      <c r="W564" s="107">
        <f t="shared" si="253"/>
        <v>180.31200000000001</v>
      </c>
      <c r="X564" s="107">
        <f t="shared" si="254"/>
        <v>251.90000000000003</v>
      </c>
      <c r="Z564" s="107">
        <f t="shared" si="255"/>
        <v>203.61</v>
      </c>
      <c r="AA564" s="107">
        <f t="shared" si="256"/>
        <v>275.154</v>
      </c>
      <c r="AB564" s="107">
        <f t="shared" si="257"/>
        <v>345.30100000000004</v>
      </c>
      <c r="AD564" s="107">
        <f t="shared" si="258"/>
        <v>228.8</v>
      </c>
      <c r="AE564" s="107">
        <f t="shared" si="259"/>
        <v>339.90000000000003</v>
      </c>
      <c r="AF564" s="107">
        <f t="shared" si="260"/>
        <v>413.6</v>
      </c>
      <c r="AH564" s="107">
        <v>91.47</v>
      </c>
      <c r="AI564" s="107">
        <v>127.33000000000001</v>
      </c>
      <c r="AJ564" s="107">
        <v>182.33</v>
      </c>
      <c r="AK564" s="107">
        <v>336.66</v>
      </c>
      <c r="AL564" s="107">
        <v>404.22</v>
      </c>
      <c r="AM564" s="107">
        <v>468.53</v>
      </c>
      <c r="AN564" s="107">
        <v>117.42</v>
      </c>
      <c r="AO564" s="107">
        <v>163.92</v>
      </c>
      <c r="AP564" s="107">
        <v>229</v>
      </c>
      <c r="AQ564" s="107">
        <v>185.1</v>
      </c>
      <c r="AR564" s="107">
        <v>250.14</v>
      </c>
      <c r="AS564" s="107">
        <v>313.91000000000003</v>
      </c>
      <c r="AT564" s="107">
        <v>208</v>
      </c>
      <c r="AU564" s="107">
        <v>309</v>
      </c>
      <c r="AV564" s="107">
        <v>376</v>
      </c>
    </row>
    <row r="565" spans="1:48" ht="30" customHeight="1" outlineLevel="2">
      <c r="A565" s="116" t="s">
        <v>1343</v>
      </c>
      <c r="B565" s="117" t="s">
        <v>1344</v>
      </c>
      <c r="C565" s="134" t="s">
        <v>242</v>
      </c>
      <c r="E565" s="105">
        <f>MIN(N565,R565,V565,Z565,AD565)</f>
        <v>100.617</v>
      </c>
      <c r="F565" s="105">
        <f>AVERAGE(N565,R565,V565,Z565,AD565)</f>
        <v>240.44459999999998</v>
      </c>
      <c r="G565" s="105">
        <f>MAX(N565,R565,V565,Z565,AD565)</f>
        <v>306.14100000000002</v>
      </c>
      <c r="H565" s="106"/>
      <c r="I565" s="105">
        <f>MIN(T565,X565,AB565,AF565,P565)</f>
        <v>200.56300000000002</v>
      </c>
      <c r="J565" s="105">
        <f>AVERAGE(P565,T565,X565,AB565,AF565)</f>
        <v>414.02679999999998</v>
      </c>
      <c r="K565" s="105">
        <f>MAX(P565,T565,X565,AB565,AF565)</f>
        <v>529.7600000000001</v>
      </c>
      <c r="N565" s="107">
        <f t="shared" si="246"/>
        <v>100.617</v>
      </c>
      <c r="O565" s="107">
        <f t="shared" si="247"/>
        <v>140.06300000000002</v>
      </c>
      <c r="P565" s="107">
        <f t="shared" si="248"/>
        <v>200.56300000000002</v>
      </c>
      <c r="R565" s="107">
        <f t="shared" si="249"/>
        <v>279.642</v>
      </c>
      <c r="S565" s="107">
        <f t="shared" si="250"/>
        <v>313.35700000000003</v>
      </c>
      <c r="T565" s="107">
        <f t="shared" si="251"/>
        <v>356.73</v>
      </c>
      <c r="V565" s="107">
        <f t="shared" si="252"/>
        <v>256.22300000000001</v>
      </c>
      <c r="W565" s="107">
        <f t="shared" si="253"/>
        <v>386.14400000000006</v>
      </c>
      <c r="X565" s="107">
        <f t="shared" si="254"/>
        <v>529.7600000000001</v>
      </c>
      <c r="Z565" s="107">
        <f t="shared" si="255"/>
        <v>306.14100000000002</v>
      </c>
      <c r="AA565" s="107">
        <f t="shared" si="256"/>
        <v>418.70400000000001</v>
      </c>
      <c r="AB565" s="107">
        <f t="shared" si="257"/>
        <v>514.48099999999999</v>
      </c>
      <c r="AD565" s="107">
        <f t="shared" si="258"/>
        <v>259.60000000000002</v>
      </c>
      <c r="AE565" s="107">
        <f t="shared" si="259"/>
        <v>386.1</v>
      </c>
      <c r="AF565" s="107">
        <f t="shared" si="260"/>
        <v>468.6</v>
      </c>
      <c r="AH565" s="107">
        <v>91.47</v>
      </c>
      <c r="AI565" s="107">
        <v>127.33000000000001</v>
      </c>
      <c r="AJ565" s="107">
        <v>182.33</v>
      </c>
      <c r="AK565" s="107">
        <v>254.22</v>
      </c>
      <c r="AL565" s="107">
        <v>284.87</v>
      </c>
      <c r="AM565" s="107">
        <v>324.3</v>
      </c>
      <c r="AN565" s="107">
        <v>232.93</v>
      </c>
      <c r="AO565" s="107">
        <v>351.04</v>
      </c>
      <c r="AP565" s="107">
        <v>481.6</v>
      </c>
      <c r="AQ565" s="107">
        <v>278.31</v>
      </c>
      <c r="AR565" s="107">
        <v>380.64</v>
      </c>
      <c r="AS565" s="107">
        <v>467.71</v>
      </c>
      <c r="AT565" s="107">
        <v>236</v>
      </c>
      <c r="AU565" s="107">
        <v>351</v>
      </c>
      <c r="AV565" s="107">
        <v>426</v>
      </c>
    </row>
    <row r="566" spans="1:48" ht="30" customHeight="1" outlineLevel="2">
      <c r="A566" s="116" t="s">
        <v>1345</v>
      </c>
      <c r="B566" s="117" t="s">
        <v>1346</v>
      </c>
      <c r="C566" s="134" t="s">
        <v>242</v>
      </c>
      <c r="E566" s="105">
        <f>MIN(N566,R566,V566,Z566,AD566)</f>
        <v>99.198000000000022</v>
      </c>
      <c r="F566" s="105">
        <f>AVERAGE(N566,R566,V566,Z566,AD566)</f>
        <v>133.59060000000002</v>
      </c>
      <c r="G566" s="105">
        <f>MAX(N566,R566,V566,Z566,AD566)</f>
        <v>171.24800000000002</v>
      </c>
      <c r="H566" s="106"/>
      <c r="I566" s="105">
        <f>MIN(T566,X566,AB566,AF566,P566)</f>
        <v>186.36199999999999</v>
      </c>
      <c r="J566" s="105">
        <f>AVERAGE(P566,T566,X566,AB566,AF566)</f>
        <v>220.65780000000001</v>
      </c>
      <c r="K566" s="105">
        <f>MAX(P566,T566,X566,AB566,AF566)</f>
        <v>267.92700000000002</v>
      </c>
      <c r="N566" s="107">
        <f t="shared" si="246"/>
        <v>104.39000000000001</v>
      </c>
      <c r="O566" s="107">
        <f t="shared" si="247"/>
        <v>138.358</v>
      </c>
      <c r="P566" s="107">
        <f t="shared" si="248"/>
        <v>191.15800000000002</v>
      </c>
      <c r="R566" s="107">
        <f t="shared" si="249"/>
        <v>171.24800000000002</v>
      </c>
      <c r="S566" s="107">
        <f t="shared" si="250"/>
        <v>182.79800000000003</v>
      </c>
      <c r="T566" s="107">
        <f t="shared" si="251"/>
        <v>211.44200000000001</v>
      </c>
      <c r="V566" s="107">
        <f t="shared" si="252"/>
        <v>99.198000000000022</v>
      </c>
      <c r="W566" s="107">
        <f t="shared" si="253"/>
        <v>131.76900000000001</v>
      </c>
      <c r="X566" s="107">
        <f t="shared" si="254"/>
        <v>186.36199999999999</v>
      </c>
      <c r="Z566" s="107">
        <f t="shared" si="255"/>
        <v>156.71700000000001</v>
      </c>
      <c r="AA566" s="107">
        <f t="shared" si="256"/>
        <v>209.50600000000003</v>
      </c>
      <c r="AB566" s="107">
        <f t="shared" si="257"/>
        <v>267.92700000000002</v>
      </c>
      <c r="AD566" s="107">
        <f t="shared" si="258"/>
        <v>136.4</v>
      </c>
      <c r="AE566" s="107">
        <f t="shared" si="259"/>
        <v>201.3</v>
      </c>
      <c r="AF566" s="107">
        <f t="shared" si="260"/>
        <v>246.40000000000003</v>
      </c>
      <c r="AH566" s="107">
        <v>94.9</v>
      </c>
      <c r="AI566" s="107">
        <v>125.78</v>
      </c>
      <c r="AJ566" s="107">
        <v>173.78</v>
      </c>
      <c r="AK566" s="107">
        <v>155.68</v>
      </c>
      <c r="AL566" s="107">
        <v>166.18</v>
      </c>
      <c r="AM566" s="107">
        <v>192.22</v>
      </c>
      <c r="AN566" s="107">
        <v>90.18</v>
      </c>
      <c r="AO566" s="107">
        <v>119.79</v>
      </c>
      <c r="AP566" s="107">
        <v>169.42</v>
      </c>
      <c r="AQ566" s="107">
        <v>142.47</v>
      </c>
      <c r="AR566" s="107">
        <v>190.46</v>
      </c>
      <c r="AS566" s="107">
        <v>243.57</v>
      </c>
      <c r="AT566" s="107">
        <v>124</v>
      </c>
      <c r="AU566" s="107">
        <v>183</v>
      </c>
      <c r="AV566" s="107">
        <v>224</v>
      </c>
    </row>
    <row r="567" spans="1:48" ht="30" customHeight="1" outlineLevel="2" thickBot="1">
      <c r="A567" s="116" t="s">
        <v>1347</v>
      </c>
      <c r="B567" s="117" t="s">
        <v>1348</v>
      </c>
      <c r="C567" s="134" t="s">
        <v>242</v>
      </c>
      <c r="E567" s="105">
        <f>MIN(N567,R567,V567,Z567,AD567)</f>
        <v>76.834999999999994</v>
      </c>
      <c r="F567" s="105">
        <f>AVERAGE(N567,R567,V567,Z567,AD567)</f>
        <v>148.8278</v>
      </c>
      <c r="G567" s="105">
        <f>MAX(N567,R567,V567,Z567,AD567)</f>
        <v>208.24100000000001</v>
      </c>
      <c r="H567" s="106"/>
      <c r="I567" s="105">
        <f>MIN(T567,X567,AB567,AF567,P567)</f>
        <v>137.25800000000001</v>
      </c>
      <c r="J567" s="105">
        <f>AVERAGE(P567,T567,X567,AB567,AF567)</f>
        <v>247.22499999999999</v>
      </c>
      <c r="K567" s="105">
        <f>MAX(P567,T567,X567,AB567,AF567)</f>
        <v>357.50000000000006</v>
      </c>
      <c r="N567" s="107">
        <f t="shared" si="246"/>
        <v>76.834999999999994</v>
      </c>
      <c r="O567" s="107">
        <f t="shared" si="247"/>
        <v>99.847000000000008</v>
      </c>
      <c r="P567" s="107">
        <f t="shared" si="248"/>
        <v>137.25800000000001</v>
      </c>
      <c r="R567" s="107">
        <f t="shared" si="249"/>
        <v>161.86500000000001</v>
      </c>
      <c r="S567" s="107">
        <f t="shared" si="250"/>
        <v>173.41500000000002</v>
      </c>
      <c r="T567" s="107">
        <f t="shared" si="251"/>
        <v>202.05900000000003</v>
      </c>
      <c r="V567" s="107">
        <f t="shared" si="252"/>
        <v>99.198000000000022</v>
      </c>
      <c r="W567" s="107">
        <f t="shared" si="253"/>
        <v>131.76900000000001</v>
      </c>
      <c r="X567" s="107">
        <f t="shared" si="254"/>
        <v>186.36199999999999</v>
      </c>
      <c r="Z567" s="107">
        <f t="shared" si="255"/>
        <v>208.24100000000001</v>
      </c>
      <c r="AA567" s="107">
        <f t="shared" si="256"/>
        <v>281.63299999999998</v>
      </c>
      <c r="AB567" s="107">
        <f t="shared" si="257"/>
        <v>352.94600000000003</v>
      </c>
      <c r="AD567" s="107">
        <f t="shared" si="258"/>
        <v>198.00000000000003</v>
      </c>
      <c r="AE567" s="107">
        <f t="shared" si="259"/>
        <v>293.70000000000005</v>
      </c>
      <c r="AF567" s="107">
        <f t="shared" si="260"/>
        <v>357.50000000000006</v>
      </c>
      <c r="AH567" s="107">
        <v>69.849999999999994</v>
      </c>
      <c r="AI567" s="107">
        <v>90.77</v>
      </c>
      <c r="AJ567" s="107">
        <v>124.78</v>
      </c>
      <c r="AK567" s="107">
        <v>147.15</v>
      </c>
      <c r="AL567" s="107">
        <v>157.65</v>
      </c>
      <c r="AM567" s="107">
        <v>183.69</v>
      </c>
      <c r="AN567" s="107">
        <v>90.18</v>
      </c>
      <c r="AO567" s="107">
        <v>119.79</v>
      </c>
      <c r="AP567" s="107">
        <v>169.42</v>
      </c>
      <c r="AQ567" s="107">
        <v>189.31</v>
      </c>
      <c r="AR567" s="107">
        <v>256.02999999999997</v>
      </c>
      <c r="AS567" s="107">
        <v>320.86</v>
      </c>
      <c r="AT567" s="107">
        <v>180</v>
      </c>
      <c r="AU567" s="107">
        <v>267</v>
      </c>
      <c r="AV567" s="107">
        <v>325</v>
      </c>
    </row>
    <row r="568" spans="1:48" ht="30" customHeight="1" thickBot="1">
      <c r="A568" s="96" t="s">
        <v>1349</v>
      </c>
      <c r="B568" s="115" t="s">
        <v>1350</v>
      </c>
      <c r="C568" s="98"/>
      <c r="N568" s="11" t="str">
        <f t="shared" si="246"/>
        <v/>
      </c>
      <c r="O568" s="11" t="str">
        <f t="shared" si="247"/>
        <v/>
      </c>
      <c r="P568" s="11" t="str">
        <f t="shared" si="248"/>
        <v/>
      </c>
      <c r="R568" s="11" t="str">
        <f t="shared" si="249"/>
        <v/>
      </c>
      <c r="S568" s="11" t="str">
        <f t="shared" si="250"/>
        <v/>
      </c>
      <c r="T568" s="11" t="str">
        <f t="shared" si="251"/>
        <v/>
      </c>
      <c r="V568" s="11" t="str">
        <f t="shared" si="252"/>
        <v/>
      </c>
      <c r="W568" s="11" t="str">
        <f t="shared" si="253"/>
        <v/>
      </c>
      <c r="X568" s="11" t="str">
        <f t="shared" si="254"/>
        <v/>
      </c>
      <c r="Z568" s="11" t="str">
        <f t="shared" si="255"/>
        <v/>
      </c>
      <c r="AA568" s="11" t="str">
        <f t="shared" si="256"/>
        <v/>
      </c>
      <c r="AB568" s="11" t="str">
        <f t="shared" si="257"/>
        <v/>
      </c>
      <c r="AD568" s="11" t="str">
        <f t="shared" si="258"/>
        <v/>
      </c>
      <c r="AE568" s="11" t="str">
        <f t="shared" si="259"/>
        <v/>
      </c>
      <c r="AF568" s="11" t="str">
        <f t="shared" si="260"/>
        <v/>
      </c>
    </row>
    <row r="569" spans="1:48" ht="30" customHeight="1" outlineLevel="1">
      <c r="A569" s="132" t="s">
        <v>1351</v>
      </c>
      <c r="B569" s="133" t="s">
        <v>1314</v>
      </c>
      <c r="C569" s="101"/>
      <c r="N569" s="11" t="str">
        <f t="shared" si="246"/>
        <v/>
      </c>
      <c r="O569" s="11" t="str">
        <f t="shared" si="247"/>
        <v/>
      </c>
      <c r="P569" s="11" t="str">
        <f t="shared" si="248"/>
        <v/>
      </c>
      <c r="R569" s="11" t="str">
        <f t="shared" si="249"/>
        <v/>
      </c>
      <c r="S569" s="11" t="str">
        <f t="shared" si="250"/>
        <v/>
      </c>
      <c r="T569" s="11" t="str">
        <f t="shared" si="251"/>
        <v/>
      </c>
      <c r="V569" s="11" t="str">
        <f t="shared" si="252"/>
        <v/>
      </c>
      <c r="W569" s="11" t="str">
        <f t="shared" si="253"/>
        <v/>
      </c>
      <c r="X569" s="11" t="str">
        <f t="shared" si="254"/>
        <v/>
      </c>
      <c r="Z569" s="11" t="str">
        <f t="shared" si="255"/>
        <v/>
      </c>
      <c r="AA569" s="11" t="str">
        <f t="shared" si="256"/>
        <v/>
      </c>
      <c r="AB569" s="11" t="str">
        <f t="shared" si="257"/>
        <v/>
      </c>
      <c r="AD569" s="11" t="str">
        <f t="shared" si="258"/>
        <v/>
      </c>
      <c r="AE569" s="11" t="str">
        <f t="shared" si="259"/>
        <v/>
      </c>
      <c r="AF569" s="11" t="str">
        <f t="shared" si="260"/>
        <v/>
      </c>
    </row>
    <row r="570" spans="1:48" ht="30" customHeight="1" outlineLevel="2">
      <c r="A570" s="116" t="s">
        <v>1352</v>
      </c>
      <c r="B570" s="117" t="s">
        <v>1353</v>
      </c>
      <c r="C570" s="134" t="s">
        <v>242</v>
      </c>
      <c r="E570" s="105">
        <f>MIN(N570,R570,V570,Z570,AD570)</f>
        <v>1294.7</v>
      </c>
      <c r="F570" s="105">
        <f>AVERAGE(N570,R570,V570,Z570,AD570)</f>
        <v>1493.1928000000003</v>
      </c>
      <c r="G570" s="105">
        <f>MAX(N570,R570,V570,Z570,AD570)</f>
        <v>1725.922</v>
      </c>
      <c r="H570" s="106"/>
      <c r="I570" s="105">
        <f>MIN(T570,X570,AB570,AF570,P570)</f>
        <v>2297.9</v>
      </c>
      <c r="J570" s="105">
        <f>AVERAGE(P570,T570,X570,AB570,AF570)</f>
        <v>2655.4836</v>
      </c>
      <c r="K570" s="105">
        <f>MAX(P570,T570,X570,AB570,AF570)</f>
        <v>3212.2420000000002</v>
      </c>
      <c r="N570" s="107">
        <f t="shared" si="246"/>
        <v>1541.98</v>
      </c>
      <c r="O570" s="107">
        <f t="shared" si="247"/>
        <v>2112.7810000000004</v>
      </c>
      <c r="P570" s="107">
        <f t="shared" si="248"/>
        <v>2920.2690000000002</v>
      </c>
      <c r="R570" s="107">
        <f t="shared" si="249"/>
        <v>1725.922</v>
      </c>
      <c r="S570" s="107">
        <f t="shared" si="250"/>
        <v>2173.721</v>
      </c>
      <c r="T570" s="107">
        <f t="shared" si="251"/>
        <v>2493.6889999999999</v>
      </c>
      <c r="V570" s="107">
        <f t="shared" si="252"/>
        <v>1482.7780000000002</v>
      </c>
      <c r="W570" s="107">
        <f t="shared" si="253"/>
        <v>2373.1620000000003</v>
      </c>
      <c r="X570" s="107">
        <f t="shared" si="254"/>
        <v>3212.2420000000002</v>
      </c>
      <c r="Z570" s="107">
        <f t="shared" si="255"/>
        <v>1420.5840000000003</v>
      </c>
      <c r="AA570" s="107">
        <f t="shared" si="256"/>
        <v>1978.9220000000003</v>
      </c>
      <c r="AB570" s="107">
        <f t="shared" si="257"/>
        <v>2353.3180000000002</v>
      </c>
      <c r="AD570" s="107">
        <f t="shared" si="258"/>
        <v>1294.7</v>
      </c>
      <c r="AE570" s="107">
        <f t="shared" si="259"/>
        <v>1918.4</v>
      </c>
      <c r="AF570" s="107">
        <f t="shared" si="260"/>
        <v>2297.9</v>
      </c>
      <c r="AH570" s="107">
        <v>1401.8</v>
      </c>
      <c r="AI570" s="107">
        <v>1920.71</v>
      </c>
      <c r="AJ570" s="107">
        <v>2654.79</v>
      </c>
      <c r="AK570" s="107">
        <v>1569.02</v>
      </c>
      <c r="AL570" s="107">
        <v>1976.11</v>
      </c>
      <c r="AM570" s="107">
        <v>2266.9899999999998</v>
      </c>
      <c r="AN570" s="107">
        <v>1347.98</v>
      </c>
      <c r="AO570" s="107">
        <v>2157.42</v>
      </c>
      <c r="AP570" s="107">
        <v>2920.22</v>
      </c>
      <c r="AQ570" s="107">
        <v>1291.44</v>
      </c>
      <c r="AR570" s="107">
        <v>1799.02</v>
      </c>
      <c r="AS570" s="107">
        <v>2139.38</v>
      </c>
      <c r="AT570" s="107">
        <v>1177</v>
      </c>
      <c r="AU570" s="107">
        <v>1744</v>
      </c>
      <c r="AV570" s="107">
        <v>2089</v>
      </c>
    </row>
    <row r="571" spans="1:48" ht="30" customHeight="1" outlineLevel="2">
      <c r="A571" s="116" t="s">
        <v>1354</v>
      </c>
      <c r="B571" s="117" t="s">
        <v>1355</v>
      </c>
      <c r="C571" s="134" t="s">
        <v>242</v>
      </c>
      <c r="E571" s="105">
        <f>MIN(N571,R571,V571,Z571,AD571)</f>
        <v>154</v>
      </c>
      <c r="F571" s="105">
        <f>AVERAGE(N571,R571,V571,Z571,AD571)</f>
        <v>367.02159999999998</v>
      </c>
      <c r="G571" s="105">
        <f>MAX(N571,R571,V571,Z571,AD571)</f>
        <v>505.92300000000006</v>
      </c>
      <c r="H571" s="106"/>
      <c r="I571" s="105">
        <f>MIN(T571,X571,AB571,AF571,P571)</f>
        <v>265.10000000000002</v>
      </c>
      <c r="J571" s="105">
        <f>AVERAGE(P571,T571,X571,AB571,AF571)</f>
        <v>660.97900000000004</v>
      </c>
      <c r="K571" s="105">
        <f>MAX(P571,T571,X571,AB571,AF571)</f>
        <v>1075.855</v>
      </c>
      <c r="N571" s="107">
        <f t="shared" si="246"/>
        <v>403.78800000000001</v>
      </c>
      <c r="O571" s="107">
        <f t="shared" si="247"/>
        <v>547.31600000000003</v>
      </c>
      <c r="P571" s="107">
        <f t="shared" si="248"/>
        <v>754.13800000000015</v>
      </c>
      <c r="R571" s="107">
        <f t="shared" si="249"/>
        <v>320.39699999999999</v>
      </c>
      <c r="S571" s="107">
        <f t="shared" si="250"/>
        <v>389.21300000000002</v>
      </c>
      <c r="T571" s="107">
        <f t="shared" si="251"/>
        <v>456.30200000000002</v>
      </c>
      <c r="V571" s="107">
        <f t="shared" si="252"/>
        <v>505.92300000000006</v>
      </c>
      <c r="W571" s="107">
        <f t="shared" si="253"/>
        <v>790.65800000000002</v>
      </c>
      <c r="X571" s="107">
        <f t="shared" si="254"/>
        <v>1075.855</v>
      </c>
      <c r="Z571" s="107">
        <f t="shared" si="255"/>
        <v>451.00000000000006</v>
      </c>
      <c r="AA571" s="107">
        <f t="shared" si="256"/>
        <v>621.5</v>
      </c>
      <c r="AB571" s="107">
        <f t="shared" si="257"/>
        <v>753.50000000000011</v>
      </c>
      <c r="AD571" s="107">
        <f t="shared" si="258"/>
        <v>154</v>
      </c>
      <c r="AE571" s="107">
        <f t="shared" si="259"/>
        <v>218.9</v>
      </c>
      <c r="AF571" s="107">
        <f t="shared" si="260"/>
        <v>265.10000000000002</v>
      </c>
      <c r="AH571" s="107">
        <v>367.08</v>
      </c>
      <c r="AI571" s="107">
        <v>497.56</v>
      </c>
      <c r="AJ571" s="107">
        <v>685.58</v>
      </c>
      <c r="AK571" s="107">
        <v>291.27</v>
      </c>
      <c r="AL571" s="107">
        <v>353.83</v>
      </c>
      <c r="AM571" s="107">
        <v>414.82</v>
      </c>
      <c r="AN571" s="107">
        <v>459.93</v>
      </c>
      <c r="AO571" s="107">
        <v>718.78</v>
      </c>
      <c r="AP571" s="107">
        <v>978.05</v>
      </c>
      <c r="AQ571" s="107">
        <v>410</v>
      </c>
      <c r="AR571" s="107">
        <v>565</v>
      </c>
      <c r="AS571" s="107">
        <v>685</v>
      </c>
      <c r="AT571" s="107">
        <v>140</v>
      </c>
      <c r="AU571" s="107">
        <v>199</v>
      </c>
      <c r="AV571" s="107">
        <v>241</v>
      </c>
    </row>
    <row r="572" spans="1:48" ht="30" customHeight="1" outlineLevel="2">
      <c r="A572" s="116" t="s">
        <v>1356</v>
      </c>
      <c r="B572" s="117" t="s">
        <v>1357</v>
      </c>
      <c r="C572" s="134" t="s">
        <v>242</v>
      </c>
      <c r="E572" s="105">
        <f>MIN(N572,R572,V572,Z572,AD572)</f>
        <v>152.33900000000003</v>
      </c>
      <c r="F572" s="105">
        <f>AVERAGE(N572,R572,V572,Z572,AD572)</f>
        <v>331.08240000000006</v>
      </c>
      <c r="G572" s="105">
        <f>MAX(N572,R572,V572,Z572,AD572)</f>
        <v>600.98500000000013</v>
      </c>
      <c r="H572" s="106"/>
      <c r="I572" s="105">
        <f>MIN(T572,X572,AB572,AF572,P572)</f>
        <v>302.577</v>
      </c>
      <c r="J572" s="105">
        <f>AVERAGE(P572,T572,X572,AB572,AF572)</f>
        <v>584.93600000000004</v>
      </c>
      <c r="K572" s="105">
        <f>MAX(P572,T572,X572,AB572,AF572)</f>
        <v>1109.471</v>
      </c>
      <c r="N572" s="107">
        <f t="shared" si="246"/>
        <v>600.98500000000013</v>
      </c>
      <c r="O572" s="107">
        <f t="shared" si="247"/>
        <v>810.23800000000006</v>
      </c>
      <c r="P572" s="107">
        <f t="shared" si="248"/>
        <v>1109.471</v>
      </c>
      <c r="R572" s="107">
        <f t="shared" si="249"/>
        <v>223.26700000000002</v>
      </c>
      <c r="S572" s="107">
        <f t="shared" si="250"/>
        <v>264.649</v>
      </c>
      <c r="T572" s="107">
        <f t="shared" si="251"/>
        <v>313.32400000000001</v>
      </c>
      <c r="V572" s="107">
        <f t="shared" si="252"/>
        <v>152.33900000000003</v>
      </c>
      <c r="W572" s="107">
        <f t="shared" si="253"/>
        <v>217.85500000000002</v>
      </c>
      <c r="X572" s="107">
        <f t="shared" si="254"/>
        <v>302.577</v>
      </c>
      <c r="Z572" s="107">
        <f t="shared" si="255"/>
        <v>312.52100000000002</v>
      </c>
      <c r="AA572" s="107">
        <f t="shared" si="256"/>
        <v>427.63600000000002</v>
      </c>
      <c r="AB572" s="107">
        <f t="shared" si="257"/>
        <v>525.00800000000004</v>
      </c>
      <c r="AD572" s="107">
        <f t="shared" si="258"/>
        <v>366.3</v>
      </c>
      <c r="AE572" s="107">
        <f t="shared" si="259"/>
        <v>555.5</v>
      </c>
      <c r="AF572" s="107">
        <f t="shared" si="260"/>
        <v>674.30000000000007</v>
      </c>
      <c r="AH572" s="107">
        <v>546.35</v>
      </c>
      <c r="AI572" s="107">
        <v>736.58</v>
      </c>
      <c r="AJ572" s="107">
        <v>1008.61</v>
      </c>
      <c r="AK572" s="107">
        <v>202.97</v>
      </c>
      <c r="AL572" s="107">
        <v>240.59</v>
      </c>
      <c r="AM572" s="107">
        <v>284.83999999999997</v>
      </c>
      <c r="AN572" s="107">
        <v>138.49</v>
      </c>
      <c r="AO572" s="107">
        <v>198.05</v>
      </c>
      <c r="AP572" s="107">
        <v>275.07</v>
      </c>
      <c r="AQ572" s="107">
        <v>284.11</v>
      </c>
      <c r="AR572" s="107">
        <v>388.76</v>
      </c>
      <c r="AS572" s="107">
        <v>477.28</v>
      </c>
      <c r="AT572" s="107">
        <v>333</v>
      </c>
      <c r="AU572" s="107">
        <v>505</v>
      </c>
      <c r="AV572" s="107">
        <v>613</v>
      </c>
    </row>
    <row r="573" spans="1:48" ht="30" customHeight="1" outlineLevel="2">
      <c r="A573" s="116" t="s">
        <v>1358</v>
      </c>
      <c r="B573" s="117" t="s">
        <v>1359</v>
      </c>
      <c r="C573" s="134" t="s">
        <v>242</v>
      </c>
      <c r="E573" s="105">
        <f>MIN(N573,R573,V573,Z573,AD573)</f>
        <v>811.173</v>
      </c>
      <c r="F573" s="105">
        <f>AVERAGE(N573,R573,V573,Z573,AD573)</f>
        <v>1090.7842000000001</v>
      </c>
      <c r="G573" s="105">
        <f>MAX(N573,R573,V573,Z573,AD573)</f>
        <v>1765.5000000000002</v>
      </c>
      <c r="H573" s="106"/>
      <c r="I573" s="105">
        <f>MIN(T573,X573,AB573,AF573,P573)</f>
        <v>1198.4170000000001</v>
      </c>
      <c r="J573" s="105">
        <f>AVERAGE(P573,T573,X573,AB573,AF573)</f>
        <v>1924.4258000000002</v>
      </c>
      <c r="K573" s="105">
        <f>MAX(P573,T573,X573,AB573,AF573)</f>
        <v>3193.3</v>
      </c>
      <c r="N573" s="107">
        <f t="shared" si="246"/>
        <v>1005.4990000000001</v>
      </c>
      <c r="O573" s="107">
        <f t="shared" si="247"/>
        <v>1401.0040000000001</v>
      </c>
      <c r="P573" s="107">
        <f t="shared" si="248"/>
        <v>1962.0700000000002</v>
      </c>
      <c r="R573" s="107">
        <f t="shared" si="249"/>
        <v>1060.18</v>
      </c>
      <c r="S573" s="107">
        <f t="shared" si="250"/>
        <v>1325.808</v>
      </c>
      <c r="T573" s="107">
        <f t="shared" si="251"/>
        <v>1524.0280000000002</v>
      </c>
      <c r="V573" s="107">
        <f t="shared" si="252"/>
        <v>811.56900000000007</v>
      </c>
      <c r="W573" s="107">
        <f t="shared" si="253"/>
        <v>1285.8120000000001</v>
      </c>
      <c r="X573" s="107">
        <f t="shared" si="254"/>
        <v>1744.3140000000001</v>
      </c>
      <c r="Z573" s="107">
        <f t="shared" si="255"/>
        <v>811.173</v>
      </c>
      <c r="AA573" s="107">
        <f t="shared" si="256"/>
        <v>1102.068</v>
      </c>
      <c r="AB573" s="107">
        <f t="shared" si="257"/>
        <v>1198.4170000000001</v>
      </c>
      <c r="AD573" s="107">
        <f t="shared" si="258"/>
        <v>1765.5000000000002</v>
      </c>
      <c r="AE573" s="107">
        <f t="shared" si="259"/>
        <v>2654.3</v>
      </c>
      <c r="AF573" s="107">
        <f t="shared" si="260"/>
        <v>3193.3</v>
      </c>
      <c r="AH573" s="107">
        <v>914.09</v>
      </c>
      <c r="AI573" s="107">
        <v>1273.6400000000001</v>
      </c>
      <c r="AJ573" s="107">
        <v>1783.7</v>
      </c>
      <c r="AK573" s="107">
        <v>963.8</v>
      </c>
      <c r="AL573" s="107">
        <v>1205.28</v>
      </c>
      <c r="AM573" s="107">
        <v>1385.48</v>
      </c>
      <c r="AN573" s="107">
        <v>737.79</v>
      </c>
      <c r="AO573" s="107">
        <v>1168.92</v>
      </c>
      <c r="AP573" s="107">
        <v>1585.74</v>
      </c>
      <c r="AQ573" s="107">
        <v>737.43</v>
      </c>
      <c r="AR573" s="107">
        <v>1001.88</v>
      </c>
      <c r="AS573" s="107">
        <v>1089.47</v>
      </c>
      <c r="AT573" s="107">
        <v>1605</v>
      </c>
      <c r="AU573" s="107">
        <v>2413</v>
      </c>
      <c r="AV573" s="107">
        <v>2903</v>
      </c>
    </row>
    <row r="574" spans="1:48" ht="30" customHeight="1" outlineLevel="2">
      <c r="A574" s="116" t="s">
        <v>1360</v>
      </c>
      <c r="B574" s="117" t="s">
        <v>1361</v>
      </c>
      <c r="C574" s="134" t="s">
        <v>242</v>
      </c>
      <c r="E574" s="105">
        <f>MIN(N574,R574,V574,Z574,AD574)</f>
        <v>501.65500000000003</v>
      </c>
      <c r="F574" s="105">
        <f>AVERAGE(N574,R574,V574,Z574,AD574)</f>
        <v>679.14880000000005</v>
      </c>
      <c r="G574" s="105">
        <f>MAX(N574,R574,V574,Z574,AD574)</f>
        <v>980.1</v>
      </c>
      <c r="H574" s="106"/>
      <c r="I574" s="105">
        <f>MIN(T574,X574,AB574,AF574,P574)</f>
        <v>747.89</v>
      </c>
      <c r="J574" s="105">
        <f>AVERAGE(P574,T574,X574,AB574,AF574)</f>
        <v>1226.8388</v>
      </c>
      <c r="K574" s="105">
        <f>MAX(P574,T574,X574,AB574,AF574)</f>
        <v>1778.7</v>
      </c>
      <c r="N574" s="107">
        <f t="shared" si="246"/>
        <v>501.65500000000003</v>
      </c>
      <c r="O574" s="107">
        <f t="shared" si="247"/>
        <v>699.96300000000008</v>
      </c>
      <c r="P574" s="107">
        <f t="shared" si="248"/>
        <v>983.79600000000005</v>
      </c>
      <c r="R574" s="107">
        <f t="shared" si="249"/>
        <v>506.66000000000008</v>
      </c>
      <c r="S574" s="107">
        <f t="shared" si="250"/>
        <v>638.52800000000002</v>
      </c>
      <c r="T574" s="107">
        <f t="shared" si="251"/>
        <v>747.89</v>
      </c>
      <c r="V574" s="107">
        <f t="shared" si="252"/>
        <v>601.4140000000001</v>
      </c>
      <c r="W574" s="107">
        <f t="shared" si="253"/>
        <v>945.351</v>
      </c>
      <c r="X574" s="107">
        <f t="shared" si="254"/>
        <v>1284.7010000000002</v>
      </c>
      <c r="Z574" s="107">
        <f t="shared" si="255"/>
        <v>805.91500000000008</v>
      </c>
      <c r="AA574" s="107">
        <f t="shared" si="256"/>
        <v>1118.3810000000001</v>
      </c>
      <c r="AB574" s="107">
        <f t="shared" si="257"/>
        <v>1339.107</v>
      </c>
      <c r="AD574" s="107">
        <f t="shared" si="258"/>
        <v>980.1</v>
      </c>
      <c r="AE574" s="107">
        <f t="shared" si="259"/>
        <v>1476.2</v>
      </c>
      <c r="AF574" s="107">
        <f t="shared" si="260"/>
        <v>1778.7</v>
      </c>
      <c r="AH574" s="107">
        <v>456.05</v>
      </c>
      <c r="AI574" s="107">
        <v>636.33000000000004</v>
      </c>
      <c r="AJ574" s="107">
        <v>894.36</v>
      </c>
      <c r="AK574" s="107">
        <v>460.6</v>
      </c>
      <c r="AL574" s="107">
        <v>580.48</v>
      </c>
      <c r="AM574" s="107">
        <v>679.9</v>
      </c>
      <c r="AN574" s="107">
        <v>546.74</v>
      </c>
      <c r="AO574" s="107">
        <v>859.41</v>
      </c>
      <c r="AP574" s="107">
        <v>1167.9100000000001</v>
      </c>
      <c r="AQ574" s="107">
        <v>732.65</v>
      </c>
      <c r="AR574" s="107">
        <v>1016.71</v>
      </c>
      <c r="AS574" s="107">
        <v>1217.3699999999999</v>
      </c>
      <c r="AT574" s="107">
        <v>891</v>
      </c>
      <c r="AU574" s="107">
        <v>1342</v>
      </c>
      <c r="AV574" s="107">
        <v>1617</v>
      </c>
    </row>
    <row r="575" spans="1:48" ht="30" customHeight="1" outlineLevel="1">
      <c r="A575" s="132" t="s">
        <v>1360</v>
      </c>
      <c r="B575" s="133" t="s">
        <v>1362</v>
      </c>
      <c r="C575" s="101"/>
      <c r="N575" s="11" t="str">
        <f t="shared" si="246"/>
        <v/>
      </c>
      <c r="O575" s="11" t="str">
        <f t="shared" si="247"/>
        <v/>
      </c>
      <c r="P575" s="11" t="str">
        <f t="shared" si="248"/>
        <v/>
      </c>
      <c r="R575" s="11" t="str">
        <f t="shared" si="249"/>
        <v/>
      </c>
      <c r="S575" s="11" t="str">
        <f t="shared" si="250"/>
        <v/>
      </c>
      <c r="T575" s="11" t="str">
        <f t="shared" si="251"/>
        <v/>
      </c>
      <c r="V575" s="11" t="str">
        <f t="shared" si="252"/>
        <v/>
      </c>
      <c r="W575" s="11" t="str">
        <f t="shared" si="253"/>
        <v/>
      </c>
      <c r="X575" s="11" t="str">
        <f t="shared" si="254"/>
        <v/>
      </c>
      <c r="Z575" s="11" t="str">
        <f t="shared" si="255"/>
        <v/>
      </c>
      <c r="AA575" s="11" t="str">
        <f t="shared" si="256"/>
        <v/>
      </c>
      <c r="AB575" s="11" t="str">
        <f t="shared" si="257"/>
        <v/>
      </c>
      <c r="AD575" s="11" t="str">
        <f t="shared" si="258"/>
        <v/>
      </c>
      <c r="AE575" s="11" t="str">
        <f t="shared" si="259"/>
        <v/>
      </c>
      <c r="AF575" s="11" t="str">
        <f t="shared" si="260"/>
        <v/>
      </c>
    </row>
    <row r="576" spans="1:48" ht="30" customHeight="1" outlineLevel="2">
      <c r="A576" s="116" t="s">
        <v>1363</v>
      </c>
      <c r="B576" s="117" t="s">
        <v>1364</v>
      </c>
      <c r="C576" s="134" t="s">
        <v>242</v>
      </c>
      <c r="E576" s="105">
        <f t="shared" ref="E576:E588" si="279">MIN(N576,R576,V576,Z576,AD576)</f>
        <v>91.619000000000014</v>
      </c>
      <c r="F576" s="105">
        <f t="shared" ref="F576:F588" si="280">AVERAGE(N576,R576,V576,Z576,AD576)</f>
        <v>141.17840000000004</v>
      </c>
      <c r="G576" s="105">
        <f t="shared" ref="G576:G588" si="281">MAX(N576,R576,V576,Z576,AD576)</f>
        <v>212.3</v>
      </c>
      <c r="H576" s="106"/>
      <c r="I576" s="105">
        <f t="shared" ref="I576:I588" si="282">MIN(T576,X576,AB576,AF576,P576)</f>
        <v>169.77400000000003</v>
      </c>
      <c r="J576" s="105">
        <f t="shared" ref="J576:J588" si="283">AVERAGE(P576,T576,X576,AB576,AF576)</f>
        <v>236.94660000000005</v>
      </c>
      <c r="K576" s="105">
        <f t="shared" ref="K576:K588" si="284">MAX(P576,T576,X576,AB576,AF576)</f>
        <v>359.64500000000004</v>
      </c>
      <c r="N576" s="107">
        <f t="shared" si="246"/>
        <v>123.959</v>
      </c>
      <c r="O576" s="107">
        <f t="shared" si="247"/>
        <v>168.88300000000001</v>
      </c>
      <c r="P576" s="107">
        <f t="shared" si="248"/>
        <v>237.09400000000002</v>
      </c>
      <c r="R576" s="107">
        <f t="shared" si="249"/>
        <v>172.41400000000002</v>
      </c>
      <c r="S576" s="107">
        <f t="shared" si="250"/>
        <v>192.39000000000001</v>
      </c>
      <c r="T576" s="107">
        <f t="shared" si="251"/>
        <v>226.82</v>
      </c>
      <c r="V576" s="107">
        <f t="shared" si="252"/>
        <v>91.619000000000014</v>
      </c>
      <c r="W576" s="107">
        <f t="shared" si="253"/>
        <v>119.49300000000001</v>
      </c>
      <c r="X576" s="107">
        <f t="shared" si="254"/>
        <v>169.77400000000003</v>
      </c>
      <c r="Z576" s="107">
        <f t="shared" si="255"/>
        <v>212.3</v>
      </c>
      <c r="AA576" s="107">
        <f t="shared" si="256"/>
        <v>287.32</v>
      </c>
      <c r="AB576" s="107">
        <f t="shared" si="257"/>
        <v>359.64500000000004</v>
      </c>
      <c r="AD576" s="107">
        <f t="shared" si="258"/>
        <v>105.60000000000001</v>
      </c>
      <c r="AE576" s="107">
        <f t="shared" si="259"/>
        <v>155.10000000000002</v>
      </c>
      <c r="AF576" s="107">
        <f t="shared" si="260"/>
        <v>191.4</v>
      </c>
      <c r="AH576" s="107">
        <v>112.69</v>
      </c>
      <c r="AI576" s="107">
        <v>153.53</v>
      </c>
      <c r="AJ576" s="107">
        <v>215.54</v>
      </c>
      <c r="AK576" s="107">
        <v>156.74</v>
      </c>
      <c r="AL576" s="107">
        <v>174.9</v>
      </c>
      <c r="AM576" s="107">
        <v>206.2</v>
      </c>
      <c r="AN576" s="107">
        <v>83.29</v>
      </c>
      <c r="AO576" s="107">
        <v>108.63</v>
      </c>
      <c r="AP576" s="107">
        <v>154.34</v>
      </c>
      <c r="AQ576" s="107">
        <v>193</v>
      </c>
      <c r="AR576" s="107">
        <v>261.2</v>
      </c>
      <c r="AS576" s="107">
        <v>326.95</v>
      </c>
      <c r="AT576" s="107">
        <v>96</v>
      </c>
      <c r="AU576" s="107">
        <v>141</v>
      </c>
      <c r="AV576" s="107">
        <v>174</v>
      </c>
    </row>
    <row r="577" spans="1:48" ht="30" customHeight="1" outlineLevel="2">
      <c r="A577" s="116" t="s">
        <v>1365</v>
      </c>
      <c r="B577" s="117" t="s">
        <v>1366</v>
      </c>
      <c r="C577" s="134" t="s">
        <v>242</v>
      </c>
      <c r="E577" s="105">
        <f t="shared" si="279"/>
        <v>91.619000000000014</v>
      </c>
      <c r="F577" s="105">
        <f t="shared" si="280"/>
        <v>156.41560000000001</v>
      </c>
      <c r="G577" s="105">
        <f t="shared" si="281"/>
        <v>232.85900000000001</v>
      </c>
      <c r="H577" s="106"/>
      <c r="I577" s="105">
        <f t="shared" si="282"/>
        <v>169.77400000000003</v>
      </c>
      <c r="J577" s="105">
        <f t="shared" si="283"/>
        <v>262.29500000000002</v>
      </c>
      <c r="K577" s="105">
        <f t="shared" si="284"/>
        <v>393.56900000000007</v>
      </c>
      <c r="N577" s="107">
        <f t="shared" si="246"/>
        <v>151.50300000000001</v>
      </c>
      <c r="O577" s="107">
        <f t="shared" si="247"/>
        <v>207.38300000000001</v>
      </c>
      <c r="P577" s="107">
        <f t="shared" si="248"/>
        <v>290.99400000000003</v>
      </c>
      <c r="R577" s="107">
        <f t="shared" si="249"/>
        <v>182.89700000000002</v>
      </c>
      <c r="S577" s="107">
        <f t="shared" si="250"/>
        <v>209.36300000000003</v>
      </c>
      <c r="T577" s="107">
        <f t="shared" si="251"/>
        <v>248.13800000000003</v>
      </c>
      <c r="V577" s="107">
        <f t="shared" si="252"/>
        <v>91.619000000000014</v>
      </c>
      <c r="W577" s="107">
        <f t="shared" si="253"/>
        <v>119.49300000000001</v>
      </c>
      <c r="X577" s="107">
        <f t="shared" si="254"/>
        <v>169.77400000000003</v>
      </c>
      <c r="Z577" s="107">
        <f t="shared" si="255"/>
        <v>232.85900000000001</v>
      </c>
      <c r="AA577" s="107">
        <f t="shared" si="256"/>
        <v>316.09600000000006</v>
      </c>
      <c r="AB577" s="107">
        <f t="shared" si="257"/>
        <v>393.56900000000007</v>
      </c>
      <c r="AD577" s="107">
        <f t="shared" si="258"/>
        <v>123.20000000000002</v>
      </c>
      <c r="AE577" s="107">
        <f t="shared" si="259"/>
        <v>173.8</v>
      </c>
      <c r="AF577" s="107">
        <f t="shared" si="260"/>
        <v>209.00000000000003</v>
      </c>
      <c r="AH577" s="107">
        <v>137.72999999999999</v>
      </c>
      <c r="AI577" s="107">
        <v>188.53</v>
      </c>
      <c r="AJ577" s="107">
        <v>264.54000000000002</v>
      </c>
      <c r="AK577" s="107">
        <v>166.27</v>
      </c>
      <c r="AL577" s="107">
        <v>190.33</v>
      </c>
      <c r="AM577" s="107">
        <v>225.58</v>
      </c>
      <c r="AN577" s="107">
        <v>83.29</v>
      </c>
      <c r="AO577" s="107">
        <v>108.63</v>
      </c>
      <c r="AP577" s="107">
        <v>154.34</v>
      </c>
      <c r="AQ577" s="107">
        <v>211.69</v>
      </c>
      <c r="AR577" s="107">
        <v>287.36</v>
      </c>
      <c r="AS577" s="107">
        <v>357.79</v>
      </c>
      <c r="AT577" s="107">
        <v>112</v>
      </c>
      <c r="AU577" s="107">
        <v>158</v>
      </c>
      <c r="AV577" s="107">
        <v>190</v>
      </c>
    </row>
    <row r="578" spans="1:48" ht="30" customHeight="1" outlineLevel="2">
      <c r="A578" s="116" t="s">
        <v>1367</v>
      </c>
      <c r="B578" s="117" t="s">
        <v>1368</v>
      </c>
      <c r="C578" s="134" t="s">
        <v>242</v>
      </c>
      <c r="E578" s="105">
        <f t="shared" si="279"/>
        <v>91.619000000000014</v>
      </c>
      <c r="F578" s="105">
        <f t="shared" si="280"/>
        <v>151.95620000000002</v>
      </c>
      <c r="G578" s="105">
        <f t="shared" si="281"/>
        <v>200.93700000000001</v>
      </c>
      <c r="H578" s="106"/>
      <c r="I578" s="105">
        <f t="shared" si="282"/>
        <v>169.77400000000003</v>
      </c>
      <c r="J578" s="105">
        <f t="shared" si="283"/>
        <v>253.6842</v>
      </c>
      <c r="K578" s="105">
        <f t="shared" si="284"/>
        <v>340.89</v>
      </c>
      <c r="N578" s="107">
        <f t="shared" si="246"/>
        <v>151.50300000000001</v>
      </c>
      <c r="O578" s="107">
        <f t="shared" si="247"/>
        <v>207.38300000000001</v>
      </c>
      <c r="P578" s="107">
        <f t="shared" si="248"/>
        <v>290.99400000000003</v>
      </c>
      <c r="R578" s="107">
        <f t="shared" si="249"/>
        <v>192.52200000000002</v>
      </c>
      <c r="S578" s="107">
        <f t="shared" si="250"/>
        <v>218.98800000000003</v>
      </c>
      <c r="T578" s="107">
        <f t="shared" si="251"/>
        <v>257.76300000000003</v>
      </c>
      <c r="V578" s="107">
        <f t="shared" si="252"/>
        <v>91.619000000000014</v>
      </c>
      <c r="W578" s="107">
        <f t="shared" si="253"/>
        <v>119.49300000000001</v>
      </c>
      <c r="X578" s="107">
        <f t="shared" si="254"/>
        <v>169.77400000000003</v>
      </c>
      <c r="Z578" s="107">
        <f t="shared" si="255"/>
        <v>200.93700000000001</v>
      </c>
      <c r="AA578" s="107">
        <f t="shared" si="256"/>
        <v>271.41400000000004</v>
      </c>
      <c r="AB578" s="107">
        <f t="shared" si="257"/>
        <v>340.89</v>
      </c>
      <c r="AD578" s="107">
        <f t="shared" si="258"/>
        <v>123.20000000000002</v>
      </c>
      <c r="AE578" s="107">
        <f t="shared" si="259"/>
        <v>173.8</v>
      </c>
      <c r="AF578" s="107">
        <f t="shared" si="260"/>
        <v>209.00000000000003</v>
      </c>
      <c r="AH578" s="107">
        <v>137.72999999999999</v>
      </c>
      <c r="AI578" s="107">
        <v>188.53</v>
      </c>
      <c r="AJ578" s="107">
        <v>264.54000000000002</v>
      </c>
      <c r="AK578" s="107">
        <v>175.02</v>
      </c>
      <c r="AL578" s="107">
        <v>199.08</v>
      </c>
      <c r="AM578" s="107">
        <v>234.33</v>
      </c>
      <c r="AN578" s="107">
        <v>83.29</v>
      </c>
      <c r="AO578" s="107">
        <v>108.63</v>
      </c>
      <c r="AP578" s="107">
        <v>154.34</v>
      </c>
      <c r="AQ578" s="107">
        <v>182.67</v>
      </c>
      <c r="AR578" s="107">
        <v>246.74</v>
      </c>
      <c r="AS578" s="107">
        <v>309.89999999999998</v>
      </c>
      <c r="AT578" s="107">
        <v>112</v>
      </c>
      <c r="AU578" s="107">
        <v>158</v>
      </c>
      <c r="AV578" s="107">
        <v>190</v>
      </c>
    </row>
    <row r="579" spans="1:48" ht="30" customHeight="1" outlineLevel="2">
      <c r="A579" s="116" t="s">
        <v>1369</v>
      </c>
      <c r="B579" s="117" t="s">
        <v>1370</v>
      </c>
      <c r="C579" s="134" t="s">
        <v>242</v>
      </c>
      <c r="E579" s="105">
        <f t="shared" si="279"/>
        <v>91.619000000000014</v>
      </c>
      <c r="F579" s="105">
        <f t="shared" si="280"/>
        <v>147.24160000000001</v>
      </c>
      <c r="G579" s="105">
        <f t="shared" si="281"/>
        <v>195.8</v>
      </c>
      <c r="H579" s="106"/>
      <c r="I579" s="105">
        <f t="shared" si="282"/>
        <v>169.77400000000003</v>
      </c>
      <c r="J579" s="105">
        <f t="shared" si="283"/>
        <v>246.33180000000002</v>
      </c>
      <c r="K579" s="105">
        <f t="shared" si="284"/>
        <v>332.42</v>
      </c>
      <c r="N579" s="107">
        <f t="shared" si="246"/>
        <v>151.50300000000001</v>
      </c>
      <c r="O579" s="107">
        <f t="shared" si="247"/>
        <v>207.38300000000001</v>
      </c>
      <c r="P579" s="107">
        <f t="shared" si="248"/>
        <v>290.99400000000003</v>
      </c>
      <c r="R579" s="107">
        <f t="shared" si="249"/>
        <v>174.08600000000001</v>
      </c>
      <c r="S579" s="107">
        <f t="shared" si="250"/>
        <v>194.72200000000004</v>
      </c>
      <c r="T579" s="107">
        <f t="shared" si="251"/>
        <v>229.47100000000003</v>
      </c>
      <c r="V579" s="107">
        <f t="shared" si="252"/>
        <v>91.619000000000014</v>
      </c>
      <c r="W579" s="107">
        <f t="shared" si="253"/>
        <v>119.49300000000001</v>
      </c>
      <c r="X579" s="107">
        <f t="shared" si="254"/>
        <v>169.77400000000003</v>
      </c>
      <c r="Z579" s="107">
        <f t="shared" si="255"/>
        <v>195.8</v>
      </c>
      <c r="AA579" s="107">
        <f t="shared" si="256"/>
        <v>264.22000000000003</v>
      </c>
      <c r="AB579" s="107">
        <f t="shared" si="257"/>
        <v>332.42</v>
      </c>
      <c r="AD579" s="107">
        <f t="shared" si="258"/>
        <v>123.20000000000002</v>
      </c>
      <c r="AE579" s="107">
        <f t="shared" si="259"/>
        <v>173.8</v>
      </c>
      <c r="AF579" s="107">
        <f t="shared" si="260"/>
        <v>209.00000000000003</v>
      </c>
      <c r="AH579" s="107">
        <v>137.72999999999999</v>
      </c>
      <c r="AI579" s="107">
        <v>188.53</v>
      </c>
      <c r="AJ579" s="107">
        <v>264.54000000000002</v>
      </c>
      <c r="AK579" s="107">
        <v>158.26</v>
      </c>
      <c r="AL579" s="107">
        <v>177.02</v>
      </c>
      <c r="AM579" s="107">
        <v>208.61</v>
      </c>
      <c r="AN579" s="107">
        <v>83.29</v>
      </c>
      <c r="AO579" s="107">
        <v>108.63</v>
      </c>
      <c r="AP579" s="107">
        <v>154.34</v>
      </c>
      <c r="AQ579" s="107">
        <v>178</v>
      </c>
      <c r="AR579" s="107">
        <v>240.2</v>
      </c>
      <c r="AS579" s="107">
        <v>302.2</v>
      </c>
      <c r="AT579" s="107">
        <v>112</v>
      </c>
      <c r="AU579" s="107">
        <v>158</v>
      </c>
      <c r="AV579" s="107">
        <v>190</v>
      </c>
    </row>
    <row r="580" spans="1:48" ht="30" customHeight="1" outlineLevel="2">
      <c r="A580" s="116" t="s">
        <v>1371</v>
      </c>
      <c r="B580" s="117" t="s">
        <v>1372</v>
      </c>
      <c r="C580" s="134" t="s">
        <v>242</v>
      </c>
      <c r="E580" s="105">
        <f t="shared" si="279"/>
        <v>91.619000000000014</v>
      </c>
      <c r="F580" s="105">
        <f t="shared" si="280"/>
        <v>172.16980000000001</v>
      </c>
      <c r="G580" s="105">
        <f t="shared" si="281"/>
        <v>215.02800000000002</v>
      </c>
      <c r="H580" s="106"/>
      <c r="I580" s="105">
        <f t="shared" si="282"/>
        <v>169.77400000000003</v>
      </c>
      <c r="J580" s="105">
        <f t="shared" si="283"/>
        <v>287.59720000000004</v>
      </c>
      <c r="K580" s="105">
        <f t="shared" si="284"/>
        <v>398.80500000000006</v>
      </c>
      <c r="N580" s="107">
        <f t="shared" ref="N580:N643" si="285" xml:space="preserve"> IF(ISBLANK(AH580),"",_k_EIFFAGE * AH580)</f>
        <v>206.602</v>
      </c>
      <c r="O580" s="107">
        <f t="shared" ref="O580:O643" si="286" xml:space="preserve"> IF(ISBLANK(AI580),"",_k_EIFFAGE * AI580)</f>
        <v>284.39400000000006</v>
      </c>
      <c r="P580" s="107">
        <f t="shared" ref="P580:P643" si="287" xml:space="preserve"> IF(ISBLANK(AJ580),"",_k_EIFFAGE * AJ580)</f>
        <v>398.80500000000006</v>
      </c>
      <c r="R580" s="107">
        <f t="shared" ref="R580:R643" si="288" xml:space="preserve"> IF(ISBLANK(AK580),"",_k_ERI * AK580)</f>
        <v>215.02800000000002</v>
      </c>
      <c r="S580" s="107">
        <f t="shared" ref="S580:S643" si="289" xml:space="preserve"> IF(ISBLANK(AL580),"",_k_ERI * AL580)</f>
        <v>248.24800000000002</v>
      </c>
      <c r="T580" s="107">
        <f t="shared" ref="T580:T643" si="290" xml:space="preserve"> IF(ISBLANK(AM580),"",_k_ERI * AM580)</f>
        <v>291.52199999999999</v>
      </c>
      <c r="V580" s="107">
        <f t="shared" ref="V580:V643" si="291" xml:space="preserve"> IF(ISBLANK(AN580),"",_k_INEO * AN580)</f>
        <v>91.619000000000014</v>
      </c>
      <c r="W580" s="107">
        <f t="shared" ref="W580:W643" si="292" xml:space="preserve"> IF(ISBLANK(AO580),"",_k_INEO * AO580)</f>
        <v>119.49300000000001</v>
      </c>
      <c r="X580" s="107">
        <f t="shared" ref="X580:X643" si="293" xml:space="preserve"> IF(ISBLANK(AP580),"",_k_INEO * AP580)</f>
        <v>169.77400000000003</v>
      </c>
      <c r="Z580" s="107">
        <f t="shared" ref="Z580:Z643" si="294" xml:space="preserve"> IF(ISBLANK(AQ580),"",_k_SDEL * AQ580)</f>
        <v>207.9</v>
      </c>
      <c r="AA580" s="107">
        <f t="shared" ref="AA580:AA643" si="295" xml:space="preserve"> IF(ISBLANK(AR580),"",_k_SDEL * AR580)</f>
        <v>281.16000000000003</v>
      </c>
      <c r="AB580" s="107">
        <f t="shared" ref="AB580:AB643" si="296" xml:space="preserve"> IF(ISBLANK(AS580),"",_k_SDEL * AS580)</f>
        <v>352.38500000000005</v>
      </c>
      <c r="AD580" s="107">
        <f t="shared" ref="AD580:AD643" si="297" xml:space="preserve"> IF(ISBLANK(AT580),"",_k_SOGETREL * AT580)</f>
        <v>139.70000000000002</v>
      </c>
      <c r="AE580" s="107">
        <f t="shared" ref="AE580:AE643" si="298" xml:space="preserve"> IF(ISBLANK(AU580),"",_k_SOGETREL * AU580)</f>
        <v>189.20000000000002</v>
      </c>
      <c r="AF580" s="107">
        <f t="shared" ref="AF580:AF643" si="299" xml:space="preserve"> IF(ISBLANK(AV580),"",_k_SOGETREL * AV580)</f>
        <v>225.50000000000003</v>
      </c>
      <c r="AH580" s="107">
        <v>187.82</v>
      </c>
      <c r="AI580" s="107">
        <v>258.54000000000002</v>
      </c>
      <c r="AJ580" s="107">
        <v>362.55</v>
      </c>
      <c r="AK580" s="107">
        <v>195.48</v>
      </c>
      <c r="AL580" s="107">
        <v>225.68</v>
      </c>
      <c r="AM580" s="107">
        <v>265.02</v>
      </c>
      <c r="AN580" s="107">
        <v>83.29</v>
      </c>
      <c r="AO580" s="107">
        <v>108.63</v>
      </c>
      <c r="AP580" s="107">
        <v>154.34</v>
      </c>
      <c r="AQ580" s="107">
        <v>189</v>
      </c>
      <c r="AR580" s="107">
        <v>255.6</v>
      </c>
      <c r="AS580" s="107">
        <v>320.35000000000002</v>
      </c>
      <c r="AT580" s="107">
        <v>127</v>
      </c>
      <c r="AU580" s="107">
        <v>172</v>
      </c>
      <c r="AV580" s="107">
        <v>205</v>
      </c>
    </row>
    <row r="581" spans="1:48" ht="30" customHeight="1" outlineLevel="2">
      <c r="A581" s="116" t="s">
        <v>1373</v>
      </c>
      <c r="B581" s="117" t="s">
        <v>1374</v>
      </c>
      <c r="C581" s="134" t="s">
        <v>242</v>
      </c>
      <c r="E581" s="105">
        <f t="shared" si="279"/>
        <v>74.800000000000011</v>
      </c>
      <c r="F581" s="105">
        <f t="shared" si="280"/>
        <v>139.44040000000001</v>
      </c>
      <c r="G581" s="105">
        <f t="shared" si="281"/>
        <v>241.84600000000003</v>
      </c>
      <c r="H581" s="106"/>
      <c r="I581" s="105">
        <f t="shared" si="282"/>
        <v>136.4</v>
      </c>
      <c r="J581" s="105">
        <f t="shared" si="283"/>
        <v>231.10120000000001</v>
      </c>
      <c r="K581" s="105">
        <f t="shared" si="284"/>
        <v>408.38600000000002</v>
      </c>
      <c r="N581" s="107">
        <f t="shared" si="285"/>
        <v>96.41500000000002</v>
      </c>
      <c r="O581" s="107">
        <f t="shared" si="286"/>
        <v>130.38300000000001</v>
      </c>
      <c r="P581" s="107">
        <f t="shared" si="287"/>
        <v>183.18300000000002</v>
      </c>
      <c r="R581" s="107">
        <f t="shared" si="288"/>
        <v>192.52200000000002</v>
      </c>
      <c r="S581" s="107">
        <f t="shared" si="289"/>
        <v>218.98800000000003</v>
      </c>
      <c r="T581" s="107">
        <f t="shared" si="290"/>
        <v>257.76300000000003</v>
      </c>
      <c r="V581" s="107">
        <f t="shared" si="291"/>
        <v>91.619000000000014</v>
      </c>
      <c r="W581" s="107">
        <f t="shared" si="292"/>
        <v>119.49300000000001</v>
      </c>
      <c r="X581" s="107">
        <f t="shared" si="293"/>
        <v>169.77400000000003</v>
      </c>
      <c r="Z581" s="107">
        <f t="shared" si="294"/>
        <v>241.84600000000003</v>
      </c>
      <c r="AA581" s="107">
        <f t="shared" si="295"/>
        <v>328.68000000000006</v>
      </c>
      <c r="AB581" s="107">
        <f t="shared" si="296"/>
        <v>408.38600000000002</v>
      </c>
      <c r="AD581" s="107">
        <f t="shared" si="297"/>
        <v>74.800000000000011</v>
      </c>
      <c r="AE581" s="107">
        <f t="shared" si="298"/>
        <v>108.9</v>
      </c>
      <c r="AF581" s="107">
        <f t="shared" si="299"/>
        <v>136.4</v>
      </c>
      <c r="AH581" s="107">
        <v>87.65</v>
      </c>
      <c r="AI581" s="107">
        <v>118.53</v>
      </c>
      <c r="AJ581" s="107">
        <v>166.53</v>
      </c>
      <c r="AK581" s="107">
        <v>175.02</v>
      </c>
      <c r="AL581" s="107">
        <v>199.08</v>
      </c>
      <c r="AM581" s="107">
        <v>234.33</v>
      </c>
      <c r="AN581" s="107">
        <v>83.29</v>
      </c>
      <c r="AO581" s="107">
        <v>108.63</v>
      </c>
      <c r="AP581" s="107">
        <v>154.34</v>
      </c>
      <c r="AQ581" s="107">
        <v>219.86</v>
      </c>
      <c r="AR581" s="107">
        <v>298.8</v>
      </c>
      <c r="AS581" s="107">
        <v>371.26</v>
      </c>
      <c r="AT581" s="107">
        <v>68</v>
      </c>
      <c r="AU581" s="107">
        <v>99</v>
      </c>
      <c r="AV581" s="107">
        <v>124</v>
      </c>
    </row>
    <row r="582" spans="1:48" ht="30" customHeight="1" outlineLevel="2">
      <c r="A582" s="116" t="s">
        <v>1375</v>
      </c>
      <c r="B582" s="117" t="s">
        <v>1376</v>
      </c>
      <c r="C582" s="134" t="s">
        <v>242</v>
      </c>
      <c r="E582" s="105">
        <f t="shared" si="279"/>
        <v>114.38900000000001</v>
      </c>
      <c r="F582" s="105">
        <f t="shared" si="280"/>
        <v>182.25900000000001</v>
      </c>
      <c r="G582" s="105">
        <f t="shared" si="281"/>
        <v>258.5</v>
      </c>
      <c r="H582" s="106"/>
      <c r="I582" s="105">
        <f t="shared" si="282"/>
        <v>209.00000000000003</v>
      </c>
      <c r="J582" s="105">
        <f t="shared" si="283"/>
        <v>299.64880000000005</v>
      </c>
      <c r="K582" s="105">
        <f t="shared" si="284"/>
        <v>435.87500000000006</v>
      </c>
      <c r="N582" s="107">
        <f t="shared" si="285"/>
        <v>167.453</v>
      </c>
      <c r="O582" s="107">
        <f t="shared" si="286"/>
        <v>223.33300000000003</v>
      </c>
      <c r="P582" s="107">
        <f t="shared" si="287"/>
        <v>306.94400000000007</v>
      </c>
      <c r="R582" s="107">
        <f t="shared" si="288"/>
        <v>247.75300000000001</v>
      </c>
      <c r="S582" s="107">
        <f t="shared" si="289"/>
        <v>282.53500000000003</v>
      </c>
      <c r="T582" s="107">
        <f t="shared" si="290"/>
        <v>326.84300000000002</v>
      </c>
      <c r="V582" s="107">
        <f t="shared" si="291"/>
        <v>114.38900000000001</v>
      </c>
      <c r="W582" s="107">
        <f t="shared" si="292"/>
        <v>156.376</v>
      </c>
      <c r="X582" s="107">
        <f t="shared" si="293"/>
        <v>219.58200000000002</v>
      </c>
      <c r="Z582" s="107">
        <f t="shared" si="294"/>
        <v>258.5</v>
      </c>
      <c r="AA582" s="107">
        <f t="shared" si="295"/>
        <v>352</v>
      </c>
      <c r="AB582" s="107">
        <f t="shared" si="296"/>
        <v>435.87500000000006</v>
      </c>
      <c r="AD582" s="107">
        <f t="shared" si="297"/>
        <v>123.20000000000002</v>
      </c>
      <c r="AE582" s="107">
        <f t="shared" si="298"/>
        <v>173.8</v>
      </c>
      <c r="AF582" s="107">
        <f t="shared" si="299"/>
        <v>209.00000000000003</v>
      </c>
      <c r="AH582" s="107">
        <v>152.22999999999999</v>
      </c>
      <c r="AI582" s="107">
        <v>203.03</v>
      </c>
      <c r="AJ582" s="107">
        <v>279.04000000000002</v>
      </c>
      <c r="AK582" s="107">
        <v>225.23</v>
      </c>
      <c r="AL582" s="107">
        <v>256.85000000000002</v>
      </c>
      <c r="AM582" s="107">
        <v>297.13</v>
      </c>
      <c r="AN582" s="107">
        <v>103.99</v>
      </c>
      <c r="AO582" s="107">
        <v>142.16</v>
      </c>
      <c r="AP582" s="107">
        <v>199.62</v>
      </c>
      <c r="AQ582" s="107">
        <v>235</v>
      </c>
      <c r="AR582" s="107">
        <v>320</v>
      </c>
      <c r="AS582" s="107">
        <v>396.25</v>
      </c>
      <c r="AT582" s="107">
        <v>112</v>
      </c>
      <c r="AU582" s="107">
        <v>158</v>
      </c>
      <c r="AV582" s="107">
        <v>190</v>
      </c>
    </row>
    <row r="583" spans="1:48" ht="30" customHeight="1" outlineLevel="2">
      <c r="A583" s="116" t="s">
        <v>1377</v>
      </c>
      <c r="B583" s="117" t="s">
        <v>1378</v>
      </c>
      <c r="C583" s="134" t="s">
        <v>242</v>
      </c>
      <c r="E583" s="105">
        <f t="shared" si="279"/>
        <v>136.37800000000001</v>
      </c>
      <c r="F583" s="105">
        <f t="shared" si="280"/>
        <v>177.661</v>
      </c>
      <c r="G583" s="105">
        <f t="shared" si="281"/>
        <v>239.8</v>
      </c>
      <c r="H583" s="106"/>
      <c r="I583" s="105">
        <f t="shared" si="282"/>
        <v>261.19499999999999</v>
      </c>
      <c r="J583" s="105">
        <f t="shared" si="283"/>
        <v>305.4194</v>
      </c>
      <c r="K583" s="105">
        <f t="shared" si="284"/>
        <v>405.02000000000004</v>
      </c>
      <c r="N583" s="107">
        <f t="shared" si="285"/>
        <v>143.52799999999999</v>
      </c>
      <c r="O583" s="107">
        <f t="shared" si="286"/>
        <v>199.40800000000002</v>
      </c>
      <c r="P583" s="107">
        <f t="shared" si="287"/>
        <v>283.01900000000001</v>
      </c>
      <c r="R583" s="107">
        <f t="shared" si="288"/>
        <v>204.69900000000001</v>
      </c>
      <c r="S583" s="107">
        <f t="shared" si="289"/>
        <v>225.995</v>
      </c>
      <c r="T583" s="107">
        <f t="shared" si="290"/>
        <v>261.19499999999999</v>
      </c>
      <c r="V583" s="107">
        <f t="shared" si="291"/>
        <v>136.37800000000001</v>
      </c>
      <c r="W583" s="107">
        <f t="shared" si="292"/>
        <v>191.994</v>
      </c>
      <c r="X583" s="107">
        <f t="shared" si="293"/>
        <v>267.66300000000001</v>
      </c>
      <c r="Z583" s="107">
        <f t="shared" si="294"/>
        <v>239.8</v>
      </c>
      <c r="AA583" s="107">
        <f t="shared" si="295"/>
        <v>325.82</v>
      </c>
      <c r="AB583" s="107">
        <f t="shared" si="296"/>
        <v>405.02000000000004</v>
      </c>
      <c r="AD583" s="107">
        <f t="shared" si="297"/>
        <v>163.9</v>
      </c>
      <c r="AE583" s="107">
        <f t="shared" si="298"/>
        <v>251.90000000000003</v>
      </c>
      <c r="AF583" s="107">
        <f t="shared" si="299"/>
        <v>310.20000000000005</v>
      </c>
      <c r="AH583" s="107">
        <v>130.47999999999999</v>
      </c>
      <c r="AI583" s="107">
        <v>181.28</v>
      </c>
      <c r="AJ583" s="107">
        <v>257.28999999999996</v>
      </c>
      <c r="AK583" s="107">
        <v>186.09</v>
      </c>
      <c r="AL583" s="107">
        <v>205.45</v>
      </c>
      <c r="AM583" s="107">
        <v>237.45</v>
      </c>
      <c r="AN583" s="107">
        <v>123.98</v>
      </c>
      <c r="AO583" s="107">
        <v>174.54</v>
      </c>
      <c r="AP583" s="107">
        <v>243.33</v>
      </c>
      <c r="AQ583" s="107">
        <v>218</v>
      </c>
      <c r="AR583" s="107">
        <v>296.2</v>
      </c>
      <c r="AS583" s="107">
        <v>368.2</v>
      </c>
      <c r="AT583" s="107">
        <v>149</v>
      </c>
      <c r="AU583" s="107">
        <v>229</v>
      </c>
      <c r="AV583" s="107">
        <v>282</v>
      </c>
    </row>
    <row r="584" spans="1:48" ht="30" customHeight="1" outlineLevel="2">
      <c r="A584" s="116" t="s">
        <v>1379</v>
      </c>
      <c r="B584" s="117" t="s">
        <v>1380</v>
      </c>
      <c r="C584" s="134" t="s">
        <v>242</v>
      </c>
      <c r="E584" s="105">
        <f t="shared" si="279"/>
        <v>136.37800000000001</v>
      </c>
      <c r="F584" s="105">
        <f t="shared" si="280"/>
        <v>200.98320000000004</v>
      </c>
      <c r="G584" s="105">
        <f t="shared" si="281"/>
        <v>308.05500000000006</v>
      </c>
      <c r="H584" s="106"/>
      <c r="I584" s="105">
        <f t="shared" si="282"/>
        <v>267.66300000000001</v>
      </c>
      <c r="J584" s="105">
        <f t="shared" si="283"/>
        <v>340.42360000000002</v>
      </c>
      <c r="K584" s="105">
        <f t="shared" si="284"/>
        <v>426.88800000000003</v>
      </c>
      <c r="N584" s="107">
        <f t="shared" si="285"/>
        <v>143.52799999999999</v>
      </c>
      <c r="O584" s="107">
        <f t="shared" si="286"/>
        <v>199.40800000000002</v>
      </c>
      <c r="P584" s="107">
        <f t="shared" si="287"/>
        <v>283.01900000000001</v>
      </c>
      <c r="R584" s="107">
        <f t="shared" si="288"/>
        <v>308.05500000000006</v>
      </c>
      <c r="S584" s="107">
        <f t="shared" si="289"/>
        <v>359.21600000000001</v>
      </c>
      <c r="T584" s="107">
        <f t="shared" si="290"/>
        <v>414.34800000000001</v>
      </c>
      <c r="V584" s="107">
        <f t="shared" si="291"/>
        <v>136.37800000000001</v>
      </c>
      <c r="W584" s="107">
        <f t="shared" si="292"/>
        <v>191.994</v>
      </c>
      <c r="X584" s="107">
        <f t="shared" si="293"/>
        <v>267.66300000000001</v>
      </c>
      <c r="Z584" s="107">
        <f t="shared" si="294"/>
        <v>253.05500000000004</v>
      </c>
      <c r="AA584" s="107">
        <f t="shared" si="295"/>
        <v>344.37700000000001</v>
      </c>
      <c r="AB584" s="107">
        <f t="shared" si="296"/>
        <v>426.88800000000003</v>
      </c>
      <c r="AD584" s="107">
        <f t="shared" si="297"/>
        <v>163.9</v>
      </c>
      <c r="AE584" s="107">
        <f t="shared" si="298"/>
        <v>251.90000000000003</v>
      </c>
      <c r="AF584" s="107">
        <f t="shared" si="299"/>
        <v>310.20000000000005</v>
      </c>
      <c r="AH584" s="107">
        <v>130.47999999999999</v>
      </c>
      <c r="AI584" s="107">
        <v>181.28</v>
      </c>
      <c r="AJ584" s="107">
        <v>257.28999999999996</v>
      </c>
      <c r="AK584" s="107">
        <v>280.05</v>
      </c>
      <c r="AL584" s="107">
        <v>326.56</v>
      </c>
      <c r="AM584" s="107">
        <v>376.68</v>
      </c>
      <c r="AN584" s="107">
        <v>123.98</v>
      </c>
      <c r="AO584" s="107">
        <v>174.54</v>
      </c>
      <c r="AP584" s="107">
        <v>243.33</v>
      </c>
      <c r="AQ584" s="107">
        <v>230.05</v>
      </c>
      <c r="AR584" s="107">
        <v>313.07</v>
      </c>
      <c r="AS584" s="107">
        <v>388.08</v>
      </c>
      <c r="AT584" s="107">
        <v>149</v>
      </c>
      <c r="AU584" s="107">
        <v>229</v>
      </c>
      <c r="AV584" s="107">
        <v>282</v>
      </c>
    </row>
    <row r="585" spans="1:48" ht="30" customHeight="1" outlineLevel="2">
      <c r="A585" s="116" t="s">
        <v>1381</v>
      </c>
      <c r="B585" s="117" t="s">
        <v>1382</v>
      </c>
      <c r="C585" s="134" t="s">
        <v>242</v>
      </c>
      <c r="E585" s="105">
        <f t="shared" si="279"/>
        <v>136.37800000000001</v>
      </c>
      <c r="F585" s="105">
        <f t="shared" si="280"/>
        <v>200.98320000000004</v>
      </c>
      <c r="G585" s="105">
        <f t="shared" si="281"/>
        <v>308.05500000000006</v>
      </c>
      <c r="H585" s="106"/>
      <c r="I585" s="105">
        <f t="shared" si="282"/>
        <v>267.66300000000001</v>
      </c>
      <c r="J585" s="105">
        <f t="shared" si="283"/>
        <v>340.42360000000002</v>
      </c>
      <c r="K585" s="105">
        <f t="shared" si="284"/>
        <v>426.88800000000003</v>
      </c>
      <c r="N585" s="107">
        <f t="shared" si="285"/>
        <v>143.52799999999999</v>
      </c>
      <c r="O585" s="107">
        <f t="shared" si="286"/>
        <v>199.40800000000002</v>
      </c>
      <c r="P585" s="107">
        <f t="shared" si="287"/>
        <v>283.01900000000001</v>
      </c>
      <c r="R585" s="107">
        <f t="shared" si="288"/>
        <v>308.05500000000006</v>
      </c>
      <c r="S585" s="107">
        <f t="shared" si="289"/>
        <v>359.21600000000001</v>
      </c>
      <c r="T585" s="107">
        <f t="shared" si="290"/>
        <v>414.34800000000001</v>
      </c>
      <c r="V585" s="107">
        <f t="shared" si="291"/>
        <v>136.37800000000001</v>
      </c>
      <c r="W585" s="107">
        <f t="shared" si="292"/>
        <v>191.994</v>
      </c>
      <c r="X585" s="107">
        <f t="shared" si="293"/>
        <v>267.66300000000001</v>
      </c>
      <c r="Z585" s="107">
        <f t="shared" si="294"/>
        <v>253.05500000000004</v>
      </c>
      <c r="AA585" s="107">
        <f t="shared" si="295"/>
        <v>344.37700000000001</v>
      </c>
      <c r="AB585" s="107">
        <f t="shared" si="296"/>
        <v>426.88800000000003</v>
      </c>
      <c r="AD585" s="107">
        <f t="shared" si="297"/>
        <v>163.9</v>
      </c>
      <c r="AE585" s="107">
        <f t="shared" si="298"/>
        <v>251.90000000000003</v>
      </c>
      <c r="AF585" s="107">
        <f t="shared" si="299"/>
        <v>310.20000000000005</v>
      </c>
      <c r="AH585" s="107">
        <v>130.47999999999999</v>
      </c>
      <c r="AI585" s="107">
        <v>181.28</v>
      </c>
      <c r="AJ585" s="107">
        <v>257.28999999999996</v>
      </c>
      <c r="AK585" s="107">
        <v>280.05</v>
      </c>
      <c r="AL585" s="107">
        <v>326.56</v>
      </c>
      <c r="AM585" s="107">
        <v>376.68</v>
      </c>
      <c r="AN585" s="107">
        <v>123.98</v>
      </c>
      <c r="AO585" s="107">
        <v>174.54</v>
      </c>
      <c r="AP585" s="107">
        <v>243.33</v>
      </c>
      <c r="AQ585" s="107">
        <v>230.05</v>
      </c>
      <c r="AR585" s="107">
        <v>313.07</v>
      </c>
      <c r="AS585" s="107">
        <v>388.08</v>
      </c>
      <c r="AT585" s="107">
        <v>149</v>
      </c>
      <c r="AU585" s="107">
        <v>229</v>
      </c>
      <c r="AV585" s="107">
        <v>282</v>
      </c>
    </row>
    <row r="586" spans="1:48" ht="30" customHeight="1" outlineLevel="2">
      <c r="A586" s="116" t="s">
        <v>1383</v>
      </c>
      <c r="B586" s="117" t="s">
        <v>1384</v>
      </c>
      <c r="C586" s="134" t="s">
        <v>242</v>
      </c>
      <c r="E586" s="105">
        <f t="shared" si="279"/>
        <v>136.37800000000001</v>
      </c>
      <c r="F586" s="105">
        <f t="shared" si="280"/>
        <v>200.98320000000004</v>
      </c>
      <c r="G586" s="105">
        <f t="shared" si="281"/>
        <v>308.05500000000006</v>
      </c>
      <c r="H586" s="106"/>
      <c r="I586" s="105">
        <f t="shared" si="282"/>
        <v>267.66300000000001</v>
      </c>
      <c r="J586" s="105">
        <f t="shared" si="283"/>
        <v>340.42360000000002</v>
      </c>
      <c r="K586" s="105">
        <f t="shared" si="284"/>
        <v>426.88800000000003</v>
      </c>
      <c r="N586" s="107">
        <f t="shared" si="285"/>
        <v>143.52799999999999</v>
      </c>
      <c r="O586" s="107">
        <f t="shared" si="286"/>
        <v>199.40800000000002</v>
      </c>
      <c r="P586" s="107">
        <f t="shared" si="287"/>
        <v>283.01900000000001</v>
      </c>
      <c r="R586" s="107">
        <f t="shared" si="288"/>
        <v>308.05500000000006</v>
      </c>
      <c r="S586" s="107">
        <f t="shared" si="289"/>
        <v>359.21600000000001</v>
      </c>
      <c r="T586" s="107">
        <f t="shared" si="290"/>
        <v>414.34800000000001</v>
      </c>
      <c r="V586" s="107">
        <f t="shared" si="291"/>
        <v>136.37800000000001</v>
      </c>
      <c r="W586" s="107">
        <f t="shared" si="292"/>
        <v>191.994</v>
      </c>
      <c r="X586" s="107">
        <f t="shared" si="293"/>
        <v>267.66300000000001</v>
      </c>
      <c r="Z586" s="107">
        <f t="shared" si="294"/>
        <v>253.05500000000004</v>
      </c>
      <c r="AA586" s="107">
        <f t="shared" si="295"/>
        <v>344.37700000000001</v>
      </c>
      <c r="AB586" s="107">
        <f t="shared" si="296"/>
        <v>426.88800000000003</v>
      </c>
      <c r="AD586" s="107">
        <f t="shared" si="297"/>
        <v>163.9</v>
      </c>
      <c r="AE586" s="107">
        <f t="shared" si="298"/>
        <v>251.90000000000003</v>
      </c>
      <c r="AF586" s="107">
        <f t="shared" si="299"/>
        <v>310.20000000000005</v>
      </c>
      <c r="AH586" s="107">
        <v>130.47999999999999</v>
      </c>
      <c r="AI586" s="107">
        <v>181.28</v>
      </c>
      <c r="AJ586" s="107">
        <v>257.28999999999996</v>
      </c>
      <c r="AK586" s="107">
        <v>280.05</v>
      </c>
      <c r="AL586" s="107">
        <v>326.56</v>
      </c>
      <c r="AM586" s="107">
        <v>376.68</v>
      </c>
      <c r="AN586" s="107">
        <v>123.98</v>
      </c>
      <c r="AO586" s="107">
        <v>174.54</v>
      </c>
      <c r="AP586" s="107">
        <v>243.33</v>
      </c>
      <c r="AQ586" s="107">
        <v>230.05</v>
      </c>
      <c r="AR586" s="107">
        <v>313.07</v>
      </c>
      <c r="AS586" s="107">
        <v>388.08</v>
      </c>
      <c r="AT586" s="107">
        <v>149</v>
      </c>
      <c r="AU586" s="107">
        <v>229</v>
      </c>
      <c r="AV586" s="107">
        <v>282</v>
      </c>
    </row>
    <row r="587" spans="1:48" ht="30" customHeight="1" outlineLevel="2">
      <c r="A587" s="116" t="s">
        <v>1385</v>
      </c>
      <c r="B587" s="117" t="s">
        <v>1386</v>
      </c>
      <c r="C587" s="134" t="s">
        <v>242</v>
      </c>
      <c r="E587" s="105">
        <f t="shared" si="279"/>
        <v>108.9</v>
      </c>
      <c r="F587" s="105">
        <f t="shared" si="280"/>
        <v>189.98320000000004</v>
      </c>
      <c r="G587" s="105">
        <f t="shared" si="281"/>
        <v>308.05500000000006</v>
      </c>
      <c r="H587" s="106"/>
      <c r="I587" s="105">
        <f t="shared" si="282"/>
        <v>211.20000000000002</v>
      </c>
      <c r="J587" s="105">
        <f t="shared" si="283"/>
        <v>320.62360000000001</v>
      </c>
      <c r="K587" s="105">
        <f t="shared" si="284"/>
        <v>426.88800000000003</v>
      </c>
      <c r="N587" s="107">
        <f t="shared" si="285"/>
        <v>143.52799999999999</v>
      </c>
      <c r="O587" s="107">
        <f t="shared" si="286"/>
        <v>199.40800000000002</v>
      </c>
      <c r="P587" s="107">
        <f t="shared" si="287"/>
        <v>283.01900000000001</v>
      </c>
      <c r="R587" s="107">
        <f t="shared" si="288"/>
        <v>308.05500000000006</v>
      </c>
      <c r="S587" s="107">
        <f t="shared" si="289"/>
        <v>359.21600000000001</v>
      </c>
      <c r="T587" s="107">
        <f t="shared" si="290"/>
        <v>414.34800000000001</v>
      </c>
      <c r="V587" s="107">
        <f t="shared" si="291"/>
        <v>136.37800000000001</v>
      </c>
      <c r="W587" s="107">
        <f t="shared" si="292"/>
        <v>191.994</v>
      </c>
      <c r="X587" s="107">
        <f t="shared" si="293"/>
        <v>267.66300000000001</v>
      </c>
      <c r="Z587" s="107">
        <f t="shared" si="294"/>
        <v>253.05500000000004</v>
      </c>
      <c r="AA587" s="107">
        <f t="shared" si="295"/>
        <v>344.37700000000001</v>
      </c>
      <c r="AB587" s="107">
        <f t="shared" si="296"/>
        <v>426.88800000000003</v>
      </c>
      <c r="AD587" s="107">
        <f t="shared" si="297"/>
        <v>108.9</v>
      </c>
      <c r="AE587" s="107">
        <f t="shared" si="298"/>
        <v>169.4</v>
      </c>
      <c r="AF587" s="107">
        <f t="shared" si="299"/>
        <v>211.20000000000002</v>
      </c>
      <c r="AH587" s="107">
        <v>130.47999999999999</v>
      </c>
      <c r="AI587" s="107">
        <v>181.28</v>
      </c>
      <c r="AJ587" s="107">
        <v>257.28999999999996</v>
      </c>
      <c r="AK587" s="107">
        <v>280.05</v>
      </c>
      <c r="AL587" s="107">
        <v>326.56</v>
      </c>
      <c r="AM587" s="107">
        <v>376.68</v>
      </c>
      <c r="AN587" s="107">
        <v>123.98</v>
      </c>
      <c r="AO587" s="107">
        <v>174.54</v>
      </c>
      <c r="AP587" s="107">
        <v>243.33</v>
      </c>
      <c r="AQ587" s="107">
        <v>230.05</v>
      </c>
      <c r="AR587" s="107">
        <v>313.07</v>
      </c>
      <c r="AS587" s="107">
        <v>388.08</v>
      </c>
      <c r="AT587" s="107">
        <v>99</v>
      </c>
      <c r="AU587" s="107">
        <v>154</v>
      </c>
      <c r="AV587" s="107">
        <v>192</v>
      </c>
    </row>
    <row r="588" spans="1:48" ht="30" customHeight="1" outlineLevel="2" thickBot="1">
      <c r="A588" s="116" t="s">
        <v>1387</v>
      </c>
      <c r="B588" s="117" t="s">
        <v>1388</v>
      </c>
      <c r="C588" s="134" t="s">
        <v>242</v>
      </c>
      <c r="E588" s="105">
        <f t="shared" si="279"/>
        <v>136.37800000000001</v>
      </c>
      <c r="F588" s="105">
        <f t="shared" si="280"/>
        <v>211.98540000000003</v>
      </c>
      <c r="G588" s="105">
        <f t="shared" si="281"/>
        <v>363.06600000000003</v>
      </c>
      <c r="H588" s="106"/>
      <c r="I588" s="105">
        <f t="shared" si="282"/>
        <v>267.66300000000001</v>
      </c>
      <c r="J588" s="105">
        <f t="shared" si="283"/>
        <v>359.69119999999998</v>
      </c>
      <c r="K588" s="105">
        <f t="shared" si="284"/>
        <v>510.68600000000004</v>
      </c>
      <c r="N588" s="107">
        <f t="shared" si="285"/>
        <v>143.52799999999999</v>
      </c>
      <c r="O588" s="107">
        <f t="shared" si="286"/>
        <v>199.40800000000002</v>
      </c>
      <c r="P588" s="107">
        <f t="shared" si="287"/>
        <v>283.01900000000001</v>
      </c>
      <c r="R588" s="107">
        <f t="shared" si="288"/>
        <v>363.06600000000003</v>
      </c>
      <c r="S588" s="107">
        <f t="shared" si="289"/>
        <v>438.99900000000002</v>
      </c>
      <c r="T588" s="107">
        <f t="shared" si="290"/>
        <v>510.68600000000004</v>
      </c>
      <c r="V588" s="107">
        <f t="shared" si="291"/>
        <v>136.37800000000001</v>
      </c>
      <c r="W588" s="107">
        <f t="shared" si="292"/>
        <v>191.994</v>
      </c>
      <c r="X588" s="107">
        <f t="shared" si="293"/>
        <v>267.66300000000001</v>
      </c>
      <c r="Z588" s="107">
        <f t="shared" si="294"/>
        <v>253.05500000000004</v>
      </c>
      <c r="AA588" s="107">
        <f t="shared" si="295"/>
        <v>344.37700000000001</v>
      </c>
      <c r="AB588" s="107">
        <f t="shared" si="296"/>
        <v>426.88800000000003</v>
      </c>
      <c r="AD588" s="107">
        <f t="shared" si="297"/>
        <v>163.9</v>
      </c>
      <c r="AE588" s="107">
        <f t="shared" si="298"/>
        <v>251.90000000000003</v>
      </c>
      <c r="AF588" s="107">
        <f t="shared" si="299"/>
        <v>310.20000000000005</v>
      </c>
      <c r="AH588" s="107">
        <v>130.47999999999999</v>
      </c>
      <c r="AI588" s="107">
        <v>181.28</v>
      </c>
      <c r="AJ588" s="107">
        <v>257.28999999999996</v>
      </c>
      <c r="AK588" s="107">
        <v>330.06</v>
      </c>
      <c r="AL588" s="107">
        <v>399.09</v>
      </c>
      <c r="AM588" s="107">
        <v>464.26</v>
      </c>
      <c r="AN588" s="107">
        <v>123.98</v>
      </c>
      <c r="AO588" s="107">
        <v>174.54</v>
      </c>
      <c r="AP588" s="107">
        <v>243.33</v>
      </c>
      <c r="AQ588" s="107">
        <v>230.05</v>
      </c>
      <c r="AR588" s="107">
        <v>313.07</v>
      </c>
      <c r="AS588" s="107">
        <v>388.08</v>
      </c>
      <c r="AT588" s="107">
        <v>149</v>
      </c>
      <c r="AU588" s="107">
        <v>229</v>
      </c>
      <c r="AV588" s="107">
        <v>282</v>
      </c>
    </row>
    <row r="589" spans="1:48" ht="30" customHeight="1" thickBot="1">
      <c r="A589" s="96" t="s">
        <v>1389</v>
      </c>
      <c r="B589" s="115" t="s">
        <v>1390</v>
      </c>
      <c r="C589" s="98"/>
      <c r="N589" s="11" t="str">
        <f t="shared" si="285"/>
        <v/>
      </c>
      <c r="O589" s="11" t="str">
        <f t="shared" si="286"/>
        <v/>
      </c>
      <c r="P589" s="11" t="str">
        <f t="shared" si="287"/>
        <v/>
      </c>
      <c r="R589" s="11" t="str">
        <f t="shared" si="288"/>
        <v/>
      </c>
      <c r="S589" s="11" t="str">
        <f t="shared" si="289"/>
        <v/>
      </c>
      <c r="T589" s="11" t="str">
        <f t="shared" si="290"/>
        <v/>
      </c>
      <c r="V589" s="11" t="str">
        <f t="shared" si="291"/>
        <v/>
      </c>
      <c r="W589" s="11" t="str">
        <f t="shared" si="292"/>
        <v/>
      </c>
      <c r="X589" s="11" t="str">
        <f t="shared" si="293"/>
        <v/>
      </c>
      <c r="Z589" s="11" t="str">
        <f t="shared" si="294"/>
        <v/>
      </c>
      <c r="AA589" s="11" t="str">
        <f t="shared" si="295"/>
        <v/>
      </c>
      <c r="AB589" s="11" t="str">
        <f t="shared" si="296"/>
        <v/>
      </c>
      <c r="AD589" s="11" t="str">
        <f t="shared" si="297"/>
        <v/>
      </c>
      <c r="AE589" s="11" t="str">
        <f t="shared" si="298"/>
        <v/>
      </c>
      <c r="AF589" s="11" t="str">
        <f t="shared" si="299"/>
        <v/>
      </c>
    </row>
    <row r="590" spans="1:48" ht="30" customHeight="1" outlineLevel="1">
      <c r="A590" s="132" t="s">
        <v>1391</v>
      </c>
      <c r="B590" s="133" t="s">
        <v>1392</v>
      </c>
      <c r="C590" s="101"/>
      <c r="N590" s="11" t="str">
        <f t="shared" si="285"/>
        <v/>
      </c>
      <c r="O590" s="11" t="str">
        <f t="shared" si="286"/>
        <v/>
      </c>
      <c r="P590" s="11" t="str">
        <f t="shared" si="287"/>
        <v/>
      </c>
      <c r="R590" s="11" t="str">
        <f t="shared" si="288"/>
        <v/>
      </c>
      <c r="S590" s="11" t="str">
        <f t="shared" si="289"/>
        <v/>
      </c>
      <c r="T590" s="11" t="str">
        <f t="shared" si="290"/>
        <v/>
      </c>
      <c r="V590" s="11" t="str">
        <f t="shared" si="291"/>
        <v/>
      </c>
      <c r="W590" s="11" t="str">
        <f t="shared" si="292"/>
        <v/>
      </c>
      <c r="X590" s="11" t="str">
        <f t="shared" si="293"/>
        <v/>
      </c>
      <c r="Z590" s="11" t="str">
        <f t="shared" si="294"/>
        <v/>
      </c>
      <c r="AA590" s="11" t="str">
        <f t="shared" si="295"/>
        <v/>
      </c>
      <c r="AB590" s="11" t="str">
        <f t="shared" si="296"/>
        <v/>
      </c>
      <c r="AD590" s="11" t="str">
        <f t="shared" si="297"/>
        <v/>
      </c>
      <c r="AE590" s="11" t="str">
        <f t="shared" si="298"/>
        <v/>
      </c>
      <c r="AF590" s="11" t="str">
        <f t="shared" si="299"/>
        <v/>
      </c>
    </row>
    <row r="591" spans="1:48" ht="30" customHeight="1" outlineLevel="2">
      <c r="A591" s="116" t="s">
        <v>1393</v>
      </c>
      <c r="B591" s="117" t="s">
        <v>1394</v>
      </c>
      <c r="C591" s="134" t="s">
        <v>242</v>
      </c>
      <c r="E591" s="105">
        <f>MIN(N591,R591,V591,Z591,AD591)</f>
        <v>0</v>
      </c>
      <c r="F591" s="105">
        <f>AVERAGE(N591,R591,V591,Z591,AD591)</f>
        <v>0</v>
      </c>
      <c r="G591" s="105">
        <f>MAX(N591,R591,V591,Z591,AD591)</f>
        <v>0</v>
      </c>
      <c r="H591" s="106"/>
      <c r="I591" s="105">
        <f>MIN(T591,X591,AB591,AF591,P591)</f>
        <v>0</v>
      </c>
      <c r="J591" s="105">
        <f>AVERAGE(P591,T591,X591,AB591,AF591)</f>
        <v>0</v>
      </c>
      <c r="K591" s="105">
        <f>MAX(P591,T591,X591,AB591,AF591)</f>
        <v>0</v>
      </c>
      <c r="N591" s="107">
        <f t="shared" si="285"/>
        <v>0</v>
      </c>
      <c r="O591" s="107">
        <f t="shared" si="286"/>
        <v>0</v>
      </c>
      <c r="P591" s="107">
        <f t="shared" si="287"/>
        <v>0</v>
      </c>
      <c r="R591" s="107">
        <f t="shared" si="288"/>
        <v>0</v>
      </c>
      <c r="S591" s="107">
        <f t="shared" si="289"/>
        <v>0</v>
      </c>
      <c r="T591" s="107">
        <f t="shared" si="290"/>
        <v>0</v>
      </c>
      <c r="V591" s="107">
        <f t="shared" si="291"/>
        <v>0</v>
      </c>
      <c r="W591" s="107">
        <f t="shared" si="292"/>
        <v>0</v>
      </c>
      <c r="X591" s="107">
        <f t="shared" si="293"/>
        <v>0</v>
      </c>
      <c r="Z591" s="107">
        <f t="shared" si="294"/>
        <v>0</v>
      </c>
      <c r="AA591" s="107">
        <f t="shared" si="295"/>
        <v>0</v>
      </c>
      <c r="AB591" s="107">
        <f t="shared" si="296"/>
        <v>0</v>
      </c>
      <c r="AD591" s="107">
        <f t="shared" si="297"/>
        <v>0</v>
      </c>
      <c r="AE591" s="107">
        <f t="shared" si="298"/>
        <v>0</v>
      </c>
      <c r="AF591" s="107">
        <f t="shared" si="299"/>
        <v>0</v>
      </c>
      <c r="AH591" s="107">
        <v>0</v>
      </c>
      <c r="AI591" s="107">
        <v>0</v>
      </c>
      <c r="AJ591" s="107">
        <v>0</v>
      </c>
      <c r="AK591" s="107">
        <v>0</v>
      </c>
      <c r="AL591" s="107">
        <v>0</v>
      </c>
      <c r="AM591" s="107">
        <v>0</v>
      </c>
      <c r="AN591" s="107">
        <v>0</v>
      </c>
      <c r="AO591" s="107">
        <v>0</v>
      </c>
      <c r="AP591" s="107">
        <v>0</v>
      </c>
      <c r="AQ591" s="107">
        <v>0</v>
      </c>
      <c r="AR591" s="107">
        <v>0</v>
      </c>
      <c r="AS591" s="107">
        <v>0</v>
      </c>
      <c r="AT591" s="107">
        <v>0</v>
      </c>
      <c r="AU591" s="107">
        <v>0</v>
      </c>
      <c r="AV591" s="107">
        <v>0</v>
      </c>
    </row>
    <row r="592" spans="1:48" ht="30" customHeight="1" outlineLevel="2">
      <c r="A592" s="116" t="s">
        <v>1395</v>
      </c>
      <c r="B592" s="117" t="s">
        <v>1396</v>
      </c>
      <c r="C592" s="134" t="s">
        <v>242</v>
      </c>
      <c r="E592" s="105">
        <f>MIN(N592,R592,V592,Z592,AD592)</f>
        <v>0</v>
      </c>
      <c r="F592" s="105">
        <f>AVERAGE(N592,R592,V592,Z592,AD592)</f>
        <v>0</v>
      </c>
      <c r="G592" s="105">
        <f>MAX(N592,R592,V592,Z592,AD592)</f>
        <v>0</v>
      </c>
      <c r="H592" s="106"/>
      <c r="I592" s="105">
        <f>MIN(T592,X592,AB592,AF592,P592)</f>
        <v>0</v>
      </c>
      <c r="J592" s="105">
        <f>AVERAGE(P592,T592,X592,AB592,AF592)</f>
        <v>0</v>
      </c>
      <c r="K592" s="105">
        <f>MAX(P592,T592,X592,AB592,AF592)</f>
        <v>0</v>
      </c>
      <c r="N592" s="107">
        <f t="shared" si="285"/>
        <v>0</v>
      </c>
      <c r="O592" s="107">
        <f t="shared" si="286"/>
        <v>0</v>
      </c>
      <c r="P592" s="107">
        <f t="shared" si="287"/>
        <v>0</v>
      </c>
      <c r="R592" s="107">
        <f t="shared" si="288"/>
        <v>0</v>
      </c>
      <c r="S592" s="107">
        <f t="shared" si="289"/>
        <v>0</v>
      </c>
      <c r="T592" s="107">
        <f t="shared" si="290"/>
        <v>0</v>
      </c>
      <c r="V592" s="107">
        <f t="shared" si="291"/>
        <v>0</v>
      </c>
      <c r="W592" s="107">
        <f t="shared" si="292"/>
        <v>0</v>
      </c>
      <c r="X592" s="107">
        <f t="shared" si="293"/>
        <v>0</v>
      </c>
      <c r="Z592" s="107">
        <f t="shared" si="294"/>
        <v>0</v>
      </c>
      <c r="AA592" s="107">
        <f t="shared" si="295"/>
        <v>0</v>
      </c>
      <c r="AB592" s="107">
        <f t="shared" si="296"/>
        <v>0</v>
      </c>
      <c r="AD592" s="107">
        <f t="shared" si="297"/>
        <v>0</v>
      </c>
      <c r="AE592" s="107">
        <f t="shared" si="298"/>
        <v>0</v>
      </c>
      <c r="AF592" s="107">
        <f t="shared" si="299"/>
        <v>0</v>
      </c>
      <c r="AH592" s="107">
        <v>0</v>
      </c>
      <c r="AI592" s="107">
        <v>0</v>
      </c>
      <c r="AJ592" s="107">
        <v>0</v>
      </c>
      <c r="AK592" s="107">
        <v>0</v>
      </c>
      <c r="AL592" s="107">
        <v>0</v>
      </c>
      <c r="AM592" s="107">
        <v>0</v>
      </c>
      <c r="AN592" s="107">
        <v>0</v>
      </c>
      <c r="AO592" s="107">
        <v>0</v>
      </c>
      <c r="AP592" s="107">
        <v>0</v>
      </c>
      <c r="AQ592" s="107">
        <v>0</v>
      </c>
      <c r="AR592" s="107">
        <v>0</v>
      </c>
      <c r="AS592" s="107">
        <v>0</v>
      </c>
      <c r="AT592" s="107">
        <v>0</v>
      </c>
      <c r="AU592" s="107">
        <v>0</v>
      </c>
      <c r="AV592" s="107">
        <v>0</v>
      </c>
    </row>
    <row r="593" spans="1:48" ht="30" customHeight="1" outlineLevel="2">
      <c r="A593" s="116" t="s">
        <v>1397</v>
      </c>
      <c r="B593" s="117" t="s">
        <v>1398</v>
      </c>
      <c r="C593" s="134" t="s">
        <v>242</v>
      </c>
      <c r="E593" s="105">
        <f>MIN(N593,R593,V593,Z593,AD593)</f>
        <v>0</v>
      </c>
      <c r="F593" s="105">
        <f>AVERAGE(N593,R593,V593,Z593,AD593)</f>
        <v>0</v>
      </c>
      <c r="G593" s="105">
        <f>MAX(N593,R593,V593,Z593,AD593)</f>
        <v>0</v>
      </c>
      <c r="H593" s="106"/>
      <c r="I593" s="105">
        <f>MIN(T593,X593,AB593,AF593,P593)</f>
        <v>0</v>
      </c>
      <c r="J593" s="105">
        <f>AVERAGE(P593,T593,X593,AB593,AF593)</f>
        <v>0</v>
      </c>
      <c r="K593" s="105">
        <f>MAX(P593,T593,X593,AB593,AF593)</f>
        <v>0</v>
      </c>
      <c r="N593" s="107">
        <f t="shared" si="285"/>
        <v>0</v>
      </c>
      <c r="O593" s="107">
        <f t="shared" si="286"/>
        <v>0</v>
      </c>
      <c r="P593" s="107">
        <f t="shared" si="287"/>
        <v>0</v>
      </c>
      <c r="R593" s="107">
        <f t="shared" si="288"/>
        <v>0</v>
      </c>
      <c r="S593" s="107">
        <f t="shared" si="289"/>
        <v>0</v>
      </c>
      <c r="T593" s="107">
        <f t="shared" si="290"/>
        <v>0</v>
      </c>
      <c r="V593" s="107">
        <f t="shared" si="291"/>
        <v>0</v>
      </c>
      <c r="W593" s="107">
        <f t="shared" si="292"/>
        <v>0</v>
      </c>
      <c r="X593" s="107">
        <f t="shared" si="293"/>
        <v>0</v>
      </c>
      <c r="Z593" s="107">
        <f t="shared" si="294"/>
        <v>0</v>
      </c>
      <c r="AA593" s="107">
        <f t="shared" si="295"/>
        <v>0</v>
      </c>
      <c r="AB593" s="107">
        <f t="shared" si="296"/>
        <v>0</v>
      </c>
      <c r="AD593" s="107">
        <f t="shared" si="297"/>
        <v>0</v>
      </c>
      <c r="AE593" s="107">
        <f t="shared" si="298"/>
        <v>0</v>
      </c>
      <c r="AF593" s="107">
        <f t="shared" si="299"/>
        <v>0</v>
      </c>
      <c r="AH593" s="107">
        <v>0</v>
      </c>
      <c r="AI593" s="107">
        <v>0</v>
      </c>
      <c r="AJ593" s="107">
        <v>0</v>
      </c>
      <c r="AK593" s="107">
        <v>0</v>
      </c>
      <c r="AL593" s="107">
        <v>0</v>
      </c>
      <c r="AM593" s="107">
        <v>0</v>
      </c>
      <c r="AN593" s="107">
        <v>0</v>
      </c>
      <c r="AO593" s="107">
        <v>0</v>
      </c>
      <c r="AP593" s="107">
        <v>0</v>
      </c>
      <c r="AQ593" s="107">
        <v>0</v>
      </c>
      <c r="AR593" s="107">
        <v>0</v>
      </c>
      <c r="AS593" s="107">
        <v>0</v>
      </c>
      <c r="AT593" s="107">
        <v>0</v>
      </c>
      <c r="AU593" s="107">
        <v>0</v>
      </c>
      <c r="AV593" s="107">
        <v>0</v>
      </c>
    </row>
    <row r="594" spans="1:48" ht="30" customHeight="1" outlineLevel="1">
      <c r="A594" s="132" t="s">
        <v>1399</v>
      </c>
      <c r="B594" s="133" t="s">
        <v>1400</v>
      </c>
      <c r="C594" s="101"/>
      <c r="N594" s="11" t="str">
        <f t="shared" si="285"/>
        <v/>
      </c>
      <c r="O594" s="11" t="str">
        <f t="shared" si="286"/>
        <v/>
      </c>
      <c r="P594" s="11" t="str">
        <f t="shared" si="287"/>
        <v/>
      </c>
      <c r="R594" s="11" t="str">
        <f t="shared" si="288"/>
        <v/>
      </c>
      <c r="S594" s="11" t="str">
        <f t="shared" si="289"/>
        <v/>
      </c>
      <c r="T594" s="11" t="str">
        <f t="shared" si="290"/>
        <v/>
      </c>
      <c r="V594" s="11" t="str">
        <f t="shared" si="291"/>
        <v/>
      </c>
      <c r="W594" s="11" t="str">
        <f t="shared" si="292"/>
        <v/>
      </c>
      <c r="X594" s="11" t="str">
        <f t="shared" si="293"/>
        <v/>
      </c>
      <c r="Z594" s="11" t="str">
        <f t="shared" si="294"/>
        <v/>
      </c>
      <c r="AA594" s="11" t="str">
        <f t="shared" si="295"/>
        <v/>
      </c>
      <c r="AB594" s="11" t="str">
        <f t="shared" si="296"/>
        <v/>
      </c>
      <c r="AD594" s="11" t="str">
        <f t="shared" si="297"/>
        <v/>
      </c>
      <c r="AE594" s="11" t="str">
        <f t="shared" si="298"/>
        <v/>
      </c>
      <c r="AF594" s="11" t="str">
        <f t="shared" si="299"/>
        <v/>
      </c>
    </row>
    <row r="595" spans="1:48" ht="30" customHeight="1" outlineLevel="2">
      <c r="A595" s="116" t="s">
        <v>1401</v>
      </c>
      <c r="B595" s="117" t="s">
        <v>1402</v>
      </c>
      <c r="C595" s="134" t="s">
        <v>242</v>
      </c>
      <c r="E595" s="105">
        <f>MIN(N595,R595,V595,Z595,AD595)</f>
        <v>0</v>
      </c>
      <c r="F595" s="105">
        <f>AVERAGE(N595,R595,V595,Z595,AD595)</f>
        <v>0</v>
      </c>
      <c r="G595" s="105">
        <f>MAX(N595,R595,V595,Z595,AD595)</f>
        <v>0</v>
      </c>
      <c r="H595" s="106"/>
      <c r="I595" s="105">
        <f>MIN(T595,X595,AB595,AF595,P595)</f>
        <v>0</v>
      </c>
      <c r="J595" s="105">
        <f>AVERAGE(P595,T595,X595,AB595,AF595)</f>
        <v>0</v>
      </c>
      <c r="K595" s="105">
        <f>MAX(P595,T595,X595,AB595,AF595)</f>
        <v>0</v>
      </c>
      <c r="N595" s="107">
        <f t="shared" si="285"/>
        <v>0</v>
      </c>
      <c r="O595" s="107">
        <f t="shared" si="286"/>
        <v>0</v>
      </c>
      <c r="P595" s="107">
        <f t="shared" si="287"/>
        <v>0</v>
      </c>
      <c r="R595" s="107">
        <f t="shared" si="288"/>
        <v>0</v>
      </c>
      <c r="S595" s="107">
        <f t="shared" si="289"/>
        <v>0</v>
      </c>
      <c r="T595" s="107">
        <f t="shared" si="290"/>
        <v>0</v>
      </c>
      <c r="V595" s="107">
        <f t="shared" si="291"/>
        <v>0</v>
      </c>
      <c r="W595" s="107">
        <f t="shared" si="292"/>
        <v>0</v>
      </c>
      <c r="X595" s="107">
        <f t="shared" si="293"/>
        <v>0</v>
      </c>
      <c r="Z595" s="107">
        <f t="shared" si="294"/>
        <v>0</v>
      </c>
      <c r="AA595" s="107">
        <f t="shared" si="295"/>
        <v>0</v>
      </c>
      <c r="AB595" s="107">
        <f t="shared" si="296"/>
        <v>0</v>
      </c>
      <c r="AD595" s="107">
        <f t="shared" si="297"/>
        <v>0</v>
      </c>
      <c r="AE595" s="107">
        <f t="shared" si="298"/>
        <v>0</v>
      </c>
      <c r="AF595" s="107">
        <f t="shared" si="299"/>
        <v>0</v>
      </c>
      <c r="AH595" s="107">
        <v>0</v>
      </c>
      <c r="AI595" s="107">
        <v>0</v>
      </c>
      <c r="AJ595" s="107">
        <v>0</v>
      </c>
      <c r="AK595" s="107">
        <v>0</v>
      </c>
      <c r="AL595" s="107">
        <v>0</v>
      </c>
      <c r="AM595" s="107">
        <v>0</v>
      </c>
      <c r="AN595" s="107">
        <v>0</v>
      </c>
      <c r="AO595" s="107">
        <v>0</v>
      </c>
      <c r="AP595" s="107">
        <v>0</v>
      </c>
      <c r="AQ595" s="107">
        <v>0</v>
      </c>
      <c r="AR595" s="107">
        <v>0</v>
      </c>
      <c r="AS595" s="107">
        <v>0</v>
      </c>
      <c r="AT595" s="107">
        <v>0</v>
      </c>
      <c r="AU595" s="107">
        <v>0</v>
      </c>
      <c r="AV595" s="107">
        <v>0</v>
      </c>
    </row>
    <row r="596" spans="1:48" ht="30" customHeight="1" outlineLevel="2">
      <c r="A596" s="116" t="s">
        <v>1403</v>
      </c>
      <c r="B596" s="117" t="s">
        <v>1404</v>
      </c>
      <c r="C596" s="134" t="s">
        <v>242</v>
      </c>
      <c r="E596" s="105">
        <f>MIN(N596,R596,V596,Z596,AD596)</f>
        <v>0</v>
      </c>
      <c r="F596" s="105">
        <f>AVERAGE(N596,R596,V596,Z596,AD596)</f>
        <v>0</v>
      </c>
      <c r="G596" s="105">
        <f>MAX(N596,R596,V596,Z596,AD596)</f>
        <v>0</v>
      </c>
      <c r="H596" s="106"/>
      <c r="I596" s="105">
        <f>MIN(T596,X596,AB596,AF596,P596)</f>
        <v>0</v>
      </c>
      <c r="J596" s="105">
        <f>AVERAGE(P596,T596,X596,AB596,AF596)</f>
        <v>0</v>
      </c>
      <c r="K596" s="105">
        <f>MAX(P596,T596,X596,AB596,AF596)</f>
        <v>0</v>
      </c>
      <c r="N596" s="107">
        <f t="shared" si="285"/>
        <v>0</v>
      </c>
      <c r="O596" s="107">
        <f t="shared" si="286"/>
        <v>0</v>
      </c>
      <c r="P596" s="107">
        <f t="shared" si="287"/>
        <v>0</v>
      </c>
      <c r="R596" s="107">
        <f t="shared" si="288"/>
        <v>0</v>
      </c>
      <c r="S596" s="107">
        <f t="shared" si="289"/>
        <v>0</v>
      </c>
      <c r="T596" s="107">
        <f t="shared" si="290"/>
        <v>0</v>
      </c>
      <c r="V596" s="107">
        <f t="shared" si="291"/>
        <v>0</v>
      </c>
      <c r="W596" s="107">
        <f t="shared" si="292"/>
        <v>0</v>
      </c>
      <c r="X596" s="107">
        <f t="shared" si="293"/>
        <v>0</v>
      </c>
      <c r="Z596" s="107">
        <f t="shared" si="294"/>
        <v>0</v>
      </c>
      <c r="AA596" s="107">
        <f t="shared" si="295"/>
        <v>0</v>
      </c>
      <c r="AB596" s="107">
        <f t="shared" si="296"/>
        <v>0</v>
      </c>
      <c r="AD596" s="107">
        <f t="shared" si="297"/>
        <v>0</v>
      </c>
      <c r="AE596" s="107">
        <f t="shared" si="298"/>
        <v>0</v>
      </c>
      <c r="AF596" s="107">
        <f t="shared" si="299"/>
        <v>0</v>
      </c>
      <c r="AH596" s="107">
        <v>0</v>
      </c>
      <c r="AI596" s="107">
        <v>0</v>
      </c>
      <c r="AJ596" s="107">
        <v>0</v>
      </c>
      <c r="AK596" s="107">
        <v>0</v>
      </c>
      <c r="AL596" s="107">
        <v>0</v>
      </c>
      <c r="AM596" s="107">
        <v>0</v>
      </c>
      <c r="AN596" s="107">
        <v>0</v>
      </c>
      <c r="AO596" s="107">
        <v>0</v>
      </c>
      <c r="AP596" s="107">
        <v>0</v>
      </c>
      <c r="AQ596" s="107">
        <v>0</v>
      </c>
      <c r="AR596" s="107">
        <v>0</v>
      </c>
      <c r="AS596" s="107">
        <v>0</v>
      </c>
      <c r="AT596" s="107">
        <v>0</v>
      </c>
      <c r="AU596" s="107">
        <v>0</v>
      </c>
      <c r="AV596" s="107">
        <v>0</v>
      </c>
    </row>
    <row r="597" spans="1:48" ht="30" customHeight="1" outlineLevel="2">
      <c r="A597" s="116" t="s">
        <v>1405</v>
      </c>
      <c r="B597" s="117" t="s">
        <v>1406</v>
      </c>
      <c r="C597" s="134" t="s">
        <v>242</v>
      </c>
      <c r="E597" s="105">
        <f>MIN(N597,R597,V597,Z597,AD597)</f>
        <v>0</v>
      </c>
      <c r="F597" s="105">
        <f>AVERAGE(N597,R597,V597,Z597,AD597)</f>
        <v>0</v>
      </c>
      <c r="G597" s="105">
        <f>MAX(N597,R597,V597,Z597,AD597)</f>
        <v>0</v>
      </c>
      <c r="H597" s="106"/>
      <c r="I597" s="105">
        <f>MIN(T597,X597,AB597,AF597,P597)</f>
        <v>0</v>
      </c>
      <c r="J597" s="105">
        <f>AVERAGE(P597,T597,X597,AB597,AF597)</f>
        <v>0</v>
      </c>
      <c r="K597" s="105">
        <f>MAX(P597,T597,X597,AB597,AF597)</f>
        <v>0</v>
      </c>
      <c r="N597" s="107">
        <f t="shared" si="285"/>
        <v>0</v>
      </c>
      <c r="O597" s="107">
        <f t="shared" si="286"/>
        <v>0</v>
      </c>
      <c r="P597" s="107">
        <f t="shared" si="287"/>
        <v>0</v>
      </c>
      <c r="R597" s="107">
        <f t="shared" si="288"/>
        <v>0</v>
      </c>
      <c r="S597" s="107">
        <f t="shared" si="289"/>
        <v>0</v>
      </c>
      <c r="T597" s="107">
        <f t="shared" si="290"/>
        <v>0</v>
      </c>
      <c r="V597" s="107">
        <f t="shared" si="291"/>
        <v>0</v>
      </c>
      <c r="W597" s="107">
        <f t="shared" si="292"/>
        <v>0</v>
      </c>
      <c r="X597" s="107">
        <f t="shared" si="293"/>
        <v>0</v>
      </c>
      <c r="Z597" s="107">
        <f t="shared" si="294"/>
        <v>0</v>
      </c>
      <c r="AA597" s="107">
        <f t="shared" si="295"/>
        <v>0</v>
      </c>
      <c r="AB597" s="107">
        <f t="shared" si="296"/>
        <v>0</v>
      </c>
      <c r="AD597" s="107">
        <f t="shared" si="297"/>
        <v>0</v>
      </c>
      <c r="AE597" s="107">
        <f t="shared" si="298"/>
        <v>0</v>
      </c>
      <c r="AF597" s="107">
        <f t="shared" si="299"/>
        <v>0</v>
      </c>
      <c r="AH597" s="107">
        <v>0</v>
      </c>
      <c r="AI597" s="107">
        <v>0</v>
      </c>
      <c r="AJ597" s="107">
        <v>0</v>
      </c>
      <c r="AK597" s="107">
        <v>0</v>
      </c>
      <c r="AL597" s="107">
        <v>0</v>
      </c>
      <c r="AM597" s="107">
        <v>0</v>
      </c>
      <c r="AN597" s="107">
        <v>0</v>
      </c>
      <c r="AO597" s="107">
        <v>0</v>
      </c>
      <c r="AP597" s="107">
        <v>0</v>
      </c>
      <c r="AQ597" s="107">
        <v>0</v>
      </c>
      <c r="AR597" s="107">
        <v>0</v>
      </c>
      <c r="AS597" s="107">
        <v>0</v>
      </c>
      <c r="AT597" s="107">
        <v>0</v>
      </c>
      <c r="AU597" s="107">
        <v>0</v>
      </c>
      <c r="AV597" s="107">
        <v>0</v>
      </c>
    </row>
    <row r="598" spans="1:48" ht="30" customHeight="1" outlineLevel="1">
      <c r="A598" s="132" t="s">
        <v>1407</v>
      </c>
      <c r="B598" s="133" t="s">
        <v>1408</v>
      </c>
      <c r="C598" s="101"/>
      <c r="N598" s="11" t="str">
        <f t="shared" si="285"/>
        <v/>
      </c>
      <c r="O598" s="11" t="str">
        <f t="shared" si="286"/>
        <v/>
      </c>
      <c r="P598" s="11" t="str">
        <f t="shared" si="287"/>
        <v/>
      </c>
      <c r="R598" s="11" t="str">
        <f t="shared" si="288"/>
        <v/>
      </c>
      <c r="S598" s="11" t="str">
        <f t="shared" si="289"/>
        <v/>
      </c>
      <c r="T598" s="11" t="str">
        <f t="shared" si="290"/>
        <v/>
      </c>
      <c r="V598" s="11" t="str">
        <f t="shared" si="291"/>
        <v/>
      </c>
      <c r="W598" s="11" t="str">
        <f t="shared" si="292"/>
        <v/>
      </c>
      <c r="X598" s="11" t="str">
        <f t="shared" si="293"/>
        <v/>
      </c>
      <c r="Z598" s="11" t="str">
        <f t="shared" si="294"/>
        <v/>
      </c>
      <c r="AA598" s="11" t="str">
        <f t="shared" si="295"/>
        <v/>
      </c>
      <c r="AB598" s="11" t="str">
        <f t="shared" si="296"/>
        <v/>
      </c>
      <c r="AD598" s="11" t="str">
        <f t="shared" si="297"/>
        <v/>
      </c>
      <c r="AE598" s="11" t="str">
        <f t="shared" si="298"/>
        <v/>
      </c>
      <c r="AF598" s="11" t="str">
        <f t="shared" si="299"/>
        <v/>
      </c>
    </row>
    <row r="599" spans="1:48" ht="30" customHeight="1" outlineLevel="2">
      <c r="A599" s="116" t="s">
        <v>1409</v>
      </c>
      <c r="B599" s="117" t="s">
        <v>1410</v>
      </c>
      <c r="C599" s="134" t="s">
        <v>242</v>
      </c>
      <c r="E599" s="105">
        <f>MIN(N599,R599,V599,Z599,AD599)</f>
        <v>0</v>
      </c>
      <c r="F599" s="105">
        <f>AVERAGE(N599,R599,V599,Z599,AD599)</f>
        <v>0</v>
      </c>
      <c r="G599" s="105">
        <f>MAX(N599,R599,V599,Z599,AD599)</f>
        <v>0</v>
      </c>
      <c r="H599" s="106"/>
      <c r="I599" s="105">
        <f>MIN(T599,X599,AB599,AF599,P599)</f>
        <v>0</v>
      </c>
      <c r="J599" s="105">
        <f>AVERAGE(P599,T599,X599,AB599,AF599)</f>
        <v>0</v>
      </c>
      <c r="K599" s="105">
        <f>MAX(P599,T599,X599,AB599,AF599)</f>
        <v>0</v>
      </c>
      <c r="N599" s="107">
        <f t="shared" si="285"/>
        <v>0</v>
      </c>
      <c r="O599" s="107">
        <f t="shared" si="286"/>
        <v>0</v>
      </c>
      <c r="P599" s="107">
        <f t="shared" si="287"/>
        <v>0</v>
      </c>
      <c r="R599" s="107">
        <f t="shared" si="288"/>
        <v>0</v>
      </c>
      <c r="S599" s="107">
        <f t="shared" si="289"/>
        <v>0</v>
      </c>
      <c r="T599" s="107">
        <f t="shared" si="290"/>
        <v>0</v>
      </c>
      <c r="V599" s="107">
        <f t="shared" si="291"/>
        <v>0</v>
      </c>
      <c r="W599" s="107">
        <f t="shared" si="292"/>
        <v>0</v>
      </c>
      <c r="X599" s="107">
        <f t="shared" si="293"/>
        <v>0</v>
      </c>
      <c r="Z599" s="107">
        <f t="shared" si="294"/>
        <v>0</v>
      </c>
      <c r="AA599" s="107">
        <f t="shared" si="295"/>
        <v>0</v>
      </c>
      <c r="AB599" s="107">
        <f t="shared" si="296"/>
        <v>0</v>
      </c>
      <c r="AD599" s="107">
        <f t="shared" si="297"/>
        <v>0</v>
      </c>
      <c r="AE599" s="107">
        <f t="shared" si="298"/>
        <v>0</v>
      </c>
      <c r="AF599" s="107">
        <f t="shared" si="299"/>
        <v>0</v>
      </c>
      <c r="AH599" s="107">
        <v>0</v>
      </c>
      <c r="AI599" s="107">
        <v>0</v>
      </c>
      <c r="AJ599" s="107">
        <v>0</v>
      </c>
      <c r="AK599" s="107">
        <v>0</v>
      </c>
      <c r="AL599" s="107">
        <v>0</v>
      </c>
      <c r="AM599" s="107">
        <v>0</v>
      </c>
      <c r="AN599" s="107">
        <v>0</v>
      </c>
      <c r="AO599" s="107">
        <v>0</v>
      </c>
      <c r="AP599" s="107">
        <v>0</v>
      </c>
      <c r="AQ599" s="107">
        <v>0</v>
      </c>
      <c r="AR599" s="107">
        <v>0</v>
      </c>
      <c r="AS599" s="107">
        <v>0</v>
      </c>
      <c r="AT599" s="107">
        <v>0</v>
      </c>
      <c r="AU599" s="107">
        <v>0</v>
      </c>
      <c r="AV599" s="107">
        <v>0</v>
      </c>
    </row>
    <row r="600" spans="1:48" ht="30" customHeight="1" outlineLevel="2">
      <c r="A600" s="116" t="s">
        <v>1411</v>
      </c>
      <c r="B600" s="117" t="s">
        <v>1412</v>
      </c>
      <c r="C600" s="134" t="s">
        <v>242</v>
      </c>
      <c r="E600" s="105">
        <f>MIN(N600,R600,V600,Z600,AD600)</f>
        <v>0</v>
      </c>
      <c r="F600" s="105">
        <f>AVERAGE(N600,R600,V600,Z600,AD600)</f>
        <v>0</v>
      </c>
      <c r="G600" s="105">
        <f>MAX(N600,R600,V600,Z600,AD600)</f>
        <v>0</v>
      </c>
      <c r="H600" s="106"/>
      <c r="I600" s="105">
        <f>MIN(T600,X600,AB600,AF600,P600)</f>
        <v>0</v>
      </c>
      <c r="J600" s="105">
        <f>AVERAGE(P600,T600,X600,AB600,AF600)</f>
        <v>0</v>
      </c>
      <c r="K600" s="105">
        <f>MAX(P600,T600,X600,AB600,AF600)</f>
        <v>0</v>
      </c>
      <c r="N600" s="107">
        <f t="shared" si="285"/>
        <v>0</v>
      </c>
      <c r="O600" s="107">
        <f t="shared" si="286"/>
        <v>0</v>
      </c>
      <c r="P600" s="107">
        <f t="shared" si="287"/>
        <v>0</v>
      </c>
      <c r="R600" s="107">
        <f t="shared" si="288"/>
        <v>0</v>
      </c>
      <c r="S600" s="107">
        <f t="shared" si="289"/>
        <v>0</v>
      </c>
      <c r="T600" s="107">
        <f t="shared" si="290"/>
        <v>0</v>
      </c>
      <c r="V600" s="107">
        <f t="shared" si="291"/>
        <v>0</v>
      </c>
      <c r="W600" s="107">
        <f t="shared" si="292"/>
        <v>0</v>
      </c>
      <c r="X600" s="107">
        <f t="shared" si="293"/>
        <v>0</v>
      </c>
      <c r="Z600" s="107">
        <f t="shared" si="294"/>
        <v>0</v>
      </c>
      <c r="AA600" s="107">
        <f t="shared" si="295"/>
        <v>0</v>
      </c>
      <c r="AB600" s="107">
        <f t="shared" si="296"/>
        <v>0</v>
      </c>
      <c r="AD600" s="107">
        <f t="shared" si="297"/>
        <v>0</v>
      </c>
      <c r="AE600" s="107">
        <f t="shared" si="298"/>
        <v>0</v>
      </c>
      <c r="AF600" s="107">
        <f t="shared" si="299"/>
        <v>0</v>
      </c>
      <c r="AH600" s="107">
        <v>0</v>
      </c>
      <c r="AI600" s="107">
        <v>0</v>
      </c>
      <c r="AJ600" s="107">
        <v>0</v>
      </c>
      <c r="AK600" s="107">
        <v>0</v>
      </c>
      <c r="AL600" s="107">
        <v>0</v>
      </c>
      <c r="AM600" s="107">
        <v>0</v>
      </c>
      <c r="AN600" s="107">
        <v>0</v>
      </c>
      <c r="AO600" s="107">
        <v>0</v>
      </c>
      <c r="AP600" s="107">
        <v>0</v>
      </c>
      <c r="AQ600" s="107">
        <v>0</v>
      </c>
      <c r="AR600" s="107">
        <v>0</v>
      </c>
      <c r="AS600" s="107">
        <v>0</v>
      </c>
      <c r="AT600" s="107">
        <v>0</v>
      </c>
      <c r="AU600" s="107">
        <v>0</v>
      </c>
      <c r="AV600" s="107">
        <v>0</v>
      </c>
    </row>
    <row r="601" spans="1:48" ht="30" customHeight="1" outlineLevel="2">
      <c r="A601" s="116" t="s">
        <v>1413</v>
      </c>
      <c r="B601" s="117" t="s">
        <v>1414</v>
      </c>
      <c r="C601" s="134" t="s">
        <v>242</v>
      </c>
      <c r="E601" s="105">
        <f>MIN(N601,R601,V601,Z601,AD601)</f>
        <v>0</v>
      </c>
      <c r="F601" s="105">
        <f>AVERAGE(N601,R601,V601,Z601,AD601)</f>
        <v>0</v>
      </c>
      <c r="G601" s="105">
        <f>MAX(N601,R601,V601,Z601,AD601)</f>
        <v>0</v>
      </c>
      <c r="H601" s="106"/>
      <c r="I601" s="105">
        <f>MIN(T601,X601,AB601,AF601,P601)</f>
        <v>0</v>
      </c>
      <c r="J601" s="105">
        <f>AVERAGE(P601,T601,X601,AB601,AF601)</f>
        <v>0</v>
      </c>
      <c r="K601" s="105">
        <f>MAX(P601,T601,X601,AB601,AF601)</f>
        <v>0</v>
      </c>
      <c r="N601" s="107">
        <f t="shared" si="285"/>
        <v>0</v>
      </c>
      <c r="O601" s="107">
        <f t="shared" si="286"/>
        <v>0</v>
      </c>
      <c r="P601" s="107">
        <f t="shared" si="287"/>
        <v>0</v>
      </c>
      <c r="R601" s="107">
        <f t="shared" si="288"/>
        <v>0</v>
      </c>
      <c r="S601" s="107">
        <f t="shared" si="289"/>
        <v>0</v>
      </c>
      <c r="T601" s="107">
        <f t="shared" si="290"/>
        <v>0</v>
      </c>
      <c r="V601" s="107">
        <f t="shared" si="291"/>
        <v>0</v>
      </c>
      <c r="W601" s="107">
        <f t="shared" si="292"/>
        <v>0</v>
      </c>
      <c r="X601" s="107">
        <f t="shared" si="293"/>
        <v>0</v>
      </c>
      <c r="Z601" s="107">
        <f t="shared" si="294"/>
        <v>0</v>
      </c>
      <c r="AA601" s="107">
        <f t="shared" si="295"/>
        <v>0</v>
      </c>
      <c r="AB601" s="107">
        <f t="shared" si="296"/>
        <v>0</v>
      </c>
      <c r="AD601" s="107">
        <f t="shared" si="297"/>
        <v>0</v>
      </c>
      <c r="AE601" s="107">
        <f t="shared" si="298"/>
        <v>0</v>
      </c>
      <c r="AF601" s="107">
        <f t="shared" si="299"/>
        <v>0</v>
      </c>
      <c r="AH601" s="107">
        <v>0</v>
      </c>
      <c r="AI601" s="107">
        <v>0</v>
      </c>
      <c r="AJ601" s="107">
        <v>0</v>
      </c>
      <c r="AK601" s="107">
        <v>0</v>
      </c>
      <c r="AL601" s="107">
        <v>0</v>
      </c>
      <c r="AM601" s="107">
        <v>0</v>
      </c>
      <c r="AN601" s="107">
        <v>0</v>
      </c>
      <c r="AO601" s="107">
        <v>0</v>
      </c>
      <c r="AP601" s="107">
        <v>0</v>
      </c>
      <c r="AQ601" s="107">
        <v>0</v>
      </c>
      <c r="AR601" s="107">
        <v>0</v>
      </c>
      <c r="AS601" s="107">
        <v>0</v>
      </c>
      <c r="AT601" s="107">
        <v>0</v>
      </c>
      <c r="AU601" s="107">
        <v>0</v>
      </c>
      <c r="AV601" s="107">
        <v>0</v>
      </c>
    </row>
    <row r="602" spans="1:48" ht="30" customHeight="1" outlineLevel="1">
      <c r="A602" s="132" t="s">
        <v>1415</v>
      </c>
      <c r="B602" s="133" t="s">
        <v>1416</v>
      </c>
      <c r="C602" s="101"/>
      <c r="N602" s="11" t="str">
        <f t="shared" si="285"/>
        <v/>
      </c>
      <c r="O602" s="11" t="str">
        <f t="shared" si="286"/>
        <v/>
      </c>
      <c r="P602" s="11" t="str">
        <f t="shared" si="287"/>
        <v/>
      </c>
      <c r="R602" s="11" t="str">
        <f t="shared" si="288"/>
        <v/>
      </c>
      <c r="S602" s="11" t="str">
        <f t="shared" si="289"/>
        <v/>
      </c>
      <c r="T602" s="11" t="str">
        <f t="shared" si="290"/>
        <v/>
      </c>
      <c r="V602" s="11" t="str">
        <f t="shared" si="291"/>
        <v/>
      </c>
      <c r="W602" s="11" t="str">
        <f t="shared" si="292"/>
        <v/>
      </c>
      <c r="X602" s="11" t="str">
        <f t="shared" si="293"/>
        <v/>
      </c>
      <c r="Z602" s="11" t="str">
        <f t="shared" si="294"/>
        <v/>
      </c>
      <c r="AA602" s="11" t="str">
        <f t="shared" si="295"/>
        <v/>
      </c>
      <c r="AB602" s="11" t="str">
        <f t="shared" si="296"/>
        <v/>
      </c>
      <c r="AD602" s="11" t="str">
        <f t="shared" si="297"/>
        <v/>
      </c>
      <c r="AE602" s="11" t="str">
        <f t="shared" si="298"/>
        <v/>
      </c>
      <c r="AF602" s="11" t="str">
        <f t="shared" si="299"/>
        <v/>
      </c>
    </row>
    <row r="603" spans="1:48" ht="30" customHeight="1" outlineLevel="2">
      <c r="A603" s="116" t="s">
        <v>1417</v>
      </c>
      <c r="B603" s="117" t="s">
        <v>1418</v>
      </c>
      <c r="C603" s="134" t="s">
        <v>242</v>
      </c>
      <c r="E603" s="105">
        <f>MIN(N603,R603,V603,Z603,AD603)</f>
        <v>0</v>
      </c>
      <c r="F603" s="105">
        <f>AVERAGE(N603,R603,V603,Z603,AD603)</f>
        <v>0</v>
      </c>
      <c r="G603" s="105">
        <f>MAX(N603,R603,V603,Z603,AD603)</f>
        <v>0</v>
      </c>
      <c r="H603" s="106"/>
      <c r="I603" s="105">
        <f>MIN(T603,X603,AB603,AF603,P603)</f>
        <v>0</v>
      </c>
      <c r="J603" s="105">
        <f>AVERAGE(P603,T603,X603,AB603,AF603)</f>
        <v>0</v>
      </c>
      <c r="K603" s="105">
        <f>MAX(P603,T603,X603,AB603,AF603)</f>
        <v>0</v>
      </c>
      <c r="N603" s="107">
        <f t="shared" si="285"/>
        <v>0</v>
      </c>
      <c r="O603" s="107">
        <f t="shared" si="286"/>
        <v>0</v>
      </c>
      <c r="P603" s="107">
        <f t="shared" si="287"/>
        <v>0</v>
      </c>
      <c r="R603" s="107">
        <f t="shared" si="288"/>
        <v>0</v>
      </c>
      <c r="S603" s="107">
        <f t="shared" si="289"/>
        <v>0</v>
      </c>
      <c r="T603" s="107">
        <f t="shared" si="290"/>
        <v>0</v>
      </c>
      <c r="V603" s="107">
        <f t="shared" si="291"/>
        <v>0</v>
      </c>
      <c r="W603" s="107">
        <f t="shared" si="292"/>
        <v>0</v>
      </c>
      <c r="X603" s="107">
        <f t="shared" si="293"/>
        <v>0</v>
      </c>
      <c r="Z603" s="107">
        <f t="shared" si="294"/>
        <v>0</v>
      </c>
      <c r="AA603" s="107">
        <f t="shared" si="295"/>
        <v>0</v>
      </c>
      <c r="AB603" s="107">
        <f t="shared" si="296"/>
        <v>0</v>
      </c>
      <c r="AD603" s="107">
        <f t="shared" si="297"/>
        <v>0</v>
      </c>
      <c r="AE603" s="107">
        <f t="shared" si="298"/>
        <v>0</v>
      </c>
      <c r="AF603" s="107">
        <f t="shared" si="299"/>
        <v>0</v>
      </c>
      <c r="AH603" s="107">
        <v>0</v>
      </c>
      <c r="AI603" s="107">
        <v>0</v>
      </c>
      <c r="AJ603" s="107">
        <v>0</v>
      </c>
      <c r="AK603" s="107">
        <v>0</v>
      </c>
      <c r="AL603" s="107">
        <v>0</v>
      </c>
      <c r="AM603" s="107">
        <v>0</v>
      </c>
      <c r="AN603" s="107">
        <v>0</v>
      </c>
      <c r="AO603" s="107">
        <v>0</v>
      </c>
      <c r="AP603" s="107">
        <v>0</v>
      </c>
      <c r="AQ603" s="107">
        <v>0</v>
      </c>
      <c r="AR603" s="107">
        <v>0</v>
      </c>
      <c r="AS603" s="107">
        <v>0</v>
      </c>
      <c r="AT603" s="107">
        <v>0</v>
      </c>
      <c r="AU603" s="107">
        <v>0</v>
      </c>
      <c r="AV603" s="107">
        <v>0</v>
      </c>
    </row>
    <row r="604" spans="1:48" ht="30" customHeight="1" outlineLevel="2">
      <c r="A604" s="116" t="s">
        <v>1419</v>
      </c>
      <c r="B604" s="117" t="s">
        <v>1420</v>
      </c>
      <c r="C604" s="134" t="s">
        <v>242</v>
      </c>
      <c r="E604" s="105">
        <f>MIN(N604,R604,V604,Z604,AD604)</f>
        <v>0</v>
      </c>
      <c r="F604" s="105">
        <f>AVERAGE(N604,R604,V604,Z604,AD604)</f>
        <v>0</v>
      </c>
      <c r="G604" s="105">
        <f>MAX(N604,R604,V604,Z604,AD604)</f>
        <v>0</v>
      </c>
      <c r="H604" s="106"/>
      <c r="I604" s="105">
        <f>MIN(T604,X604,AB604,AF604,P604)</f>
        <v>0</v>
      </c>
      <c r="J604" s="105">
        <f>AVERAGE(P604,T604,X604,AB604,AF604)</f>
        <v>0</v>
      </c>
      <c r="K604" s="105">
        <f>MAX(P604,T604,X604,AB604,AF604)</f>
        <v>0</v>
      </c>
      <c r="N604" s="107">
        <f t="shared" si="285"/>
        <v>0</v>
      </c>
      <c r="O604" s="107">
        <f t="shared" si="286"/>
        <v>0</v>
      </c>
      <c r="P604" s="107">
        <f t="shared" si="287"/>
        <v>0</v>
      </c>
      <c r="R604" s="107">
        <f t="shared" si="288"/>
        <v>0</v>
      </c>
      <c r="S604" s="107">
        <f t="shared" si="289"/>
        <v>0</v>
      </c>
      <c r="T604" s="107">
        <f t="shared" si="290"/>
        <v>0</v>
      </c>
      <c r="V604" s="107">
        <f t="shared" si="291"/>
        <v>0</v>
      </c>
      <c r="W604" s="107">
        <f t="shared" si="292"/>
        <v>0</v>
      </c>
      <c r="X604" s="107">
        <f t="shared" si="293"/>
        <v>0</v>
      </c>
      <c r="Z604" s="107">
        <f t="shared" si="294"/>
        <v>0</v>
      </c>
      <c r="AA604" s="107">
        <f t="shared" si="295"/>
        <v>0</v>
      </c>
      <c r="AB604" s="107">
        <f t="shared" si="296"/>
        <v>0</v>
      </c>
      <c r="AD604" s="107">
        <f t="shared" si="297"/>
        <v>0</v>
      </c>
      <c r="AE604" s="107">
        <f t="shared" si="298"/>
        <v>0</v>
      </c>
      <c r="AF604" s="107">
        <f t="shared" si="299"/>
        <v>0</v>
      </c>
      <c r="AH604" s="107">
        <v>0</v>
      </c>
      <c r="AI604" s="107">
        <v>0</v>
      </c>
      <c r="AJ604" s="107">
        <v>0</v>
      </c>
      <c r="AK604" s="107">
        <v>0</v>
      </c>
      <c r="AL604" s="107">
        <v>0</v>
      </c>
      <c r="AM604" s="107">
        <v>0</v>
      </c>
      <c r="AN604" s="107">
        <v>0</v>
      </c>
      <c r="AO604" s="107">
        <v>0</v>
      </c>
      <c r="AP604" s="107">
        <v>0</v>
      </c>
      <c r="AQ604" s="107">
        <v>0</v>
      </c>
      <c r="AR604" s="107">
        <v>0</v>
      </c>
      <c r="AS604" s="107">
        <v>0</v>
      </c>
      <c r="AT604" s="107">
        <v>0</v>
      </c>
      <c r="AU604" s="107">
        <v>0</v>
      </c>
      <c r="AV604" s="107">
        <v>0</v>
      </c>
    </row>
    <row r="605" spans="1:48" ht="30" customHeight="1" outlineLevel="2">
      <c r="A605" s="116" t="s">
        <v>1421</v>
      </c>
      <c r="B605" s="117" t="s">
        <v>1422</v>
      </c>
      <c r="C605" s="134" t="s">
        <v>242</v>
      </c>
      <c r="E605" s="105">
        <f>MIN(N605,R605,V605,Z605,AD605)</f>
        <v>0</v>
      </c>
      <c r="F605" s="105">
        <f>AVERAGE(N605,R605,V605,Z605,AD605)</f>
        <v>0</v>
      </c>
      <c r="G605" s="105">
        <f>MAX(N605,R605,V605,Z605,AD605)</f>
        <v>0</v>
      </c>
      <c r="H605" s="106"/>
      <c r="I605" s="105">
        <f>MIN(T605,X605,AB605,AF605,P605)</f>
        <v>0</v>
      </c>
      <c r="J605" s="105">
        <f>AVERAGE(P605,T605,X605,AB605,AF605)</f>
        <v>0</v>
      </c>
      <c r="K605" s="105">
        <f>MAX(P605,T605,X605,AB605,AF605)</f>
        <v>0</v>
      </c>
      <c r="N605" s="107">
        <f t="shared" si="285"/>
        <v>0</v>
      </c>
      <c r="O605" s="107">
        <f t="shared" si="286"/>
        <v>0</v>
      </c>
      <c r="P605" s="107">
        <f t="shared" si="287"/>
        <v>0</v>
      </c>
      <c r="R605" s="107">
        <f t="shared" si="288"/>
        <v>0</v>
      </c>
      <c r="S605" s="107">
        <f t="shared" si="289"/>
        <v>0</v>
      </c>
      <c r="T605" s="107">
        <f t="shared" si="290"/>
        <v>0</v>
      </c>
      <c r="V605" s="107">
        <f t="shared" si="291"/>
        <v>0</v>
      </c>
      <c r="W605" s="107">
        <f t="shared" si="292"/>
        <v>0</v>
      </c>
      <c r="X605" s="107">
        <f t="shared" si="293"/>
        <v>0</v>
      </c>
      <c r="Z605" s="107">
        <f t="shared" si="294"/>
        <v>0</v>
      </c>
      <c r="AA605" s="107">
        <f t="shared" si="295"/>
        <v>0</v>
      </c>
      <c r="AB605" s="107">
        <f t="shared" si="296"/>
        <v>0</v>
      </c>
      <c r="AD605" s="107">
        <f t="shared" si="297"/>
        <v>0</v>
      </c>
      <c r="AE605" s="107">
        <f t="shared" si="298"/>
        <v>0</v>
      </c>
      <c r="AF605" s="107">
        <f t="shared" si="299"/>
        <v>0</v>
      </c>
      <c r="AH605" s="107">
        <v>0</v>
      </c>
      <c r="AI605" s="107">
        <v>0</v>
      </c>
      <c r="AJ605" s="107">
        <v>0</v>
      </c>
      <c r="AK605" s="107">
        <v>0</v>
      </c>
      <c r="AL605" s="107">
        <v>0</v>
      </c>
      <c r="AM605" s="107">
        <v>0</v>
      </c>
      <c r="AN605" s="107">
        <v>0</v>
      </c>
      <c r="AO605" s="107">
        <v>0</v>
      </c>
      <c r="AP605" s="107">
        <v>0</v>
      </c>
      <c r="AQ605" s="107">
        <v>0</v>
      </c>
      <c r="AR605" s="107">
        <v>0</v>
      </c>
      <c r="AS605" s="107">
        <v>0</v>
      </c>
      <c r="AT605" s="107">
        <v>0</v>
      </c>
      <c r="AU605" s="107">
        <v>0</v>
      </c>
      <c r="AV605" s="107">
        <v>0</v>
      </c>
    </row>
    <row r="606" spans="1:48" ht="30" customHeight="1" outlineLevel="2">
      <c r="A606" s="116" t="s">
        <v>1423</v>
      </c>
      <c r="B606" s="117" t="s">
        <v>1424</v>
      </c>
      <c r="C606" s="134" t="s">
        <v>242</v>
      </c>
      <c r="E606" s="105">
        <f>MIN(N606,R606,V606,Z606,AD606)</f>
        <v>0</v>
      </c>
      <c r="F606" s="105">
        <f>AVERAGE(N606,R606,V606,Z606,AD606)</f>
        <v>0</v>
      </c>
      <c r="G606" s="105">
        <f>MAX(N606,R606,V606,Z606,AD606)</f>
        <v>0</v>
      </c>
      <c r="H606" s="106"/>
      <c r="I606" s="105">
        <f>MIN(T606,X606,AB606,AF606,P606)</f>
        <v>0</v>
      </c>
      <c r="J606" s="105">
        <f>AVERAGE(P606,T606,X606,AB606,AF606)</f>
        <v>0</v>
      </c>
      <c r="K606" s="105">
        <f>MAX(P606,T606,X606,AB606,AF606)</f>
        <v>0</v>
      </c>
      <c r="N606" s="107">
        <f t="shared" si="285"/>
        <v>0</v>
      </c>
      <c r="O606" s="107">
        <f t="shared" si="286"/>
        <v>0</v>
      </c>
      <c r="P606" s="107">
        <f t="shared" si="287"/>
        <v>0</v>
      </c>
      <c r="R606" s="107">
        <f t="shared" si="288"/>
        <v>0</v>
      </c>
      <c r="S606" s="107">
        <f t="shared" si="289"/>
        <v>0</v>
      </c>
      <c r="T606" s="107">
        <f t="shared" si="290"/>
        <v>0</v>
      </c>
      <c r="V606" s="107">
        <f t="shared" si="291"/>
        <v>0</v>
      </c>
      <c r="W606" s="107">
        <f t="shared" si="292"/>
        <v>0</v>
      </c>
      <c r="X606" s="107">
        <f t="shared" si="293"/>
        <v>0</v>
      </c>
      <c r="Z606" s="107">
        <f t="shared" si="294"/>
        <v>0</v>
      </c>
      <c r="AA606" s="107">
        <f t="shared" si="295"/>
        <v>0</v>
      </c>
      <c r="AB606" s="107">
        <f t="shared" si="296"/>
        <v>0</v>
      </c>
      <c r="AD606" s="107">
        <f t="shared" si="297"/>
        <v>0</v>
      </c>
      <c r="AE606" s="107">
        <f t="shared" si="298"/>
        <v>0</v>
      </c>
      <c r="AF606" s="107">
        <f t="shared" si="299"/>
        <v>0</v>
      </c>
      <c r="AH606" s="107">
        <v>0</v>
      </c>
      <c r="AI606" s="107">
        <v>0</v>
      </c>
      <c r="AJ606" s="107">
        <v>0</v>
      </c>
      <c r="AK606" s="107">
        <v>0</v>
      </c>
      <c r="AL606" s="107">
        <v>0</v>
      </c>
      <c r="AM606" s="107">
        <v>0</v>
      </c>
      <c r="AN606" s="107">
        <v>0</v>
      </c>
      <c r="AO606" s="107">
        <v>0</v>
      </c>
      <c r="AP606" s="107">
        <v>0</v>
      </c>
      <c r="AQ606" s="107">
        <v>0</v>
      </c>
      <c r="AR606" s="107">
        <v>0</v>
      </c>
      <c r="AS606" s="107">
        <v>0</v>
      </c>
      <c r="AT606" s="107">
        <v>0</v>
      </c>
      <c r="AU606" s="107">
        <v>0</v>
      </c>
      <c r="AV606" s="107">
        <v>0</v>
      </c>
    </row>
    <row r="607" spans="1:48" ht="30" customHeight="1" outlineLevel="2">
      <c r="A607" s="116" t="s">
        <v>1425</v>
      </c>
      <c r="B607" s="117" t="s">
        <v>1426</v>
      </c>
      <c r="C607" s="134" t="s">
        <v>242</v>
      </c>
      <c r="E607" s="105">
        <f>MIN(N607,R607,V607,Z607,AD607)</f>
        <v>0</v>
      </c>
      <c r="F607" s="105">
        <f>AVERAGE(N607,R607,V607,Z607,AD607)</f>
        <v>0</v>
      </c>
      <c r="G607" s="105">
        <f>MAX(N607,R607,V607,Z607,AD607)</f>
        <v>0</v>
      </c>
      <c r="H607" s="106"/>
      <c r="I607" s="105">
        <f>MIN(T607,X607,AB607,AF607,P607)</f>
        <v>0</v>
      </c>
      <c r="J607" s="105">
        <f>AVERAGE(P607,T607,X607,AB607,AF607)</f>
        <v>0</v>
      </c>
      <c r="K607" s="105">
        <f>MAX(P607,T607,X607,AB607,AF607)</f>
        <v>0</v>
      </c>
      <c r="N607" s="107">
        <f t="shared" si="285"/>
        <v>0</v>
      </c>
      <c r="O607" s="107">
        <f t="shared" si="286"/>
        <v>0</v>
      </c>
      <c r="P607" s="107">
        <f t="shared" si="287"/>
        <v>0</v>
      </c>
      <c r="R607" s="107">
        <f t="shared" si="288"/>
        <v>0</v>
      </c>
      <c r="S607" s="107">
        <f t="shared" si="289"/>
        <v>0</v>
      </c>
      <c r="T607" s="107">
        <f t="shared" si="290"/>
        <v>0</v>
      </c>
      <c r="V607" s="107">
        <f t="shared" si="291"/>
        <v>0</v>
      </c>
      <c r="W607" s="107">
        <f t="shared" si="292"/>
        <v>0</v>
      </c>
      <c r="X607" s="107">
        <f t="shared" si="293"/>
        <v>0</v>
      </c>
      <c r="Z607" s="107">
        <f t="shared" si="294"/>
        <v>0</v>
      </c>
      <c r="AA607" s="107">
        <f t="shared" si="295"/>
        <v>0</v>
      </c>
      <c r="AB607" s="107">
        <f t="shared" si="296"/>
        <v>0</v>
      </c>
      <c r="AD607" s="107">
        <f t="shared" si="297"/>
        <v>0</v>
      </c>
      <c r="AE607" s="107">
        <f t="shared" si="298"/>
        <v>0</v>
      </c>
      <c r="AF607" s="107">
        <f t="shared" si="299"/>
        <v>0</v>
      </c>
      <c r="AH607" s="107">
        <v>0</v>
      </c>
      <c r="AI607" s="107">
        <v>0</v>
      </c>
      <c r="AJ607" s="107">
        <v>0</v>
      </c>
      <c r="AK607" s="107">
        <v>0</v>
      </c>
      <c r="AL607" s="107">
        <v>0</v>
      </c>
      <c r="AM607" s="107">
        <v>0</v>
      </c>
      <c r="AN607" s="107">
        <v>0</v>
      </c>
      <c r="AO607" s="107">
        <v>0</v>
      </c>
      <c r="AP607" s="107">
        <v>0</v>
      </c>
      <c r="AQ607" s="107">
        <v>0</v>
      </c>
      <c r="AR607" s="107">
        <v>0</v>
      </c>
      <c r="AS607" s="107">
        <v>0</v>
      </c>
      <c r="AT607" s="107">
        <v>0</v>
      </c>
      <c r="AU607" s="107">
        <v>0</v>
      </c>
      <c r="AV607" s="107">
        <v>0</v>
      </c>
    </row>
    <row r="608" spans="1:48" ht="30" customHeight="1" outlineLevel="1">
      <c r="A608" s="132" t="s">
        <v>1427</v>
      </c>
      <c r="B608" s="133" t="s">
        <v>1428</v>
      </c>
      <c r="C608" s="101"/>
      <c r="N608" s="11" t="str">
        <f t="shared" si="285"/>
        <v/>
      </c>
      <c r="O608" s="11" t="str">
        <f t="shared" si="286"/>
        <v/>
      </c>
      <c r="P608" s="11" t="str">
        <f t="shared" si="287"/>
        <v/>
      </c>
      <c r="R608" s="11" t="str">
        <f t="shared" si="288"/>
        <v/>
      </c>
      <c r="S608" s="11" t="str">
        <f t="shared" si="289"/>
        <v/>
      </c>
      <c r="T608" s="11" t="str">
        <f t="shared" si="290"/>
        <v/>
      </c>
      <c r="V608" s="11" t="str">
        <f t="shared" si="291"/>
        <v/>
      </c>
      <c r="W608" s="11" t="str">
        <f t="shared" si="292"/>
        <v/>
      </c>
      <c r="X608" s="11" t="str">
        <f t="shared" si="293"/>
        <v/>
      </c>
      <c r="Z608" s="11" t="str">
        <f t="shared" si="294"/>
        <v/>
      </c>
      <c r="AA608" s="11" t="str">
        <f t="shared" si="295"/>
        <v/>
      </c>
      <c r="AB608" s="11" t="str">
        <f t="shared" si="296"/>
        <v/>
      </c>
      <c r="AD608" s="11" t="str">
        <f t="shared" si="297"/>
        <v/>
      </c>
      <c r="AE608" s="11" t="str">
        <f t="shared" si="298"/>
        <v/>
      </c>
      <c r="AF608" s="11" t="str">
        <f t="shared" si="299"/>
        <v/>
      </c>
    </row>
    <row r="609" spans="1:48" ht="30" customHeight="1" outlineLevel="2">
      <c r="A609" s="116" t="s">
        <v>1429</v>
      </c>
      <c r="B609" s="117" t="s">
        <v>1430</v>
      </c>
      <c r="C609" s="134" t="s">
        <v>242</v>
      </c>
      <c r="E609" s="105">
        <f>MIN(N609,R609,V609,Z609,AD609)</f>
        <v>0</v>
      </c>
      <c r="F609" s="105">
        <f>AVERAGE(N609,R609,V609,Z609,AD609)</f>
        <v>0</v>
      </c>
      <c r="G609" s="105">
        <f>MAX(N609,R609,V609,Z609,AD609)</f>
        <v>0</v>
      </c>
      <c r="H609" s="106"/>
      <c r="I609" s="105">
        <f>MIN(T609,X609,AB609,AF609,P609)</f>
        <v>0</v>
      </c>
      <c r="J609" s="105">
        <f>AVERAGE(P609,T609,X609,AB609,AF609)</f>
        <v>0</v>
      </c>
      <c r="K609" s="105">
        <f>MAX(P609,T609,X609,AB609,AF609)</f>
        <v>0</v>
      </c>
      <c r="N609" s="107">
        <f t="shared" si="285"/>
        <v>0</v>
      </c>
      <c r="O609" s="107">
        <f t="shared" si="286"/>
        <v>0</v>
      </c>
      <c r="P609" s="107">
        <f t="shared" si="287"/>
        <v>0</v>
      </c>
      <c r="R609" s="107">
        <f t="shared" si="288"/>
        <v>0</v>
      </c>
      <c r="S609" s="107">
        <f t="shared" si="289"/>
        <v>0</v>
      </c>
      <c r="T609" s="107">
        <f t="shared" si="290"/>
        <v>0</v>
      </c>
      <c r="V609" s="107">
        <f t="shared" si="291"/>
        <v>0</v>
      </c>
      <c r="W609" s="107">
        <f t="shared" si="292"/>
        <v>0</v>
      </c>
      <c r="X609" s="107">
        <f t="shared" si="293"/>
        <v>0</v>
      </c>
      <c r="Z609" s="107">
        <f t="shared" si="294"/>
        <v>0</v>
      </c>
      <c r="AA609" s="107">
        <f t="shared" si="295"/>
        <v>0</v>
      </c>
      <c r="AB609" s="107">
        <f t="shared" si="296"/>
        <v>0</v>
      </c>
      <c r="AD609" s="107">
        <f t="shared" si="297"/>
        <v>0</v>
      </c>
      <c r="AE609" s="107">
        <f t="shared" si="298"/>
        <v>0</v>
      </c>
      <c r="AF609" s="107">
        <f t="shared" si="299"/>
        <v>0</v>
      </c>
      <c r="AH609" s="107">
        <v>0</v>
      </c>
      <c r="AI609" s="107">
        <v>0</v>
      </c>
      <c r="AJ609" s="107">
        <v>0</v>
      </c>
      <c r="AK609" s="107">
        <v>0</v>
      </c>
      <c r="AL609" s="107">
        <v>0</v>
      </c>
      <c r="AM609" s="107">
        <v>0</v>
      </c>
      <c r="AN609" s="107">
        <v>0</v>
      </c>
      <c r="AO609" s="107">
        <v>0</v>
      </c>
      <c r="AP609" s="107">
        <v>0</v>
      </c>
      <c r="AQ609" s="107">
        <v>0</v>
      </c>
      <c r="AR609" s="107">
        <v>0</v>
      </c>
      <c r="AS609" s="107">
        <v>0</v>
      </c>
      <c r="AT609" s="107">
        <v>0</v>
      </c>
      <c r="AU609" s="107">
        <v>0</v>
      </c>
      <c r="AV609" s="107">
        <v>0</v>
      </c>
    </row>
    <row r="610" spans="1:48" ht="30" customHeight="1" outlineLevel="2">
      <c r="A610" s="116" t="s">
        <v>1431</v>
      </c>
      <c r="B610" s="117" t="s">
        <v>1432</v>
      </c>
      <c r="C610" s="134" t="s">
        <v>242</v>
      </c>
      <c r="E610" s="105">
        <f>MIN(N610,R610,V610,Z610,AD610)</f>
        <v>0</v>
      </c>
      <c r="F610" s="105">
        <f>AVERAGE(N610,R610,V610,Z610,AD610)</f>
        <v>0</v>
      </c>
      <c r="G610" s="105">
        <f>MAX(N610,R610,V610,Z610,AD610)</f>
        <v>0</v>
      </c>
      <c r="H610" s="106"/>
      <c r="I610" s="105">
        <f>MIN(T610,X610,AB610,AF610,P610)</f>
        <v>0</v>
      </c>
      <c r="J610" s="105">
        <f>AVERAGE(P610,T610,X610,AB610,AF610)</f>
        <v>0</v>
      </c>
      <c r="K610" s="105">
        <f>MAX(P610,T610,X610,AB610,AF610)</f>
        <v>0</v>
      </c>
      <c r="N610" s="107">
        <f t="shared" si="285"/>
        <v>0</v>
      </c>
      <c r="O610" s="107">
        <f t="shared" si="286"/>
        <v>0</v>
      </c>
      <c r="P610" s="107">
        <f t="shared" si="287"/>
        <v>0</v>
      </c>
      <c r="R610" s="107">
        <f t="shared" si="288"/>
        <v>0</v>
      </c>
      <c r="S610" s="107">
        <f t="shared" si="289"/>
        <v>0</v>
      </c>
      <c r="T610" s="107">
        <f t="shared" si="290"/>
        <v>0</v>
      </c>
      <c r="V610" s="107">
        <f t="shared" si="291"/>
        <v>0</v>
      </c>
      <c r="W610" s="107">
        <f t="shared" si="292"/>
        <v>0</v>
      </c>
      <c r="X610" s="107">
        <f t="shared" si="293"/>
        <v>0</v>
      </c>
      <c r="Z610" s="107">
        <f t="shared" si="294"/>
        <v>0</v>
      </c>
      <c r="AA610" s="107">
        <f t="shared" si="295"/>
        <v>0</v>
      </c>
      <c r="AB610" s="107">
        <f t="shared" si="296"/>
        <v>0</v>
      </c>
      <c r="AD610" s="107">
        <f t="shared" si="297"/>
        <v>0</v>
      </c>
      <c r="AE610" s="107">
        <f t="shared" si="298"/>
        <v>0</v>
      </c>
      <c r="AF610" s="107">
        <f t="shared" si="299"/>
        <v>0</v>
      </c>
      <c r="AH610" s="107">
        <v>0</v>
      </c>
      <c r="AI610" s="107">
        <v>0</v>
      </c>
      <c r="AJ610" s="107">
        <v>0</v>
      </c>
      <c r="AK610" s="107">
        <v>0</v>
      </c>
      <c r="AL610" s="107">
        <v>0</v>
      </c>
      <c r="AM610" s="107">
        <v>0</v>
      </c>
      <c r="AN610" s="107">
        <v>0</v>
      </c>
      <c r="AO610" s="107">
        <v>0</v>
      </c>
      <c r="AP610" s="107">
        <v>0</v>
      </c>
      <c r="AQ610" s="107">
        <v>0</v>
      </c>
      <c r="AR610" s="107">
        <v>0</v>
      </c>
      <c r="AS610" s="107">
        <v>0</v>
      </c>
      <c r="AT610" s="107">
        <v>0</v>
      </c>
      <c r="AU610" s="107">
        <v>0</v>
      </c>
      <c r="AV610" s="107">
        <v>0</v>
      </c>
    </row>
    <row r="611" spans="1:48" ht="30" customHeight="1" outlineLevel="2">
      <c r="A611" s="116" t="s">
        <v>1433</v>
      </c>
      <c r="B611" s="117" t="s">
        <v>1434</v>
      </c>
      <c r="C611" s="134" t="s">
        <v>242</v>
      </c>
      <c r="E611" s="105">
        <f>MIN(N611,R611,V611,Z611,AD611)</f>
        <v>0</v>
      </c>
      <c r="F611" s="105">
        <f>AVERAGE(N611,R611,V611,Z611,AD611)</f>
        <v>0</v>
      </c>
      <c r="G611" s="105">
        <f>MAX(N611,R611,V611,Z611,AD611)</f>
        <v>0</v>
      </c>
      <c r="H611" s="106"/>
      <c r="I611" s="105">
        <f>MIN(T611,X611,AB611,AF611,P611)</f>
        <v>0</v>
      </c>
      <c r="J611" s="105">
        <f>AVERAGE(P611,T611,X611,AB611,AF611)</f>
        <v>0</v>
      </c>
      <c r="K611" s="105">
        <f>MAX(P611,T611,X611,AB611,AF611)</f>
        <v>0</v>
      </c>
      <c r="N611" s="107">
        <f t="shared" si="285"/>
        <v>0</v>
      </c>
      <c r="O611" s="107">
        <f t="shared" si="286"/>
        <v>0</v>
      </c>
      <c r="P611" s="107">
        <f t="shared" si="287"/>
        <v>0</v>
      </c>
      <c r="R611" s="107">
        <f t="shared" si="288"/>
        <v>0</v>
      </c>
      <c r="S611" s="107">
        <f t="shared" si="289"/>
        <v>0</v>
      </c>
      <c r="T611" s="107">
        <f t="shared" si="290"/>
        <v>0</v>
      </c>
      <c r="V611" s="107">
        <f t="shared" si="291"/>
        <v>0</v>
      </c>
      <c r="W611" s="107">
        <f t="shared" si="292"/>
        <v>0</v>
      </c>
      <c r="X611" s="107">
        <f t="shared" si="293"/>
        <v>0</v>
      </c>
      <c r="Z611" s="107">
        <f t="shared" si="294"/>
        <v>0</v>
      </c>
      <c r="AA611" s="107">
        <f t="shared" si="295"/>
        <v>0</v>
      </c>
      <c r="AB611" s="107">
        <f t="shared" si="296"/>
        <v>0</v>
      </c>
      <c r="AD611" s="107">
        <f t="shared" si="297"/>
        <v>0</v>
      </c>
      <c r="AE611" s="107">
        <f t="shared" si="298"/>
        <v>0</v>
      </c>
      <c r="AF611" s="107">
        <f t="shared" si="299"/>
        <v>0</v>
      </c>
      <c r="AH611" s="107">
        <v>0</v>
      </c>
      <c r="AI611" s="107">
        <v>0</v>
      </c>
      <c r="AJ611" s="107">
        <v>0</v>
      </c>
      <c r="AK611" s="107">
        <v>0</v>
      </c>
      <c r="AL611" s="107">
        <v>0</v>
      </c>
      <c r="AM611" s="107">
        <v>0</v>
      </c>
      <c r="AN611" s="107">
        <v>0</v>
      </c>
      <c r="AO611" s="107">
        <v>0</v>
      </c>
      <c r="AP611" s="107">
        <v>0</v>
      </c>
      <c r="AQ611" s="107">
        <v>0</v>
      </c>
      <c r="AR611" s="107">
        <v>0</v>
      </c>
      <c r="AS611" s="107">
        <v>0</v>
      </c>
      <c r="AT611" s="107">
        <v>0</v>
      </c>
      <c r="AU611" s="107">
        <v>0</v>
      </c>
      <c r="AV611" s="107">
        <v>0</v>
      </c>
    </row>
    <row r="612" spans="1:48" ht="30" customHeight="1" outlineLevel="1">
      <c r="A612" s="132" t="s">
        <v>1435</v>
      </c>
      <c r="B612" s="133" t="s">
        <v>1436</v>
      </c>
      <c r="C612" s="101"/>
      <c r="N612" s="11" t="str">
        <f t="shared" si="285"/>
        <v/>
      </c>
      <c r="O612" s="11" t="str">
        <f t="shared" si="286"/>
        <v/>
      </c>
      <c r="P612" s="11" t="str">
        <f t="shared" si="287"/>
        <v/>
      </c>
      <c r="R612" s="11" t="str">
        <f t="shared" si="288"/>
        <v/>
      </c>
      <c r="S612" s="11" t="str">
        <f t="shared" si="289"/>
        <v/>
      </c>
      <c r="T612" s="11" t="str">
        <f t="shared" si="290"/>
        <v/>
      </c>
      <c r="V612" s="11" t="str">
        <f t="shared" si="291"/>
        <v/>
      </c>
      <c r="W612" s="11" t="str">
        <f t="shared" si="292"/>
        <v/>
      </c>
      <c r="X612" s="11" t="str">
        <f t="shared" si="293"/>
        <v/>
      </c>
      <c r="Z612" s="11" t="str">
        <f t="shared" si="294"/>
        <v/>
      </c>
      <c r="AA612" s="11" t="str">
        <f t="shared" si="295"/>
        <v/>
      </c>
      <c r="AB612" s="11" t="str">
        <f t="shared" si="296"/>
        <v/>
      </c>
      <c r="AD612" s="11" t="str">
        <f t="shared" si="297"/>
        <v/>
      </c>
      <c r="AE612" s="11" t="str">
        <f t="shared" si="298"/>
        <v/>
      </c>
      <c r="AF612" s="11" t="str">
        <f t="shared" si="299"/>
        <v/>
      </c>
    </row>
    <row r="613" spans="1:48" ht="30" customHeight="1" outlineLevel="2">
      <c r="A613" s="116" t="s">
        <v>1437</v>
      </c>
      <c r="B613" s="117" t="s">
        <v>1438</v>
      </c>
      <c r="C613" s="134" t="s">
        <v>242</v>
      </c>
      <c r="E613" s="105">
        <f>MIN(N613,R613,V613,Z613,AD613)</f>
        <v>0</v>
      </c>
      <c r="F613" s="105">
        <f>AVERAGE(N613,R613,V613,Z613,AD613)</f>
        <v>0</v>
      </c>
      <c r="G613" s="105">
        <f>MAX(N613,R613,V613,Z613,AD613)</f>
        <v>0</v>
      </c>
      <c r="H613" s="106"/>
      <c r="I613" s="105">
        <f>MIN(T613,X613,AB613,AF613,P613)</f>
        <v>0</v>
      </c>
      <c r="J613" s="105">
        <f>AVERAGE(P613,T613,X613,AB613,AF613)</f>
        <v>0</v>
      </c>
      <c r="K613" s="105">
        <f>MAX(P613,T613,X613,AB613,AF613)</f>
        <v>0</v>
      </c>
      <c r="N613" s="107">
        <f t="shared" si="285"/>
        <v>0</v>
      </c>
      <c r="O613" s="107">
        <f t="shared" si="286"/>
        <v>0</v>
      </c>
      <c r="P613" s="107">
        <f t="shared" si="287"/>
        <v>0</v>
      </c>
      <c r="R613" s="107">
        <f t="shared" si="288"/>
        <v>0</v>
      </c>
      <c r="S613" s="107">
        <f t="shared" si="289"/>
        <v>0</v>
      </c>
      <c r="T613" s="107">
        <f t="shared" si="290"/>
        <v>0</v>
      </c>
      <c r="V613" s="107">
        <f t="shared" si="291"/>
        <v>0</v>
      </c>
      <c r="W613" s="107">
        <f t="shared" si="292"/>
        <v>0</v>
      </c>
      <c r="X613" s="107">
        <f t="shared" si="293"/>
        <v>0</v>
      </c>
      <c r="Z613" s="107">
        <f t="shared" si="294"/>
        <v>0</v>
      </c>
      <c r="AA613" s="107">
        <f t="shared" si="295"/>
        <v>0</v>
      </c>
      <c r="AB613" s="107">
        <f t="shared" si="296"/>
        <v>0</v>
      </c>
      <c r="AD613" s="107">
        <f t="shared" si="297"/>
        <v>0</v>
      </c>
      <c r="AE613" s="107">
        <f t="shared" si="298"/>
        <v>0</v>
      </c>
      <c r="AF613" s="107">
        <f t="shared" si="299"/>
        <v>0</v>
      </c>
      <c r="AH613" s="107">
        <v>0</v>
      </c>
      <c r="AI613" s="107">
        <v>0</v>
      </c>
      <c r="AJ613" s="107">
        <v>0</v>
      </c>
      <c r="AK613" s="107">
        <v>0</v>
      </c>
      <c r="AL613" s="107">
        <v>0</v>
      </c>
      <c r="AM613" s="107">
        <v>0</v>
      </c>
      <c r="AN613" s="107">
        <v>0</v>
      </c>
      <c r="AO613" s="107">
        <v>0</v>
      </c>
      <c r="AP613" s="107">
        <v>0</v>
      </c>
      <c r="AQ613" s="107">
        <v>0</v>
      </c>
      <c r="AR613" s="107">
        <v>0</v>
      </c>
      <c r="AS613" s="107">
        <v>0</v>
      </c>
      <c r="AT613" s="107">
        <v>0</v>
      </c>
      <c r="AU613" s="107">
        <v>0</v>
      </c>
      <c r="AV613" s="107">
        <v>0</v>
      </c>
    </row>
    <row r="614" spans="1:48" ht="30" customHeight="1" outlineLevel="2">
      <c r="A614" s="116" t="s">
        <v>1439</v>
      </c>
      <c r="B614" s="117" t="s">
        <v>1440</v>
      </c>
      <c r="C614" s="134" t="s">
        <v>242</v>
      </c>
      <c r="E614" s="105">
        <f>MIN(N614,R614,V614,Z614,AD614)</f>
        <v>0</v>
      </c>
      <c r="F614" s="105">
        <f>AVERAGE(N614,R614,V614,Z614,AD614)</f>
        <v>0</v>
      </c>
      <c r="G614" s="105">
        <f>MAX(N614,R614,V614,Z614,AD614)</f>
        <v>0</v>
      </c>
      <c r="H614" s="106"/>
      <c r="I614" s="105">
        <f>MIN(T614,X614,AB614,AF614,P614)</f>
        <v>0</v>
      </c>
      <c r="J614" s="105">
        <f>AVERAGE(P614,T614,X614,AB614,AF614)</f>
        <v>0</v>
      </c>
      <c r="K614" s="105">
        <f>MAX(P614,T614,X614,AB614,AF614)</f>
        <v>0</v>
      </c>
      <c r="N614" s="107">
        <f t="shared" si="285"/>
        <v>0</v>
      </c>
      <c r="O614" s="107">
        <f t="shared" si="286"/>
        <v>0</v>
      </c>
      <c r="P614" s="107">
        <f t="shared" si="287"/>
        <v>0</v>
      </c>
      <c r="R614" s="107">
        <f t="shared" si="288"/>
        <v>0</v>
      </c>
      <c r="S614" s="107">
        <f t="shared" si="289"/>
        <v>0</v>
      </c>
      <c r="T614" s="107">
        <f t="shared" si="290"/>
        <v>0</v>
      </c>
      <c r="V614" s="107">
        <f t="shared" si="291"/>
        <v>0</v>
      </c>
      <c r="W614" s="107">
        <f t="shared" si="292"/>
        <v>0</v>
      </c>
      <c r="X614" s="107">
        <f t="shared" si="293"/>
        <v>0</v>
      </c>
      <c r="Z614" s="107">
        <f t="shared" si="294"/>
        <v>0</v>
      </c>
      <c r="AA614" s="107">
        <f t="shared" si="295"/>
        <v>0</v>
      </c>
      <c r="AB614" s="107">
        <f t="shared" si="296"/>
        <v>0</v>
      </c>
      <c r="AD614" s="107">
        <f t="shared" si="297"/>
        <v>0</v>
      </c>
      <c r="AE614" s="107">
        <f t="shared" si="298"/>
        <v>0</v>
      </c>
      <c r="AF614" s="107">
        <f t="shared" si="299"/>
        <v>0</v>
      </c>
      <c r="AH614" s="107">
        <v>0</v>
      </c>
      <c r="AI614" s="107">
        <v>0</v>
      </c>
      <c r="AJ614" s="107">
        <v>0</v>
      </c>
      <c r="AK614" s="107">
        <v>0</v>
      </c>
      <c r="AL614" s="107">
        <v>0</v>
      </c>
      <c r="AM614" s="107">
        <v>0</v>
      </c>
      <c r="AN614" s="107">
        <v>0</v>
      </c>
      <c r="AO614" s="107">
        <v>0</v>
      </c>
      <c r="AP614" s="107">
        <v>0</v>
      </c>
      <c r="AQ614" s="107">
        <v>0</v>
      </c>
      <c r="AR614" s="107">
        <v>0</v>
      </c>
      <c r="AS614" s="107">
        <v>0</v>
      </c>
      <c r="AT614" s="107">
        <v>0</v>
      </c>
      <c r="AU614" s="107">
        <v>0</v>
      </c>
      <c r="AV614" s="107">
        <v>0</v>
      </c>
    </row>
    <row r="615" spans="1:48" ht="30" customHeight="1" outlineLevel="1">
      <c r="A615" s="132" t="s">
        <v>1441</v>
      </c>
      <c r="B615" s="133" t="s">
        <v>1442</v>
      </c>
      <c r="C615" s="101"/>
      <c r="N615" s="11" t="str">
        <f t="shared" si="285"/>
        <v/>
      </c>
      <c r="O615" s="11" t="str">
        <f t="shared" si="286"/>
        <v/>
      </c>
      <c r="P615" s="11" t="str">
        <f t="shared" si="287"/>
        <v/>
      </c>
      <c r="R615" s="11" t="str">
        <f t="shared" si="288"/>
        <v/>
      </c>
      <c r="S615" s="11" t="str">
        <f t="shared" si="289"/>
        <v/>
      </c>
      <c r="T615" s="11" t="str">
        <f t="shared" si="290"/>
        <v/>
      </c>
      <c r="V615" s="11" t="str">
        <f t="shared" si="291"/>
        <v/>
      </c>
      <c r="W615" s="11" t="str">
        <f t="shared" si="292"/>
        <v/>
      </c>
      <c r="X615" s="11" t="str">
        <f t="shared" si="293"/>
        <v/>
      </c>
      <c r="Z615" s="11" t="str">
        <f t="shared" si="294"/>
        <v/>
      </c>
      <c r="AA615" s="11" t="str">
        <f t="shared" si="295"/>
        <v/>
      </c>
      <c r="AB615" s="11" t="str">
        <f t="shared" si="296"/>
        <v/>
      </c>
      <c r="AD615" s="11" t="str">
        <f t="shared" si="297"/>
        <v/>
      </c>
      <c r="AE615" s="11" t="str">
        <f t="shared" si="298"/>
        <v/>
      </c>
      <c r="AF615" s="11" t="str">
        <f t="shared" si="299"/>
        <v/>
      </c>
    </row>
    <row r="616" spans="1:48" ht="30" customHeight="1" outlineLevel="2">
      <c r="A616" s="116" t="s">
        <v>1443</v>
      </c>
      <c r="B616" s="117" t="s">
        <v>1444</v>
      </c>
      <c r="C616" s="134" t="s">
        <v>242</v>
      </c>
      <c r="E616" s="105">
        <f t="shared" ref="E616:E623" si="300">MIN(N616,R616,V616,Z616,AD616)</f>
        <v>0</v>
      </c>
      <c r="F616" s="105">
        <f t="shared" ref="F616:F623" si="301">AVERAGE(N616,R616,V616,Z616,AD616)</f>
        <v>0</v>
      </c>
      <c r="G616" s="105">
        <f t="shared" ref="G616:G623" si="302">MAX(N616,R616,V616,Z616,AD616)</f>
        <v>0</v>
      </c>
      <c r="H616" s="106"/>
      <c r="I616" s="105">
        <f t="shared" ref="I616:I623" si="303">MIN(T616,X616,AB616,AF616,P616)</f>
        <v>0</v>
      </c>
      <c r="J616" s="105">
        <f t="shared" ref="J616:J623" si="304">AVERAGE(P616,T616,X616,AB616,AF616)</f>
        <v>0</v>
      </c>
      <c r="K616" s="105">
        <f t="shared" ref="K616:K623" si="305">MAX(P616,T616,X616,AB616,AF616)</f>
        <v>0</v>
      </c>
      <c r="N616" s="107">
        <f t="shared" si="285"/>
        <v>0</v>
      </c>
      <c r="O616" s="107">
        <f t="shared" si="286"/>
        <v>0</v>
      </c>
      <c r="P616" s="107">
        <f t="shared" si="287"/>
        <v>0</v>
      </c>
      <c r="R616" s="107">
        <f t="shared" si="288"/>
        <v>0</v>
      </c>
      <c r="S616" s="107">
        <f t="shared" si="289"/>
        <v>0</v>
      </c>
      <c r="T616" s="107">
        <f t="shared" si="290"/>
        <v>0</v>
      </c>
      <c r="V616" s="107">
        <f t="shared" si="291"/>
        <v>0</v>
      </c>
      <c r="W616" s="107">
        <f t="shared" si="292"/>
        <v>0</v>
      </c>
      <c r="X616" s="107">
        <f t="shared" si="293"/>
        <v>0</v>
      </c>
      <c r="Z616" s="107">
        <f t="shared" si="294"/>
        <v>0</v>
      </c>
      <c r="AA616" s="107">
        <f t="shared" si="295"/>
        <v>0</v>
      </c>
      <c r="AB616" s="107">
        <f t="shared" si="296"/>
        <v>0</v>
      </c>
      <c r="AD616" s="107">
        <f t="shared" si="297"/>
        <v>0</v>
      </c>
      <c r="AE616" s="107">
        <f t="shared" si="298"/>
        <v>0</v>
      </c>
      <c r="AF616" s="107">
        <f t="shared" si="299"/>
        <v>0</v>
      </c>
      <c r="AH616" s="107">
        <v>0</v>
      </c>
      <c r="AI616" s="107">
        <v>0</v>
      </c>
      <c r="AJ616" s="107">
        <v>0</v>
      </c>
      <c r="AK616" s="107">
        <v>0</v>
      </c>
      <c r="AL616" s="107">
        <v>0</v>
      </c>
      <c r="AM616" s="107">
        <v>0</v>
      </c>
      <c r="AN616" s="107">
        <v>0</v>
      </c>
      <c r="AO616" s="107">
        <v>0</v>
      </c>
      <c r="AP616" s="107">
        <v>0</v>
      </c>
      <c r="AQ616" s="107">
        <v>0</v>
      </c>
      <c r="AR616" s="107">
        <v>0</v>
      </c>
      <c r="AS616" s="107">
        <v>0</v>
      </c>
      <c r="AT616" s="107">
        <v>0</v>
      </c>
      <c r="AU616" s="107">
        <v>0</v>
      </c>
      <c r="AV616" s="107">
        <v>0</v>
      </c>
    </row>
    <row r="617" spans="1:48" ht="30" customHeight="1" outlineLevel="2">
      <c r="A617" s="116" t="s">
        <v>1445</v>
      </c>
      <c r="B617" s="117" t="s">
        <v>1446</v>
      </c>
      <c r="C617" s="134" t="s">
        <v>242</v>
      </c>
      <c r="E617" s="105">
        <f t="shared" si="300"/>
        <v>0</v>
      </c>
      <c r="F617" s="105">
        <f t="shared" si="301"/>
        <v>0</v>
      </c>
      <c r="G617" s="105">
        <f t="shared" si="302"/>
        <v>0</v>
      </c>
      <c r="H617" s="106"/>
      <c r="I617" s="105">
        <f t="shared" si="303"/>
        <v>0</v>
      </c>
      <c r="J617" s="105">
        <f t="shared" si="304"/>
        <v>0</v>
      </c>
      <c r="K617" s="105">
        <f t="shared" si="305"/>
        <v>0</v>
      </c>
      <c r="N617" s="107">
        <f t="shared" si="285"/>
        <v>0</v>
      </c>
      <c r="O617" s="107">
        <f t="shared" si="286"/>
        <v>0</v>
      </c>
      <c r="P617" s="107">
        <f t="shared" si="287"/>
        <v>0</v>
      </c>
      <c r="R617" s="107">
        <f t="shared" si="288"/>
        <v>0</v>
      </c>
      <c r="S617" s="107">
        <f t="shared" si="289"/>
        <v>0</v>
      </c>
      <c r="T617" s="107">
        <f t="shared" si="290"/>
        <v>0</v>
      </c>
      <c r="V617" s="107">
        <f t="shared" si="291"/>
        <v>0</v>
      </c>
      <c r="W617" s="107">
        <f t="shared" si="292"/>
        <v>0</v>
      </c>
      <c r="X617" s="107">
        <f t="shared" si="293"/>
        <v>0</v>
      </c>
      <c r="Z617" s="107">
        <f t="shared" si="294"/>
        <v>0</v>
      </c>
      <c r="AA617" s="107">
        <f t="shared" si="295"/>
        <v>0</v>
      </c>
      <c r="AB617" s="107">
        <f t="shared" si="296"/>
        <v>0</v>
      </c>
      <c r="AD617" s="107">
        <f t="shared" si="297"/>
        <v>0</v>
      </c>
      <c r="AE617" s="107">
        <f t="shared" si="298"/>
        <v>0</v>
      </c>
      <c r="AF617" s="107">
        <f t="shared" si="299"/>
        <v>0</v>
      </c>
      <c r="AH617" s="107">
        <v>0</v>
      </c>
      <c r="AI617" s="107">
        <v>0</v>
      </c>
      <c r="AJ617" s="107">
        <v>0</v>
      </c>
      <c r="AK617" s="107">
        <v>0</v>
      </c>
      <c r="AL617" s="107">
        <v>0</v>
      </c>
      <c r="AM617" s="107">
        <v>0</v>
      </c>
      <c r="AN617" s="107">
        <v>0</v>
      </c>
      <c r="AO617" s="107">
        <v>0</v>
      </c>
      <c r="AP617" s="107">
        <v>0</v>
      </c>
      <c r="AQ617" s="107">
        <v>0</v>
      </c>
      <c r="AR617" s="107">
        <v>0</v>
      </c>
      <c r="AS617" s="107">
        <v>0</v>
      </c>
      <c r="AT617" s="107">
        <v>0</v>
      </c>
      <c r="AU617" s="107">
        <v>0</v>
      </c>
      <c r="AV617" s="107">
        <v>0</v>
      </c>
    </row>
    <row r="618" spans="1:48" ht="30" customHeight="1" outlineLevel="2">
      <c r="A618" s="116" t="s">
        <v>1447</v>
      </c>
      <c r="B618" s="117" t="s">
        <v>1448</v>
      </c>
      <c r="C618" s="134" t="s">
        <v>242</v>
      </c>
      <c r="E618" s="105">
        <f t="shared" si="300"/>
        <v>0</v>
      </c>
      <c r="F618" s="105">
        <f t="shared" si="301"/>
        <v>0</v>
      </c>
      <c r="G618" s="105">
        <f t="shared" si="302"/>
        <v>0</v>
      </c>
      <c r="H618" s="106"/>
      <c r="I618" s="105">
        <f t="shared" si="303"/>
        <v>0</v>
      </c>
      <c r="J618" s="105">
        <f t="shared" si="304"/>
        <v>0</v>
      </c>
      <c r="K618" s="105">
        <f t="shared" si="305"/>
        <v>0</v>
      </c>
      <c r="N618" s="107">
        <f t="shared" si="285"/>
        <v>0</v>
      </c>
      <c r="O618" s="107">
        <f t="shared" si="286"/>
        <v>0</v>
      </c>
      <c r="P618" s="107">
        <f t="shared" si="287"/>
        <v>0</v>
      </c>
      <c r="R618" s="107">
        <f t="shared" si="288"/>
        <v>0</v>
      </c>
      <c r="S618" s="107">
        <f t="shared" si="289"/>
        <v>0</v>
      </c>
      <c r="T618" s="107">
        <f t="shared" si="290"/>
        <v>0</v>
      </c>
      <c r="V618" s="107">
        <f t="shared" si="291"/>
        <v>0</v>
      </c>
      <c r="W618" s="107">
        <f t="shared" si="292"/>
        <v>0</v>
      </c>
      <c r="X618" s="107">
        <f t="shared" si="293"/>
        <v>0</v>
      </c>
      <c r="Z618" s="107">
        <f t="shared" si="294"/>
        <v>0</v>
      </c>
      <c r="AA618" s="107">
        <f t="shared" si="295"/>
        <v>0</v>
      </c>
      <c r="AB618" s="107">
        <f t="shared" si="296"/>
        <v>0</v>
      </c>
      <c r="AD618" s="107">
        <f t="shared" si="297"/>
        <v>0</v>
      </c>
      <c r="AE618" s="107">
        <f t="shared" si="298"/>
        <v>0</v>
      </c>
      <c r="AF618" s="107">
        <f t="shared" si="299"/>
        <v>0</v>
      </c>
      <c r="AH618" s="107">
        <v>0</v>
      </c>
      <c r="AI618" s="107">
        <v>0</v>
      </c>
      <c r="AJ618" s="107">
        <v>0</v>
      </c>
      <c r="AK618" s="107">
        <v>0</v>
      </c>
      <c r="AL618" s="107">
        <v>0</v>
      </c>
      <c r="AM618" s="107">
        <v>0</v>
      </c>
      <c r="AN618" s="107">
        <v>0</v>
      </c>
      <c r="AO618" s="107">
        <v>0</v>
      </c>
      <c r="AP618" s="107">
        <v>0</v>
      </c>
      <c r="AQ618" s="107">
        <v>0</v>
      </c>
      <c r="AR618" s="107">
        <v>0</v>
      </c>
      <c r="AS618" s="107">
        <v>0</v>
      </c>
      <c r="AT618" s="107">
        <v>0</v>
      </c>
      <c r="AU618" s="107">
        <v>0</v>
      </c>
      <c r="AV618" s="107">
        <v>0</v>
      </c>
    </row>
    <row r="619" spans="1:48" ht="30" customHeight="1" outlineLevel="2">
      <c r="A619" s="116" t="s">
        <v>1449</v>
      </c>
      <c r="B619" s="117" t="s">
        <v>1450</v>
      </c>
      <c r="C619" s="134" t="s">
        <v>242</v>
      </c>
      <c r="E619" s="105">
        <f t="shared" si="300"/>
        <v>0</v>
      </c>
      <c r="F619" s="105">
        <f t="shared" si="301"/>
        <v>0</v>
      </c>
      <c r="G619" s="105">
        <f t="shared" si="302"/>
        <v>0</v>
      </c>
      <c r="H619" s="106"/>
      <c r="I619" s="105">
        <f t="shared" si="303"/>
        <v>0</v>
      </c>
      <c r="J619" s="105">
        <f t="shared" si="304"/>
        <v>0</v>
      </c>
      <c r="K619" s="105">
        <f t="shared" si="305"/>
        <v>0</v>
      </c>
      <c r="N619" s="107">
        <f t="shared" si="285"/>
        <v>0</v>
      </c>
      <c r="O619" s="107">
        <f t="shared" si="286"/>
        <v>0</v>
      </c>
      <c r="P619" s="107">
        <f t="shared" si="287"/>
        <v>0</v>
      </c>
      <c r="R619" s="107">
        <f t="shared" si="288"/>
        <v>0</v>
      </c>
      <c r="S619" s="107">
        <f t="shared" si="289"/>
        <v>0</v>
      </c>
      <c r="T619" s="107">
        <f t="shared" si="290"/>
        <v>0</v>
      </c>
      <c r="V619" s="107">
        <f t="shared" si="291"/>
        <v>0</v>
      </c>
      <c r="W619" s="107">
        <f t="shared" si="292"/>
        <v>0</v>
      </c>
      <c r="X619" s="107">
        <f t="shared" si="293"/>
        <v>0</v>
      </c>
      <c r="Z619" s="107">
        <f t="shared" si="294"/>
        <v>0</v>
      </c>
      <c r="AA619" s="107">
        <f t="shared" si="295"/>
        <v>0</v>
      </c>
      <c r="AB619" s="107">
        <f t="shared" si="296"/>
        <v>0</v>
      </c>
      <c r="AD619" s="107">
        <f t="shared" si="297"/>
        <v>0</v>
      </c>
      <c r="AE619" s="107">
        <f t="shared" si="298"/>
        <v>0</v>
      </c>
      <c r="AF619" s="107">
        <f t="shared" si="299"/>
        <v>0</v>
      </c>
      <c r="AH619" s="107">
        <v>0</v>
      </c>
      <c r="AI619" s="107">
        <v>0</v>
      </c>
      <c r="AJ619" s="107">
        <v>0</v>
      </c>
      <c r="AK619" s="107">
        <v>0</v>
      </c>
      <c r="AL619" s="107">
        <v>0</v>
      </c>
      <c r="AM619" s="107">
        <v>0</v>
      </c>
      <c r="AN619" s="107">
        <v>0</v>
      </c>
      <c r="AO619" s="107">
        <v>0</v>
      </c>
      <c r="AP619" s="107">
        <v>0</v>
      </c>
      <c r="AQ619" s="107">
        <v>0</v>
      </c>
      <c r="AR619" s="107">
        <v>0</v>
      </c>
      <c r="AS619" s="107">
        <v>0</v>
      </c>
      <c r="AT619" s="107">
        <v>0</v>
      </c>
      <c r="AU619" s="107">
        <v>0</v>
      </c>
      <c r="AV619" s="107">
        <v>0</v>
      </c>
    </row>
    <row r="620" spans="1:48" ht="30" customHeight="1" outlineLevel="2">
      <c r="A620" s="116" t="s">
        <v>1451</v>
      </c>
      <c r="B620" s="117" t="s">
        <v>1452</v>
      </c>
      <c r="C620" s="134" t="s">
        <v>242</v>
      </c>
      <c r="E620" s="105">
        <f t="shared" si="300"/>
        <v>0</v>
      </c>
      <c r="F620" s="105">
        <f t="shared" si="301"/>
        <v>0</v>
      </c>
      <c r="G620" s="105">
        <f t="shared" si="302"/>
        <v>0</v>
      </c>
      <c r="H620" s="106"/>
      <c r="I620" s="105">
        <f t="shared" si="303"/>
        <v>0</v>
      </c>
      <c r="J620" s="105">
        <f t="shared" si="304"/>
        <v>0</v>
      </c>
      <c r="K620" s="105">
        <f t="shared" si="305"/>
        <v>0</v>
      </c>
      <c r="N620" s="107">
        <f t="shared" si="285"/>
        <v>0</v>
      </c>
      <c r="O620" s="107">
        <f t="shared" si="286"/>
        <v>0</v>
      </c>
      <c r="P620" s="107">
        <f t="shared" si="287"/>
        <v>0</v>
      </c>
      <c r="R620" s="107">
        <f t="shared" si="288"/>
        <v>0</v>
      </c>
      <c r="S620" s="107">
        <f t="shared" si="289"/>
        <v>0</v>
      </c>
      <c r="T620" s="107">
        <f t="shared" si="290"/>
        <v>0</v>
      </c>
      <c r="V620" s="107">
        <f t="shared" si="291"/>
        <v>0</v>
      </c>
      <c r="W620" s="107">
        <f t="shared" si="292"/>
        <v>0</v>
      </c>
      <c r="X620" s="107">
        <f t="shared" si="293"/>
        <v>0</v>
      </c>
      <c r="Z620" s="107">
        <f t="shared" si="294"/>
        <v>0</v>
      </c>
      <c r="AA620" s="107">
        <f t="shared" si="295"/>
        <v>0</v>
      </c>
      <c r="AB620" s="107">
        <f t="shared" si="296"/>
        <v>0</v>
      </c>
      <c r="AD620" s="107">
        <f t="shared" si="297"/>
        <v>0</v>
      </c>
      <c r="AE620" s="107">
        <f t="shared" si="298"/>
        <v>0</v>
      </c>
      <c r="AF620" s="107">
        <f t="shared" si="299"/>
        <v>0</v>
      </c>
      <c r="AH620" s="107">
        <v>0</v>
      </c>
      <c r="AI620" s="107">
        <v>0</v>
      </c>
      <c r="AJ620" s="107">
        <v>0</v>
      </c>
      <c r="AK620" s="107">
        <v>0</v>
      </c>
      <c r="AL620" s="107">
        <v>0</v>
      </c>
      <c r="AM620" s="107">
        <v>0</v>
      </c>
      <c r="AN620" s="107">
        <v>0</v>
      </c>
      <c r="AO620" s="107">
        <v>0</v>
      </c>
      <c r="AP620" s="107">
        <v>0</v>
      </c>
      <c r="AQ620" s="107">
        <v>0</v>
      </c>
      <c r="AR620" s="107">
        <v>0</v>
      </c>
      <c r="AS620" s="107">
        <v>0</v>
      </c>
      <c r="AT620" s="107">
        <v>0</v>
      </c>
      <c r="AU620" s="107">
        <v>0</v>
      </c>
      <c r="AV620" s="107">
        <v>0</v>
      </c>
    </row>
    <row r="621" spans="1:48" ht="30" customHeight="1" outlineLevel="2">
      <c r="A621" s="116" t="s">
        <v>1453</v>
      </c>
      <c r="B621" s="117" t="s">
        <v>1454</v>
      </c>
      <c r="C621" s="134" t="s">
        <v>242</v>
      </c>
      <c r="E621" s="105">
        <f t="shared" si="300"/>
        <v>0</v>
      </c>
      <c r="F621" s="105">
        <f t="shared" si="301"/>
        <v>0</v>
      </c>
      <c r="G621" s="105">
        <f t="shared" si="302"/>
        <v>0</v>
      </c>
      <c r="H621" s="106"/>
      <c r="I621" s="105">
        <f t="shared" si="303"/>
        <v>0</v>
      </c>
      <c r="J621" s="105">
        <f t="shared" si="304"/>
        <v>0</v>
      </c>
      <c r="K621" s="105">
        <f t="shared" si="305"/>
        <v>0</v>
      </c>
      <c r="N621" s="107">
        <f t="shared" si="285"/>
        <v>0</v>
      </c>
      <c r="O621" s="107">
        <f t="shared" si="286"/>
        <v>0</v>
      </c>
      <c r="P621" s="107">
        <f t="shared" si="287"/>
        <v>0</v>
      </c>
      <c r="R621" s="107">
        <f t="shared" si="288"/>
        <v>0</v>
      </c>
      <c r="S621" s="107">
        <f t="shared" si="289"/>
        <v>0</v>
      </c>
      <c r="T621" s="107">
        <f t="shared" si="290"/>
        <v>0</v>
      </c>
      <c r="V621" s="107">
        <f t="shared" si="291"/>
        <v>0</v>
      </c>
      <c r="W621" s="107">
        <f t="shared" si="292"/>
        <v>0</v>
      </c>
      <c r="X621" s="107">
        <f t="shared" si="293"/>
        <v>0</v>
      </c>
      <c r="Z621" s="107">
        <f t="shared" si="294"/>
        <v>0</v>
      </c>
      <c r="AA621" s="107">
        <f t="shared" si="295"/>
        <v>0</v>
      </c>
      <c r="AB621" s="107">
        <f t="shared" si="296"/>
        <v>0</v>
      </c>
      <c r="AD621" s="107">
        <f t="shared" si="297"/>
        <v>0</v>
      </c>
      <c r="AE621" s="107">
        <f t="shared" si="298"/>
        <v>0</v>
      </c>
      <c r="AF621" s="107">
        <f t="shared" si="299"/>
        <v>0</v>
      </c>
      <c r="AH621" s="107">
        <v>0</v>
      </c>
      <c r="AI621" s="107">
        <v>0</v>
      </c>
      <c r="AJ621" s="107">
        <v>0</v>
      </c>
      <c r="AK621" s="107">
        <v>0</v>
      </c>
      <c r="AL621" s="107">
        <v>0</v>
      </c>
      <c r="AM621" s="107">
        <v>0</v>
      </c>
      <c r="AN621" s="107">
        <v>0</v>
      </c>
      <c r="AO621" s="107">
        <v>0</v>
      </c>
      <c r="AP621" s="107">
        <v>0</v>
      </c>
      <c r="AQ621" s="107">
        <v>0</v>
      </c>
      <c r="AR621" s="107">
        <v>0</v>
      </c>
      <c r="AS621" s="107">
        <v>0</v>
      </c>
      <c r="AT621" s="107">
        <v>0</v>
      </c>
      <c r="AU621" s="107">
        <v>0</v>
      </c>
      <c r="AV621" s="107">
        <v>0</v>
      </c>
    </row>
    <row r="622" spans="1:48" ht="30" customHeight="1" outlineLevel="2">
      <c r="A622" s="116" t="s">
        <v>1455</v>
      </c>
      <c r="B622" s="117" t="s">
        <v>1456</v>
      </c>
      <c r="C622" s="134" t="s">
        <v>242</v>
      </c>
      <c r="E622" s="105">
        <f t="shared" si="300"/>
        <v>0</v>
      </c>
      <c r="F622" s="105">
        <f t="shared" si="301"/>
        <v>0</v>
      </c>
      <c r="G622" s="105">
        <f t="shared" si="302"/>
        <v>0</v>
      </c>
      <c r="H622" s="106"/>
      <c r="I622" s="105">
        <f t="shared" si="303"/>
        <v>0</v>
      </c>
      <c r="J622" s="105">
        <f t="shared" si="304"/>
        <v>0</v>
      </c>
      <c r="K622" s="105">
        <f t="shared" si="305"/>
        <v>0</v>
      </c>
      <c r="N622" s="107">
        <f t="shared" si="285"/>
        <v>0</v>
      </c>
      <c r="O622" s="107">
        <f t="shared" si="286"/>
        <v>0</v>
      </c>
      <c r="P622" s="107">
        <f t="shared" si="287"/>
        <v>0</v>
      </c>
      <c r="R622" s="107">
        <f t="shared" si="288"/>
        <v>0</v>
      </c>
      <c r="S622" s="107">
        <f t="shared" si="289"/>
        <v>0</v>
      </c>
      <c r="T622" s="107">
        <f t="shared" si="290"/>
        <v>0</v>
      </c>
      <c r="V622" s="107">
        <f t="shared" si="291"/>
        <v>0</v>
      </c>
      <c r="W622" s="107">
        <f t="shared" si="292"/>
        <v>0</v>
      </c>
      <c r="X622" s="107">
        <f t="shared" si="293"/>
        <v>0</v>
      </c>
      <c r="Z622" s="107">
        <f t="shared" si="294"/>
        <v>0</v>
      </c>
      <c r="AA622" s="107">
        <f t="shared" si="295"/>
        <v>0</v>
      </c>
      <c r="AB622" s="107">
        <f t="shared" si="296"/>
        <v>0</v>
      </c>
      <c r="AD622" s="107">
        <f t="shared" si="297"/>
        <v>0</v>
      </c>
      <c r="AE622" s="107">
        <f t="shared" si="298"/>
        <v>0</v>
      </c>
      <c r="AF622" s="107">
        <f t="shared" si="299"/>
        <v>0</v>
      </c>
      <c r="AH622" s="107">
        <v>0</v>
      </c>
      <c r="AI622" s="107">
        <v>0</v>
      </c>
      <c r="AJ622" s="107">
        <v>0</v>
      </c>
      <c r="AK622" s="107">
        <v>0</v>
      </c>
      <c r="AL622" s="107">
        <v>0</v>
      </c>
      <c r="AM622" s="107">
        <v>0</v>
      </c>
      <c r="AN622" s="107">
        <v>0</v>
      </c>
      <c r="AO622" s="107">
        <v>0</v>
      </c>
      <c r="AP622" s="107">
        <v>0</v>
      </c>
      <c r="AQ622" s="107">
        <v>0</v>
      </c>
      <c r="AR622" s="107">
        <v>0</v>
      </c>
      <c r="AS622" s="107">
        <v>0</v>
      </c>
      <c r="AT622" s="107">
        <v>0</v>
      </c>
      <c r="AU622" s="107">
        <v>0</v>
      </c>
      <c r="AV622" s="107">
        <v>0</v>
      </c>
    </row>
    <row r="623" spans="1:48" ht="30" customHeight="1" outlineLevel="2" thickBot="1">
      <c r="A623" s="116" t="s">
        <v>1457</v>
      </c>
      <c r="B623" s="117" t="s">
        <v>1458</v>
      </c>
      <c r="C623" s="134" t="s">
        <v>242</v>
      </c>
      <c r="E623" s="105">
        <f t="shared" si="300"/>
        <v>0</v>
      </c>
      <c r="F623" s="105">
        <f t="shared" si="301"/>
        <v>0</v>
      </c>
      <c r="G623" s="105">
        <f t="shared" si="302"/>
        <v>0</v>
      </c>
      <c r="H623" s="106"/>
      <c r="I623" s="105">
        <f t="shared" si="303"/>
        <v>0</v>
      </c>
      <c r="J623" s="105">
        <f t="shared" si="304"/>
        <v>0</v>
      </c>
      <c r="K623" s="105">
        <f t="shared" si="305"/>
        <v>0</v>
      </c>
      <c r="N623" s="107">
        <f t="shared" si="285"/>
        <v>0</v>
      </c>
      <c r="O623" s="107">
        <f t="shared" si="286"/>
        <v>0</v>
      </c>
      <c r="P623" s="107">
        <f t="shared" si="287"/>
        <v>0</v>
      </c>
      <c r="R623" s="107">
        <f t="shared" si="288"/>
        <v>0</v>
      </c>
      <c r="S623" s="107">
        <f t="shared" si="289"/>
        <v>0</v>
      </c>
      <c r="T623" s="107">
        <f t="shared" si="290"/>
        <v>0</v>
      </c>
      <c r="V623" s="107">
        <f t="shared" si="291"/>
        <v>0</v>
      </c>
      <c r="W623" s="107">
        <f t="shared" si="292"/>
        <v>0</v>
      </c>
      <c r="X623" s="107">
        <f t="shared" si="293"/>
        <v>0</v>
      </c>
      <c r="Z623" s="107">
        <f t="shared" si="294"/>
        <v>0</v>
      </c>
      <c r="AA623" s="107">
        <f t="shared" si="295"/>
        <v>0</v>
      </c>
      <c r="AB623" s="107">
        <f t="shared" si="296"/>
        <v>0</v>
      </c>
      <c r="AD623" s="107">
        <f t="shared" si="297"/>
        <v>0</v>
      </c>
      <c r="AE623" s="107">
        <f t="shared" si="298"/>
        <v>0</v>
      </c>
      <c r="AF623" s="107">
        <f t="shared" si="299"/>
        <v>0</v>
      </c>
      <c r="AH623" s="107">
        <v>0</v>
      </c>
      <c r="AI623" s="107">
        <v>0</v>
      </c>
      <c r="AJ623" s="107">
        <v>0</v>
      </c>
      <c r="AK623" s="107">
        <v>0</v>
      </c>
      <c r="AL623" s="107">
        <v>0</v>
      </c>
      <c r="AM623" s="107">
        <v>0</v>
      </c>
      <c r="AN623" s="107">
        <v>0</v>
      </c>
      <c r="AO623" s="107">
        <v>0</v>
      </c>
      <c r="AP623" s="107">
        <v>0</v>
      </c>
      <c r="AQ623" s="107">
        <v>0</v>
      </c>
      <c r="AR623" s="107">
        <v>0</v>
      </c>
      <c r="AS623" s="107">
        <v>0</v>
      </c>
      <c r="AT623" s="107">
        <v>0</v>
      </c>
      <c r="AU623" s="107">
        <v>0</v>
      </c>
      <c r="AV623" s="107">
        <v>0</v>
      </c>
    </row>
    <row r="624" spans="1:48" ht="30" customHeight="1" thickBot="1">
      <c r="A624" s="96" t="s">
        <v>1459</v>
      </c>
      <c r="B624" s="115" t="s">
        <v>1460</v>
      </c>
      <c r="C624" s="98"/>
      <c r="N624" s="11" t="str">
        <f t="shared" si="285"/>
        <v/>
      </c>
      <c r="O624" s="11" t="str">
        <f t="shared" si="286"/>
        <v/>
      </c>
      <c r="P624" s="11" t="str">
        <f t="shared" si="287"/>
        <v/>
      </c>
      <c r="R624" s="11" t="str">
        <f t="shared" si="288"/>
        <v/>
      </c>
      <c r="S624" s="11" t="str">
        <f t="shared" si="289"/>
        <v/>
      </c>
      <c r="T624" s="11" t="str">
        <f t="shared" si="290"/>
        <v/>
      </c>
      <c r="V624" s="11" t="str">
        <f t="shared" si="291"/>
        <v/>
      </c>
      <c r="W624" s="11" t="str">
        <f t="shared" si="292"/>
        <v/>
      </c>
      <c r="X624" s="11" t="str">
        <f t="shared" si="293"/>
        <v/>
      </c>
      <c r="Z624" s="11" t="str">
        <f t="shared" si="294"/>
        <v/>
      </c>
      <c r="AA624" s="11" t="str">
        <f t="shared" si="295"/>
        <v/>
      </c>
      <c r="AB624" s="11" t="str">
        <f t="shared" si="296"/>
        <v/>
      </c>
      <c r="AD624" s="11" t="str">
        <f t="shared" si="297"/>
        <v/>
      </c>
      <c r="AE624" s="11" t="str">
        <f t="shared" si="298"/>
        <v/>
      </c>
      <c r="AF624" s="11" t="str">
        <f t="shared" si="299"/>
        <v/>
      </c>
    </row>
    <row r="625" spans="1:48" ht="30" customHeight="1" outlineLevel="1">
      <c r="A625" s="132" t="s">
        <v>1461</v>
      </c>
      <c r="B625" s="133" t="s">
        <v>1462</v>
      </c>
      <c r="C625" s="101"/>
      <c r="N625" s="11" t="str">
        <f t="shared" si="285"/>
        <v/>
      </c>
      <c r="O625" s="11" t="str">
        <f t="shared" si="286"/>
        <v/>
      </c>
      <c r="P625" s="11" t="str">
        <f t="shared" si="287"/>
        <v/>
      </c>
      <c r="R625" s="11" t="str">
        <f t="shared" si="288"/>
        <v/>
      </c>
      <c r="S625" s="11" t="str">
        <f t="shared" si="289"/>
        <v/>
      </c>
      <c r="T625" s="11" t="str">
        <f t="shared" si="290"/>
        <v/>
      </c>
      <c r="V625" s="11" t="str">
        <f t="shared" si="291"/>
        <v/>
      </c>
      <c r="W625" s="11" t="str">
        <f t="shared" si="292"/>
        <v/>
      </c>
      <c r="X625" s="11" t="str">
        <f t="shared" si="293"/>
        <v/>
      </c>
      <c r="Z625" s="11" t="str">
        <f t="shared" si="294"/>
        <v/>
      </c>
      <c r="AA625" s="11" t="str">
        <f t="shared" si="295"/>
        <v/>
      </c>
      <c r="AB625" s="11" t="str">
        <f t="shared" si="296"/>
        <v/>
      </c>
      <c r="AD625" s="11" t="str">
        <f t="shared" si="297"/>
        <v/>
      </c>
      <c r="AE625" s="11" t="str">
        <f t="shared" si="298"/>
        <v/>
      </c>
      <c r="AF625" s="11" t="str">
        <f t="shared" si="299"/>
        <v/>
      </c>
    </row>
    <row r="626" spans="1:48" ht="30" customHeight="1" outlineLevel="2">
      <c r="A626" s="116" t="s">
        <v>1463</v>
      </c>
      <c r="B626" s="117" t="s">
        <v>1464</v>
      </c>
      <c r="C626" s="134" t="s">
        <v>242</v>
      </c>
      <c r="E626" s="105">
        <f>MIN(N626,R626,V626,Z626,AD626)</f>
        <v>0</v>
      </c>
      <c r="F626" s="105">
        <f>AVERAGE(N626,R626,V626,Z626,AD626)</f>
        <v>0</v>
      </c>
      <c r="G626" s="105">
        <f>MAX(N626,R626,V626,Z626,AD626)</f>
        <v>0</v>
      </c>
      <c r="H626" s="106"/>
      <c r="I626" s="105">
        <f>MIN(T626,X626,AB626,AF626,P626)</f>
        <v>0</v>
      </c>
      <c r="J626" s="105">
        <f>AVERAGE(P626,T626,X626,AB626,AF626)</f>
        <v>0</v>
      </c>
      <c r="K626" s="105">
        <f>MAX(P626,T626,X626,AB626,AF626)</f>
        <v>0</v>
      </c>
      <c r="N626" s="107">
        <f t="shared" si="285"/>
        <v>0</v>
      </c>
      <c r="O626" s="107">
        <f t="shared" si="286"/>
        <v>0</v>
      </c>
      <c r="P626" s="107">
        <f t="shared" si="287"/>
        <v>0</v>
      </c>
      <c r="R626" s="107">
        <f t="shared" si="288"/>
        <v>0</v>
      </c>
      <c r="S626" s="107">
        <f t="shared" si="289"/>
        <v>0</v>
      </c>
      <c r="T626" s="107">
        <f t="shared" si="290"/>
        <v>0</v>
      </c>
      <c r="V626" s="107">
        <f t="shared" si="291"/>
        <v>0</v>
      </c>
      <c r="W626" s="107">
        <f t="shared" si="292"/>
        <v>0</v>
      </c>
      <c r="X626" s="107">
        <f t="shared" si="293"/>
        <v>0</v>
      </c>
      <c r="Z626" s="107">
        <f t="shared" si="294"/>
        <v>0</v>
      </c>
      <c r="AA626" s="107">
        <f t="shared" si="295"/>
        <v>0</v>
      </c>
      <c r="AB626" s="107">
        <f t="shared" si="296"/>
        <v>0</v>
      </c>
      <c r="AD626" s="107">
        <f t="shared" si="297"/>
        <v>0</v>
      </c>
      <c r="AE626" s="107">
        <f t="shared" si="298"/>
        <v>0</v>
      </c>
      <c r="AF626" s="107">
        <f t="shared" si="299"/>
        <v>0</v>
      </c>
      <c r="AH626" s="107">
        <v>0</v>
      </c>
      <c r="AI626" s="107">
        <v>0</v>
      </c>
      <c r="AJ626" s="107">
        <v>0</v>
      </c>
      <c r="AK626" s="107">
        <v>0</v>
      </c>
      <c r="AL626" s="107">
        <v>0</v>
      </c>
      <c r="AM626" s="107">
        <v>0</v>
      </c>
      <c r="AN626" s="107">
        <v>0</v>
      </c>
      <c r="AO626" s="107">
        <v>0</v>
      </c>
      <c r="AP626" s="107">
        <v>0</v>
      </c>
      <c r="AQ626" s="107">
        <v>0</v>
      </c>
      <c r="AR626" s="107">
        <v>0</v>
      </c>
      <c r="AS626" s="107">
        <v>0</v>
      </c>
      <c r="AT626" s="107">
        <v>0</v>
      </c>
      <c r="AU626" s="107">
        <v>0</v>
      </c>
      <c r="AV626" s="107">
        <v>0</v>
      </c>
    </row>
    <row r="627" spans="1:48" ht="30" customHeight="1" outlineLevel="2">
      <c r="A627" s="116" t="s">
        <v>1465</v>
      </c>
      <c r="B627" s="117" t="s">
        <v>1466</v>
      </c>
      <c r="C627" s="134" t="s">
        <v>242</v>
      </c>
      <c r="E627" s="105">
        <f>MIN(N627,R627,V627,Z627,AD627)</f>
        <v>0</v>
      </c>
      <c r="F627" s="105">
        <f>AVERAGE(N627,R627,V627,Z627,AD627)</f>
        <v>0</v>
      </c>
      <c r="G627" s="105">
        <f>MAX(N627,R627,V627,Z627,AD627)</f>
        <v>0</v>
      </c>
      <c r="H627" s="106"/>
      <c r="I627" s="105">
        <f>MIN(T627,X627,AB627,AF627,P627)</f>
        <v>0</v>
      </c>
      <c r="J627" s="105">
        <f>AVERAGE(P627,T627,X627,AB627,AF627)</f>
        <v>0</v>
      </c>
      <c r="K627" s="105">
        <f>MAX(P627,T627,X627,AB627,AF627)</f>
        <v>0</v>
      </c>
      <c r="N627" s="107">
        <f t="shared" si="285"/>
        <v>0</v>
      </c>
      <c r="O627" s="107">
        <f t="shared" si="286"/>
        <v>0</v>
      </c>
      <c r="P627" s="107">
        <f t="shared" si="287"/>
        <v>0</v>
      </c>
      <c r="R627" s="107">
        <f t="shared" si="288"/>
        <v>0</v>
      </c>
      <c r="S627" s="107">
        <f t="shared" si="289"/>
        <v>0</v>
      </c>
      <c r="T627" s="107">
        <f t="shared" si="290"/>
        <v>0</v>
      </c>
      <c r="V627" s="107">
        <f t="shared" si="291"/>
        <v>0</v>
      </c>
      <c r="W627" s="107">
        <f t="shared" si="292"/>
        <v>0</v>
      </c>
      <c r="X627" s="107">
        <f t="shared" si="293"/>
        <v>0</v>
      </c>
      <c r="Z627" s="107">
        <f t="shared" si="294"/>
        <v>0</v>
      </c>
      <c r="AA627" s="107">
        <f t="shared" si="295"/>
        <v>0</v>
      </c>
      <c r="AB627" s="107">
        <f t="shared" si="296"/>
        <v>0</v>
      </c>
      <c r="AD627" s="107">
        <f t="shared" si="297"/>
        <v>0</v>
      </c>
      <c r="AE627" s="107">
        <f t="shared" si="298"/>
        <v>0</v>
      </c>
      <c r="AF627" s="107">
        <f t="shared" si="299"/>
        <v>0</v>
      </c>
      <c r="AH627" s="107">
        <v>0</v>
      </c>
      <c r="AI627" s="107">
        <v>0</v>
      </c>
      <c r="AJ627" s="107">
        <v>0</v>
      </c>
      <c r="AK627" s="107">
        <v>0</v>
      </c>
      <c r="AL627" s="107">
        <v>0</v>
      </c>
      <c r="AM627" s="107">
        <v>0</v>
      </c>
      <c r="AN627" s="107">
        <v>0</v>
      </c>
      <c r="AO627" s="107">
        <v>0</v>
      </c>
      <c r="AP627" s="107">
        <v>0</v>
      </c>
      <c r="AQ627" s="107">
        <v>0</v>
      </c>
      <c r="AR627" s="107">
        <v>0</v>
      </c>
      <c r="AS627" s="107">
        <v>0</v>
      </c>
      <c r="AT627" s="107">
        <v>0</v>
      </c>
      <c r="AU627" s="107">
        <v>0</v>
      </c>
      <c r="AV627" s="107">
        <v>0</v>
      </c>
    </row>
    <row r="628" spans="1:48" ht="30" customHeight="1" outlineLevel="2">
      <c r="A628" s="116" t="s">
        <v>1467</v>
      </c>
      <c r="B628" s="117" t="s">
        <v>1468</v>
      </c>
      <c r="C628" s="134" t="s">
        <v>242</v>
      </c>
      <c r="E628" s="105">
        <f>MIN(N628,R628,V628,Z628,AD628)</f>
        <v>0</v>
      </c>
      <c r="F628" s="105">
        <f>AVERAGE(N628,R628,V628,Z628,AD628)</f>
        <v>0</v>
      </c>
      <c r="G628" s="105">
        <f>MAX(N628,R628,V628,Z628,AD628)</f>
        <v>0</v>
      </c>
      <c r="H628" s="106"/>
      <c r="I628" s="105">
        <f>MIN(T628,X628,AB628,AF628,P628)</f>
        <v>0</v>
      </c>
      <c r="J628" s="105">
        <f>AVERAGE(P628,T628,X628,AB628,AF628)</f>
        <v>0</v>
      </c>
      <c r="K628" s="105">
        <f>MAX(P628,T628,X628,AB628,AF628)</f>
        <v>0</v>
      </c>
      <c r="N628" s="107">
        <f t="shared" si="285"/>
        <v>0</v>
      </c>
      <c r="O628" s="107">
        <f t="shared" si="286"/>
        <v>0</v>
      </c>
      <c r="P628" s="107">
        <f t="shared" si="287"/>
        <v>0</v>
      </c>
      <c r="R628" s="107">
        <f t="shared" si="288"/>
        <v>0</v>
      </c>
      <c r="S628" s="107">
        <f t="shared" si="289"/>
        <v>0</v>
      </c>
      <c r="T628" s="107">
        <f t="shared" si="290"/>
        <v>0</v>
      </c>
      <c r="V628" s="107">
        <f t="shared" si="291"/>
        <v>0</v>
      </c>
      <c r="W628" s="107">
        <f t="shared" si="292"/>
        <v>0</v>
      </c>
      <c r="X628" s="107">
        <f t="shared" si="293"/>
        <v>0</v>
      </c>
      <c r="Z628" s="107">
        <f t="shared" si="294"/>
        <v>0</v>
      </c>
      <c r="AA628" s="107">
        <f t="shared" si="295"/>
        <v>0</v>
      </c>
      <c r="AB628" s="107">
        <f t="shared" si="296"/>
        <v>0</v>
      </c>
      <c r="AD628" s="107">
        <f t="shared" si="297"/>
        <v>0</v>
      </c>
      <c r="AE628" s="107">
        <f t="shared" si="298"/>
        <v>0</v>
      </c>
      <c r="AF628" s="107">
        <f t="shared" si="299"/>
        <v>0</v>
      </c>
      <c r="AH628" s="107">
        <v>0</v>
      </c>
      <c r="AI628" s="107">
        <v>0</v>
      </c>
      <c r="AJ628" s="107">
        <v>0</v>
      </c>
      <c r="AK628" s="107">
        <v>0</v>
      </c>
      <c r="AL628" s="107">
        <v>0</v>
      </c>
      <c r="AM628" s="107">
        <v>0</v>
      </c>
      <c r="AN628" s="107">
        <v>0</v>
      </c>
      <c r="AO628" s="107">
        <v>0</v>
      </c>
      <c r="AP628" s="107">
        <v>0</v>
      </c>
      <c r="AQ628" s="107">
        <v>0</v>
      </c>
      <c r="AR628" s="107">
        <v>0</v>
      </c>
      <c r="AS628" s="107">
        <v>0</v>
      </c>
      <c r="AT628" s="107">
        <v>0</v>
      </c>
      <c r="AU628" s="107">
        <v>0</v>
      </c>
      <c r="AV628" s="107">
        <v>0</v>
      </c>
    </row>
    <row r="629" spans="1:48" ht="30" customHeight="1" outlineLevel="2">
      <c r="A629" s="116" t="s">
        <v>1469</v>
      </c>
      <c r="B629" s="117" t="s">
        <v>1470</v>
      </c>
      <c r="C629" s="134" t="s">
        <v>242</v>
      </c>
      <c r="E629" s="105">
        <f>MIN(N629,R629,V629,Z629,AD629)</f>
        <v>0</v>
      </c>
      <c r="F629" s="105">
        <f>AVERAGE(N629,R629,V629,Z629,AD629)</f>
        <v>0</v>
      </c>
      <c r="G629" s="105">
        <f>MAX(N629,R629,V629,Z629,AD629)</f>
        <v>0</v>
      </c>
      <c r="H629" s="106"/>
      <c r="I629" s="105">
        <f>MIN(T629,X629,AB629,AF629,P629)</f>
        <v>0</v>
      </c>
      <c r="J629" s="105">
        <f>AVERAGE(P629,T629,X629,AB629,AF629)</f>
        <v>0</v>
      </c>
      <c r="K629" s="105">
        <f>MAX(P629,T629,X629,AB629,AF629)</f>
        <v>0</v>
      </c>
      <c r="N629" s="107">
        <f t="shared" si="285"/>
        <v>0</v>
      </c>
      <c r="O629" s="107">
        <f t="shared" si="286"/>
        <v>0</v>
      </c>
      <c r="P629" s="107">
        <f t="shared" si="287"/>
        <v>0</v>
      </c>
      <c r="R629" s="107">
        <f t="shared" si="288"/>
        <v>0</v>
      </c>
      <c r="S629" s="107">
        <f t="shared" si="289"/>
        <v>0</v>
      </c>
      <c r="T629" s="107">
        <f t="shared" si="290"/>
        <v>0</v>
      </c>
      <c r="V629" s="107">
        <f t="shared" si="291"/>
        <v>0</v>
      </c>
      <c r="W629" s="107">
        <f t="shared" si="292"/>
        <v>0</v>
      </c>
      <c r="X629" s="107">
        <f t="shared" si="293"/>
        <v>0</v>
      </c>
      <c r="Z629" s="107">
        <f t="shared" si="294"/>
        <v>0</v>
      </c>
      <c r="AA629" s="107">
        <f t="shared" si="295"/>
        <v>0</v>
      </c>
      <c r="AB629" s="107">
        <f t="shared" si="296"/>
        <v>0</v>
      </c>
      <c r="AD629" s="107">
        <f t="shared" si="297"/>
        <v>0</v>
      </c>
      <c r="AE629" s="107">
        <f t="shared" si="298"/>
        <v>0</v>
      </c>
      <c r="AF629" s="107">
        <f t="shared" si="299"/>
        <v>0</v>
      </c>
      <c r="AH629" s="107">
        <v>0</v>
      </c>
      <c r="AI629" s="107">
        <v>0</v>
      </c>
      <c r="AJ629" s="107">
        <v>0</v>
      </c>
      <c r="AK629" s="107">
        <v>0</v>
      </c>
      <c r="AL629" s="107">
        <v>0</v>
      </c>
      <c r="AM629" s="107">
        <v>0</v>
      </c>
      <c r="AN629" s="107">
        <v>0</v>
      </c>
      <c r="AO629" s="107">
        <v>0</v>
      </c>
      <c r="AP629" s="107">
        <v>0</v>
      </c>
      <c r="AQ629" s="107">
        <v>0</v>
      </c>
      <c r="AR629" s="107">
        <v>0</v>
      </c>
      <c r="AS629" s="107">
        <v>0</v>
      </c>
      <c r="AT629" s="107">
        <v>0</v>
      </c>
      <c r="AU629" s="107">
        <v>0</v>
      </c>
      <c r="AV629" s="107">
        <v>0</v>
      </c>
    </row>
    <row r="630" spans="1:48" ht="30" customHeight="1" outlineLevel="2">
      <c r="A630" s="116" t="s">
        <v>1471</v>
      </c>
      <c r="B630" s="117" t="s">
        <v>1472</v>
      </c>
      <c r="C630" s="134" t="s">
        <v>242</v>
      </c>
      <c r="E630" s="105">
        <f>MIN(N630,R630,V630,Z630,AD630)</f>
        <v>0</v>
      </c>
      <c r="F630" s="105">
        <f>AVERAGE(N630,R630,V630,Z630,AD630)</f>
        <v>0</v>
      </c>
      <c r="G630" s="105">
        <f>MAX(N630,R630,V630,Z630,AD630)</f>
        <v>0</v>
      </c>
      <c r="H630" s="106"/>
      <c r="I630" s="105">
        <f>MIN(T630,X630,AB630,AF630,P630)</f>
        <v>0</v>
      </c>
      <c r="J630" s="105">
        <f>AVERAGE(P630,T630,X630,AB630,AF630)</f>
        <v>0</v>
      </c>
      <c r="K630" s="105">
        <f>MAX(P630,T630,X630,AB630,AF630)</f>
        <v>0</v>
      </c>
      <c r="N630" s="107">
        <f t="shared" si="285"/>
        <v>0</v>
      </c>
      <c r="O630" s="107">
        <f t="shared" si="286"/>
        <v>0</v>
      </c>
      <c r="P630" s="107">
        <f t="shared" si="287"/>
        <v>0</v>
      </c>
      <c r="R630" s="107">
        <f t="shared" si="288"/>
        <v>0</v>
      </c>
      <c r="S630" s="107">
        <f t="shared" si="289"/>
        <v>0</v>
      </c>
      <c r="T630" s="107">
        <f t="shared" si="290"/>
        <v>0</v>
      </c>
      <c r="V630" s="107">
        <f t="shared" si="291"/>
        <v>0</v>
      </c>
      <c r="W630" s="107">
        <f t="shared" si="292"/>
        <v>0</v>
      </c>
      <c r="X630" s="107">
        <f t="shared" si="293"/>
        <v>0</v>
      </c>
      <c r="Z630" s="107">
        <f t="shared" si="294"/>
        <v>0</v>
      </c>
      <c r="AA630" s="107">
        <f t="shared" si="295"/>
        <v>0</v>
      </c>
      <c r="AB630" s="107">
        <f t="shared" si="296"/>
        <v>0</v>
      </c>
      <c r="AD630" s="107">
        <f t="shared" si="297"/>
        <v>0</v>
      </c>
      <c r="AE630" s="107">
        <f t="shared" si="298"/>
        <v>0</v>
      </c>
      <c r="AF630" s="107">
        <f t="shared" si="299"/>
        <v>0</v>
      </c>
      <c r="AH630" s="107">
        <v>0</v>
      </c>
      <c r="AI630" s="107">
        <v>0</v>
      </c>
      <c r="AJ630" s="107">
        <v>0</v>
      </c>
      <c r="AK630" s="107">
        <v>0</v>
      </c>
      <c r="AL630" s="107">
        <v>0</v>
      </c>
      <c r="AM630" s="107">
        <v>0</v>
      </c>
      <c r="AN630" s="107">
        <v>0</v>
      </c>
      <c r="AO630" s="107">
        <v>0</v>
      </c>
      <c r="AP630" s="107">
        <v>0</v>
      </c>
      <c r="AQ630" s="107">
        <v>0</v>
      </c>
      <c r="AR630" s="107">
        <v>0</v>
      </c>
      <c r="AS630" s="107">
        <v>0</v>
      </c>
      <c r="AT630" s="107">
        <v>0</v>
      </c>
      <c r="AU630" s="107">
        <v>0</v>
      </c>
      <c r="AV630" s="107">
        <v>0</v>
      </c>
    </row>
    <row r="631" spans="1:48" ht="30" customHeight="1" outlineLevel="1">
      <c r="A631" s="132" t="s">
        <v>1473</v>
      </c>
      <c r="B631" s="133" t="s">
        <v>1474</v>
      </c>
      <c r="C631" s="101"/>
      <c r="N631" s="11" t="str">
        <f t="shared" si="285"/>
        <v/>
      </c>
      <c r="O631" s="11" t="str">
        <f t="shared" si="286"/>
        <v/>
      </c>
      <c r="P631" s="11" t="str">
        <f t="shared" si="287"/>
        <v/>
      </c>
      <c r="R631" s="11" t="str">
        <f t="shared" si="288"/>
        <v/>
      </c>
      <c r="S631" s="11" t="str">
        <f t="shared" si="289"/>
        <v/>
      </c>
      <c r="T631" s="11" t="str">
        <f t="shared" si="290"/>
        <v/>
      </c>
      <c r="V631" s="11" t="str">
        <f t="shared" si="291"/>
        <v/>
      </c>
      <c r="W631" s="11" t="str">
        <f t="shared" si="292"/>
        <v/>
      </c>
      <c r="X631" s="11" t="str">
        <f t="shared" si="293"/>
        <v/>
      </c>
      <c r="Z631" s="11" t="str">
        <f t="shared" si="294"/>
        <v/>
      </c>
      <c r="AA631" s="11" t="str">
        <f t="shared" si="295"/>
        <v/>
      </c>
      <c r="AB631" s="11" t="str">
        <f t="shared" si="296"/>
        <v/>
      </c>
      <c r="AD631" s="11" t="str">
        <f t="shared" si="297"/>
        <v/>
      </c>
      <c r="AE631" s="11" t="str">
        <f t="shared" si="298"/>
        <v/>
      </c>
      <c r="AF631" s="11" t="str">
        <f t="shared" si="299"/>
        <v/>
      </c>
    </row>
    <row r="632" spans="1:48" ht="30" customHeight="1" outlineLevel="2">
      <c r="A632" s="116" t="s">
        <v>1475</v>
      </c>
      <c r="B632" s="117" t="s">
        <v>1476</v>
      </c>
      <c r="C632" s="134" t="s">
        <v>242</v>
      </c>
      <c r="E632" s="105">
        <f>MIN(N632,R632,V632,Z632,AD632)</f>
        <v>0</v>
      </c>
      <c r="F632" s="105">
        <f>AVERAGE(N632,R632,V632,Z632,AD632)</f>
        <v>0</v>
      </c>
      <c r="G632" s="105">
        <f>MAX(N632,R632,V632,Z632,AD632)</f>
        <v>0</v>
      </c>
      <c r="H632" s="106"/>
      <c r="I632" s="105">
        <f>MIN(T632,X632,AB632,AF632,P632)</f>
        <v>0</v>
      </c>
      <c r="J632" s="105">
        <f>AVERAGE(P632,T632,X632,AB632,AF632)</f>
        <v>0</v>
      </c>
      <c r="K632" s="105">
        <f>MAX(P632,T632,X632,AB632,AF632)</f>
        <v>0</v>
      </c>
      <c r="N632" s="107">
        <f t="shared" si="285"/>
        <v>0</v>
      </c>
      <c r="O632" s="107">
        <f t="shared" si="286"/>
        <v>0</v>
      </c>
      <c r="P632" s="107">
        <f t="shared" si="287"/>
        <v>0</v>
      </c>
      <c r="R632" s="107">
        <f t="shared" si="288"/>
        <v>0</v>
      </c>
      <c r="S632" s="107">
        <f t="shared" si="289"/>
        <v>0</v>
      </c>
      <c r="T632" s="107">
        <f t="shared" si="290"/>
        <v>0</v>
      </c>
      <c r="V632" s="107">
        <f t="shared" si="291"/>
        <v>0</v>
      </c>
      <c r="W632" s="107">
        <f t="shared" si="292"/>
        <v>0</v>
      </c>
      <c r="X632" s="107">
        <f t="shared" si="293"/>
        <v>0</v>
      </c>
      <c r="Z632" s="107">
        <f t="shared" si="294"/>
        <v>0</v>
      </c>
      <c r="AA632" s="107">
        <f t="shared" si="295"/>
        <v>0</v>
      </c>
      <c r="AB632" s="107">
        <f t="shared" si="296"/>
        <v>0</v>
      </c>
      <c r="AD632" s="107">
        <f t="shared" si="297"/>
        <v>0</v>
      </c>
      <c r="AE632" s="107">
        <f t="shared" si="298"/>
        <v>0</v>
      </c>
      <c r="AF632" s="107">
        <f t="shared" si="299"/>
        <v>0</v>
      </c>
      <c r="AH632" s="107">
        <v>0</v>
      </c>
      <c r="AI632" s="107">
        <v>0</v>
      </c>
      <c r="AJ632" s="107">
        <v>0</v>
      </c>
      <c r="AK632" s="107">
        <v>0</v>
      </c>
      <c r="AL632" s="107">
        <v>0</v>
      </c>
      <c r="AM632" s="107">
        <v>0</v>
      </c>
      <c r="AN632" s="107">
        <v>0</v>
      </c>
      <c r="AO632" s="107">
        <v>0</v>
      </c>
      <c r="AP632" s="107">
        <v>0</v>
      </c>
      <c r="AQ632" s="107">
        <v>0</v>
      </c>
      <c r="AR632" s="107">
        <v>0</v>
      </c>
      <c r="AS632" s="107">
        <v>0</v>
      </c>
      <c r="AT632" s="107">
        <v>0</v>
      </c>
      <c r="AU632" s="107">
        <v>0</v>
      </c>
      <c r="AV632" s="107">
        <v>0</v>
      </c>
    </row>
    <row r="633" spans="1:48" ht="30" customHeight="1" outlineLevel="2">
      <c r="A633" s="116" t="s">
        <v>1477</v>
      </c>
      <c r="B633" s="117" t="s">
        <v>1478</v>
      </c>
      <c r="C633" s="134" t="s">
        <v>242</v>
      </c>
      <c r="E633" s="105">
        <f>MIN(N633,R633,V633,Z633,AD633)</f>
        <v>0</v>
      </c>
      <c r="F633" s="105">
        <f>AVERAGE(N633,R633,V633,Z633,AD633)</f>
        <v>0</v>
      </c>
      <c r="G633" s="105">
        <f>MAX(N633,R633,V633,Z633,AD633)</f>
        <v>0</v>
      </c>
      <c r="H633" s="106"/>
      <c r="I633" s="105">
        <f>MIN(T633,X633,AB633,AF633,P633)</f>
        <v>0</v>
      </c>
      <c r="J633" s="105">
        <f>AVERAGE(P633,T633,X633,AB633,AF633)</f>
        <v>0</v>
      </c>
      <c r="K633" s="105">
        <f>MAX(P633,T633,X633,AB633,AF633)</f>
        <v>0</v>
      </c>
      <c r="N633" s="107">
        <f t="shared" si="285"/>
        <v>0</v>
      </c>
      <c r="O633" s="107">
        <f t="shared" si="286"/>
        <v>0</v>
      </c>
      <c r="P633" s="107">
        <f t="shared" si="287"/>
        <v>0</v>
      </c>
      <c r="R633" s="107">
        <f t="shared" si="288"/>
        <v>0</v>
      </c>
      <c r="S633" s="107">
        <f t="shared" si="289"/>
        <v>0</v>
      </c>
      <c r="T633" s="107">
        <f t="shared" si="290"/>
        <v>0</v>
      </c>
      <c r="V633" s="107">
        <f t="shared" si="291"/>
        <v>0</v>
      </c>
      <c r="W633" s="107">
        <f t="shared" si="292"/>
        <v>0</v>
      </c>
      <c r="X633" s="107">
        <f t="shared" si="293"/>
        <v>0</v>
      </c>
      <c r="Z633" s="107">
        <f t="shared" si="294"/>
        <v>0</v>
      </c>
      <c r="AA633" s="107">
        <f t="shared" si="295"/>
        <v>0</v>
      </c>
      <c r="AB633" s="107">
        <f t="shared" si="296"/>
        <v>0</v>
      </c>
      <c r="AD633" s="107">
        <f t="shared" si="297"/>
        <v>0</v>
      </c>
      <c r="AE633" s="107">
        <f t="shared" si="298"/>
        <v>0</v>
      </c>
      <c r="AF633" s="107">
        <f t="shared" si="299"/>
        <v>0</v>
      </c>
      <c r="AH633" s="107">
        <v>0</v>
      </c>
      <c r="AI633" s="107">
        <v>0</v>
      </c>
      <c r="AJ633" s="107">
        <v>0</v>
      </c>
      <c r="AK633" s="107">
        <v>0</v>
      </c>
      <c r="AL633" s="107">
        <v>0</v>
      </c>
      <c r="AM633" s="107">
        <v>0</v>
      </c>
      <c r="AN633" s="107">
        <v>0</v>
      </c>
      <c r="AO633" s="107">
        <v>0</v>
      </c>
      <c r="AP633" s="107">
        <v>0</v>
      </c>
      <c r="AQ633" s="107">
        <v>0</v>
      </c>
      <c r="AR633" s="107">
        <v>0</v>
      </c>
      <c r="AS633" s="107">
        <v>0</v>
      </c>
      <c r="AT633" s="107">
        <v>0</v>
      </c>
      <c r="AU633" s="107">
        <v>0</v>
      </c>
      <c r="AV633" s="107">
        <v>0</v>
      </c>
    </row>
    <row r="634" spans="1:48" ht="30" customHeight="1" outlineLevel="2" thickBot="1">
      <c r="A634" s="116" t="s">
        <v>1479</v>
      </c>
      <c r="B634" s="117" t="s">
        <v>1480</v>
      </c>
      <c r="C634" s="134" t="s">
        <v>242</v>
      </c>
      <c r="E634" s="105">
        <f>MIN(N634,R634,V634,Z634,AD634)</f>
        <v>0</v>
      </c>
      <c r="F634" s="105">
        <f>AVERAGE(N634,R634,V634,Z634,AD634)</f>
        <v>0</v>
      </c>
      <c r="G634" s="105">
        <f>MAX(N634,R634,V634,Z634,AD634)</f>
        <v>0</v>
      </c>
      <c r="H634" s="106"/>
      <c r="I634" s="105">
        <f>MIN(T634,X634,AB634,AF634,P634)</f>
        <v>0</v>
      </c>
      <c r="J634" s="105">
        <f>AVERAGE(P634,T634,X634,AB634,AF634)</f>
        <v>0</v>
      </c>
      <c r="K634" s="105">
        <f>MAX(P634,T634,X634,AB634,AF634)</f>
        <v>0</v>
      </c>
      <c r="N634" s="107">
        <f t="shared" si="285"/>
        <v>0</v>
      </c>
      <c r="O634" s="107">
        <f t="shared" si="286"/>
        <v>0</v>
      </c>
      <c r="P634" s="107">
        <f t="shared" si="287"/>
        <v>0</v>
      </c>
      <c r="R634" s="107">
        <f t="shared" si="288"/>
        <v>0</v>
      </c>
      <c r="S634" s="107">
        <f t="shared" si="289"/>
        <v>0</v>
      </c>
      <c r="T634" s="107">
        <f t="shared" si="290"/>
        <v>0</v>
      </c>
      <c r="V634" s="107">
        <f t="shared" si="291"/>
        <v>0</v>
      </c>
      <c r="W634" s="107">
        <f t="shared" si="292"/>
        <v>0</v>
      </c>
      <c r="X634" s="107">
        <f t="shared" si="293"/>
        <v>0</v>
      </c>
      <c r="Z634" s="107">
        <f t="shared" si="294"/>
        <v>0</v>
      </c>
      <c r="AA634" s="107">
        <f t="shared" si="295"/>
        <v>0</v>
      </c>
      <c r="AB634" s="107">
        <f t="shared" si="296"/>
        <v>0</v>
      </c>
      <c r="AD634" s="107">
        <f t="shared" si="297"/>
        <v>0</v>
      </c>
      <c r="AE634" s="107">
        <f t="shared" si="298"/>
        <v>0</v>
      </c>
      <c r="AF634" s="107">
        <f t="shared" si="299"/>
        <v>0</v>
      </c>
      <c r="AH634" s="107">
        <v>0</v>
      </c>
      <c r="AI634" s="107">
        <v>0</v>
      </c>
      <c r="AJ634" s="107">
        <v>0</v>
      </c>
      <c r="AK634" s="107">
        <v>0</v>
      </c>
      <c r="AL634" s="107">
        <v>0</v>
      </c>
      <c r="AM634" s="107">
        <v>0</v>
      </c>
      <c r="AN634" s="107">
        <v>0</v>
      </c>
      <c r="AO634" s="107">
        <v>0</v>
      </c>
      <c r="AP634" s="107">
        <v>0</v>
      </c>
      <c r="AQ634" s="107">
        <v>0</v>
      </c>
      <c r="AR634" s="107">
        <v>0</v>
      </c>
      <c r="AS634" s="107">
        <v>0</v>
      </c>
      <c r="AT634" s="107">
        <v>0</v>
      </c>
      <c r="AU634" s="107">
        <v>0</v>
      </c>
      <c r="AV634" s="107">
        <v>0</v>
      </c>
    </row>
    <row r="635" spans="1:48" ht="30" customHeight="1" thickBot="1">
      <c r="A635" s="96" t="s">
        <v>1481</v>
      </c>
      <c r="B635" s="115" t="s">
        <v>1482</v>
      </c>
      <c r="C635" s="98"/>
      <c r="N635" s="11" t="str">
        <f t="shared" si="285"/>
        <v/>
      </c>
      <c r="O635" s="11" t="str">
        <f t="shared" si="286"/>
        <v/>
      </c>
      <c r="P635" s="11" t="str">
        <f t="shared" si="287"/>
        <v/>
      </c>
      <c r="R635" s="11" t="str">
        <f t="shared" si="288"/>
        <v/>
      </c>
      <c r="S635" s="11" t="str">
        <f t="shared" si="289"/>
        <v/>
      </c>
      <c r="T635" s="11" t="str">
        <f t="shared" si="290"/>
        <v/>
      </c>
      <c r="V635" s="11" t="str">
        <f t="shared" si="291"/>
        <v/>
      </c>
      <c r="W635" s="11" t="str">
        <f t="shared" si="292"/>
        <v/>
      </c>
      <c r="X635" s="11" t="str">
        <f t="shared" si="293"/>
        <v/>
      </c>
      <c r="Z635" s="11" t="str">
        <f t="shared" si="294"/>
        <v/>
      </c>
      <c r="AA635" s="11" t="str">
        <f t="shared" si="295"/>
        <v/>
      </c>
      <c r="AB635" s="11" t="str">
        <f t="shared" si="296"/>
        <v/>
      </c>
      <c r="AD635" s="11" t="str">
        <f t="shared" si="297"/>
        <v/>
      </c>
      <c r="AE635" s="11" t="str">
        <f t="shared" si="298"/>
        <v/>
      </c>
      <c r="AF635" s="11" t="str">
        <f t="shared" si="299"/>
        <v/>
      </c>
    </row>
    <row r="636" spans="1:48" ht="30" customHeight="1" outlineLevel="1">
      <c r="A636" s="132" t="s">
        <v>1483</v>
      </c>
      <c r="B636" s="133" t="s">
        <v>1484</v>
      </c>
      <c r="C636" s="101"/>
      <c r="N636" s="11" t="str">
        <f t="shared" si="285"/>
        <v/>
      </c>
      <c r="O636" s="11" t="str">
        <f t="shared" si="286"/>
        <v/>
      </c>
      <c r="P636" s="11" t="str">
        <f t="shared" si="287"/>
        <v/>
      </c>
      <c r="R636" s="11" t="str">
        <f t="shared" si="288"/>
        <v/>
      </c>
      <c r="S636" s="11" t="str">
        <f t="shared" si="289"/>
        <v/>
      </c>
      <c r="T636" s="11" t="str">
        <f t="shared" si="290"/>
        <v/>
      </c>
      <c r="V636" s="11" t="str">
        <f t="shared" si="291"/>
        <v/>
      </c>
      <c r="W636" s="11" t="str">
        <f t="shared" si="292"/>
        <v/>
      </c>
      <c r="X636" s="11" t="str">
        <f t="shared" si="293"/>
        <v/>
      </c>
      <c r="Z636" s="11" t="str">
        <f t="shared" si="294"/>
        <v/>
      </c>
      <c r="AA636" s="11" t="str">
        <f t="shared" si="295"/>
        <v/>
      </c>
      <c r="AB636" s="11" t="str">
        <f t="shared" si="296"/>
        <v/>
      </c>
      <c r="AD636" s="11" t="str">
        <f t="shared" si="297"/>
        <v/>
      </c>
      <c r="AE636" s="11" t="str">
        <f t="shared" si="298"/>
        <v/>
      </c>
      <c r="AF636" s="11" t="str">
        <f t="shared" si="299"/>
        <v/>
      </c>
    </row>
    <row r="637" spans="1:48" ht="30" customHeight="1" outlineLevel="2">
      <c r="A637" s="116" t="s">
        <v>1485</v>
      </c>
      <c r="B637" s="117" t="s">
        <v>1486</v>
      </c>
      <c r="C637" s="134" t="s">
        <v>242</v>
      </c>
      <c r="E637" s="105">
        <f>MIN(N637,R637,V637,Z637,AD637)</f>
        <v>0</v>
      </c>
      <c r="F637" s="105">
        <f>AVERAGE(N637,R637,V637,Z637,AD637)</f>
        <v>0</v>
      </c>
      <c r="G637" s="105">
        <f>MAX(N637,R637,V637,Z637,AD637)</f>
        <v>0</v>
      </c>
      <c r="H637" s="106"/>
      <c r="I637" s="105">
        <f>MIN(T637,X637,AB637,AF637,P637)</f>
        <v>0</v>
      </c>
      <c r="J637" s="105">
        <f>AVERAGE(P637,T637,X637,AB637,AF637)</f>
        <v>0</v>
      </c>
      <c r="K637" s="105">
        <f>MAX(P637,T637,X637,AB637,AF637)</f>
        <v>0</v>
      </c>
      <c r="N637" s="107">
        <f t="shared" si="285"/>
        <v>0</v>
      </c>
      <c r="O637" s="107">
        <f t="shared" si="286"/>
        <v>0</v>
      </c>
      <c r="P637" s="107">
        <f t="shared" si="287"/>
        <v>0</v>
      </c>
      <c r="R637" s="107">
        <f t="shared" si="288"/>
        <v>0</v>
      </c>
      <c r="S637" s="107">
        <f t="shared" si="289"/>
        <v>0</v>
      </c>
      <c r="T637" s="107">
        <f t="shared" si="290"/>
        <v>0</v>
      </c>
      <c r="V637" s="107">
        <f t="shared" si="291"/>
        <v>0</v>
      </c>
      <c r="W637" s="107">
        <f t="shared" si="292"/>
        <v>0</v>
      </c>
      <c r="X637" s="107">
        <f t="shared" si="293"/>
        <v>0</v>
      </c>
      <c r="Z637" s="107">
        <f t="shared" si="294"/>
        <v>0</v>
      </c>
      <c r="AA637" s="107">
        <f t="shared" si="295"/>
        <v>0</v>
      </c>
      <c r="AB637" s="107">
        <f t="shared" si="296"/>
        <v>0</v>
      </c>
      <c r="AD637" s="107">
        <f t="shared" si="297"/>
        <v>0</v>
      </c>
      <c r="AE637" s="107">
        <f t="shared" si="298"/>
        <v>0</v>
      </c>
      <c r="AF637" s="107">
        <f t="shared" si="299"/>
        <v>0</v>
      </c>
      <c r="AH637" s="107">
        <v>0</v>
      </c>
      <c r="AI637" s="107">
        <v>0</v>
      </c>
      <c r="AJ637" s="107">
        <v>0</v>
      </c>
      <c r="AK637" s="107">
        <v>0</v>
      </c>
      <c r="AL637" s="107">
        <v>0</v>
      </c>
      <c r="AM637" s="107">
        <v>0</v>
      </c>
      <c r="AN637" s="107">
        <v>0</v>
      </c>
      <c r="AO637" s="107">
        <v>0</v>
      </c>
      <c r="AP637" s="107">
        <v>0</v>
      </c>
      <c r="AQ637" s="107">
        <v>0</v>
      </c>
      <c r="AR637" s="107">
        <v>0</v>
      </c>
      <c r="AS637" s="107">
        <v>0</v>
      </c>
      <c r="AT637" s="107">
        <v>0</v>
      </c>
      <c r="AU637" s="107">
        <v>0</v>
      </c>
      <c r="AV637" s="107">
        <v>0</v>
      </c>
    </row>
    <row r="638" spans="1:48" ht="30" customHeight="1" outlineLevel="2">
      <c r="A638" s="116" t="s">
        <v>1487</v>
      </c>
      <c r="B638" s="117" t="s">
        <v>1488</v>
      </c>
      <c r="C638" s="134" t="s">
        <v>242</v>
      </c>
      <c r="E638" s="105">
        <f>MIN(N638,R638,V638,Z638,AD638)</f>
        <v>0</v>
      </c>
      <c r="F638" s="105">
        <f>AVERAGE(N638,R638,V638,Z638,AD638)</f>
        <v>0</v>
      </c>
      <c r="G638" s="105">
        <f>MAX(N638,R638,V638,Z638,AD638)</f>
        <v>0</v>
      </c>
      <c r="H638" s="106"/>
      <c r="I638" s="105">
        <f>MIN(T638,X638,AB638,AF638,P638)</f>
        <v>0</v>
      </c>
      <c r="J638" s="105">
        <f>AVERAGE(P638,T638,X638,AB638,AF638)</f>
        <v>0</v>
      </c>
      <c r="K638" s="105">
        <f>MAX(P638,T638,X638,AB638,AF638)</f>
        <v>0</v>
      </c>
      <c r="N638" s="107">
        <f t="shared" si="285"/>
        <v>0</v>
      </c>
      <c r="O638" s="107">
        <f t="shared" si="286"/>
        <v>0</v>
      </c>
      <c r="P638" s="107">
        <f t="shared" si="287"/>
        <v>0</v>
      </c>
      <c r="R638" s="107">
        <f t="shared" si="288"/>
        <v>0</v>
      </c>
      <c r="S638" s="107">
        <f t="shared" si="289"/>
        <v>0</v>
      </c>
      <c r="T638" s="107">
        <f t="shared" si="290"/>
        <v>0</v>
      </c>
      <c r="V638" s="107">
        <f t="shared" si="291"/>
        <v>0</v>
      </c>
      <c r="W638" s="107">
        <f t="shared" si="292"/>
        <v>0</v>
      </c>
      <c r="X638" s="107">
        <f t="shared" si="293"/>
        <v>0</v>
      </c>
      <c r="Z638" s="107">
        <f t="shared" si="294"/>
        <v>0</v>
      </c>
      <c r="AA638" s="107">
        <f t="shared" si="295"/>
        <v>0</v>
      </c>
      <c r="AB638" s="107">
        <f t="shared" si="296"/>
        <v>0</v>
      </c>
      <c r="AD638" s="107">
        <f t="shared" si="297"/>
        <v>0</v>
      </c>
      <c r="AE638" s="107">
        <f t="shared" si="298"/>
        <v>0</v>
      </c>
      <c r="AF638" s="107">
        <f t="shared" si="299"/>
        <v>0</v>
      </c>
      <c r="AH638" s="107">
        <v>0</v>
      </c>
      <c r="AI638" s="107">
        <v>0</v>
      </c>
      <c r="AJ638" s="107">
        <v>0</v>
      </c>
      <c r="AK638" s="107">
        <v>0</v>
      </c>
      <c r="AL638" s="107">
        <v>0</v>
      </c>
      <c r="AM638" s="107">
        <v>0</v>
      </c>
      <c r="AN638" s="107">
        <v>0</v>
      </c>
      <c r="AO638" s="107">
        <v>0</v>
      </c>
      <c r="AP638" s="107">
        <v>0</v>
      </c>
      <c r="AQ638" s="107">
        <v>0</v>
      </c>
      <c r="AR638" s="107">
        <v>0</v>
      </c>
      <c r="AS638" s="107">
        <v>0</v>
      </c>
      <c r="AT638" s="107">
        <v>0</v>
      </c>
      <c r="AU638" s="107">
        <v>0</v>
      </c>
      <c r="AV638" s="107">
        <v>0</v>
      </c>
    </row>
    <row r="639" spans="1:48" ht="30" customHeight="1" outlineLevel="1">
      <c r="A639" s="132" t="s">
        <v>1489</v>
      </c>
      <c r="B639" s="133" t="s">
        <v>1490</v>
      </c>
      <c r="C639" s="101"/>
      <c r="N639" s="11" t="str">
        <f t="shared" si="285"/>
        <v/>
      </c>
      <c r="O639" s="11" t="str">
        <f t="shared" si="286"/>
        <v/>
      </c>
      <c r="P639" s="11" t="str">
        <f t="shared" si="287"/>
        <v/>
      </c>
      <c r="R639" s="11" t="str">
        <f t="shared" si="288"/>
        <v/>
      </c>
      <c r="S639" s="11" t="str">
        <f t="shared" si="289"/>
        <v/>
      </c>
      <c r="T639" s="11" t="str">
        <f t="shared" si="290"/>
        <v/>
      </c>
      <c r="V639" s="11" t="str">
        <f t="shared" si="291"/>
        <v/>
      </c>
      <c r="W639" s="11" t="str">
        <f t="shared" si="292"/>
        <v/>
      </c>
      <c r="X639" s="11" t="str">
        <f t="shared" si="293"/>
        <v/>
      </c>
      <c r="Z639" s="11" t="str">
        <f t="shared" si="294"/>
        <v/>
      </c>
      <c r="AA639" s="11" t="str">
        <f t="shared" si="295"/>
        <v/>
      </c>
      <c r="AB639" s="11" t="str">
        <f t="shared" si="296"/>
        <v/>
      </c>
      <c r="AD639" s="11" t="str">
        <f t="shared" si="297"/>
        <v/>
      </c>
      <c r="AE639" s="11" t="str">
        <f t="shared" si="298"/>
        <v/>
      </c>
      <c r="AF639" s="11" t="str">
        <f t="shared" si="299"/>
        <v/>
      </c>
    </row>
    <row r="640" spans="1:48" ht="30" customHeight="1" outlineLevel="2">
      <c r="A640" s="116" t="s">
        <v>1491</v>
      </c>
      <c r="B640" s="117" t="s">
        <v>1492</v>
      </c>
      <c r="C640" s="134" t="s">
        <v>242</v>
      </c>
      <c r="E640" s="105">
        <f t="shared" ref="E640:E645" si="306">MIN(N640,R640,V640,Z640,AD640)</f>
        <v>0</v>
      </c>
      <c r="F640" s="105">
        <f t="shared" ref="F640:F645" si="307">AVERAGE(N640,R640,V640,Z640,AD640)</f>
        <v>0</v>
      </c>
      <c r="G640" s="105">
        <f t="shared" ref="G640:G645" si="308">MAX(N640,R640,V640,Z640,AD640)</f>
        <v>0</v>
      </c>
      <c r="H640" s="106"/>
      <c r="I640" s="105">
        <f t="shared" ref="I640:I645" si="309">MIN(T640,X640,AB640,AF640,P640)</f>
        <v>0</v>
      </c>
      <c r="J640" s="105">
        <f t="shared" ref="J640:J645" si="310">AVERAGE(P640,T640,X640,AB640,AF640)</f>
        <v>0</v>
      </c>
      <c r="K640" s="105">
        <f t="shared" ref="K640:K645" si="311">MAX(P640,T640,X640,AB640,AF640)</f>
        <v>0</v>
      </c>
      <c r="N640" s="107">
        <f t="shared" si="285"/>
        <v>0</v>
      </c>
      <c r="O640" s="107">
        <f t="shared" si="286"/>
        <v>0</v>
      </c>
      <c r="P640" s="107">
        <f t="shared" si="287"/>
        <v>0</v>
      </c>
      <c r="R640" s="107">
        <f t="shared" si="288"/>
        <v>0</v>
      </c>
      <c r="S640" s="107">
        <f t="shared" si="289"/>
        <v>0</v>
      </c>
      <c r="T640" s="107">
        <f t="shared" si="290"/>
        <v>0</v>
      </c>
      <c r="V640" s="107">
        <f t="shared" si="291"/>
        <v>0</v>
      </c>
      <c r="W640" s="107">
        <f t="shared" si="292"/>
        <v>0</v>
      </c>
      <c r="X640" s="107">
        <f t="shared" si="293"/>
        <v>0</v>
      </c>
      <c r="Z640" s="107">
        <f t="shared" si="294"/>
        <v>0</v>
      </c>
      <c r="AA640" s="107">
        <f t="shared" si="295"/>
        <v>0</v>
      </c>
      <c r="AB640" s="107">
        <f t="shared" si="296"/>
        <v>0</v>
      </c>
      <c r="AD640" s="107">
        <f t="shared" si="297"/>
        <v>0</v>
      </c>
      <c r="AE640" s="107">
        <f t="shared" si="298"/>
        <v>0</v>
      </c>
      <c r="AF640" s="107">
        <f t="shared" si="299"/>
        <v>0</v>
      </c>
      <c r="AH640" s="107">
        <v>0</v>
      </c>
      <c r="AI640" s="107">
        <v>0</v>
      </c>
      <c r="AJ640" s="107">
        <v>0</v>
      </c>
      <c r="AK640" s="107">
        <v>0</v>
      </c>
      <c r="AL640" s="107">
        <v>0</v>
      </c>
      <c r="AM640" s="107">
        <v>0</v>
      </c>
      <c r="AN640" s="107">
        <v>0</v>
      </c>
      <c r="AO640" s="107">
        <v>0</v>
      </c>
      <c r="AP640" s="107">
        <v>0</v>
      </c>
      <c r="AQ640" s="107">
        <v>0</v>
      </c>
      <c r="AR640" s="107">
        <v>0</v>
      </c>
      <c r="AS640" s="107">
        <v>0</v>
      </c>
      <c r="AT640" s="107">
        <v>0</v>
      </c>
      <c r="AU640" s="107">
        <v>0</v>
      </c>
      <c r="AV640" s="107">
        <v>0</v>
      </c>
    </row>
    <row r="641" spans="1:48" ht="30" customHeight="1" outlineLevel="2">
      <c r="A641" s="116" t="s">
        <v>1493</v>
      </c>
      <c r="B641" s="117" t="s">
        <v>1494</v>
      </c>
      <c r="C641" s="134" t="s">
        <v>242</v>
      </c>
      <c r="E641" s="105">
        <f t="shared" si="306"/>
        <v>0</v>
      </c>
      <c r="F641" s="105">
        <f t="shared" si="307"/>
        <v>0</v>
      </c>
      <c r="G641" s="105">
        <f t="shared" si="308"/>
        <v>0</v>
      </c>
      <c r="H641" s="106"/>
      <c r="I641" s="105">
        <f t="shared" si="309"/>
        <v>0</v>
      </c>
      <c r="J641" s="105">
        <f t="shared" si="310"/>
        <v>0</v>
      </c>
      <c r="K641" s="105">
        <f t="shared" si="311"/>
        <v>0</v>
      </c>
      <c r="N641" s="107">
        <f t="shared" si="285"/>
        <v>0</v>
      </c>
      <c r="O641" s="107">
        <f t="shared" si="286"/>
        <v>0</v>
      </c>
      <c r="P641" s="107">
        <f t="shared" si="287"/>
        <v>0</v>
      </c>
      <c r="R641" s="107">
        <f t="shared" si="288"/>
        <v>0</v>
      </c>
      <c r="S641" s="107">
        <f t="shared" si="289"/>
        <v>0</v>
      </c>
      <c r="T641" s="107">
        <f t="shared" si="290"/>
        <v>0</v>
      </c>
      <c r="V641" s="107">
        <f t="shared" si="291"/>
        <v>0</v>
      </c>
      <c r="W641" s="107">
        <f t="shared" si="292"/>
        <v>0</v>
      </c>
      <c r="X641" s="107">
        <f t="shared" si="293"/>
        <v>0</v>
      </c>
      <c r="Z641" s="107">
        <f t="shared" si="294"/>
        <v>0</v>
      </c>
      <c r="AA641" s="107">
        <f t="shared" si="295"/>
        <v>0</v>
      </c>
      <c r="AB641" s="107">
        <f t="shared" si="296"/>
        <v>0</v>
      </c>
      <c r="AD641" s="107">
        <f t="shared" si="297"/>
        <v>0</v>
      </c>
      <c r="AE641" s="107">
        <f t="shared" si="298"/>
        <v>0</v>
      </c>
      <c r="AF641" s="107">
        <f t="shared" si="299"/>
        <v>0</v>
      </c>
      <c r="AH641" s="107">
        <v>0</v>
      </c>
      <c r="AI641" s="107">
        <v>0</v>
      </c>
      <c r="AJ641" s="107">
        <v>0</v>
      </c>
      <c r="AK641" s="107">
        <v>0</v>
      </c>
      <c r="AL641" s="107">
        <v>0</v>
      </c>
      <c r="AM641" s="107">
        <v>0</v>
      </c>
      <c r="AN641" s="107">
        <v>0</v>
      </c>
      <c r="AO641" s="107">
        <v>0</v>
      </c>
      <c r="AP641" s="107">
        <v>0</v>
      </c>
      <c r="AQ641" s="107">
        <v>0</v>
      </c>
      <c r="AR641" s="107">
        <v>0</v>
      </c>
      <c r="AS641" s="107">
        <v>0</v>
      </c>
      <c r="AT641" s="107">
        <v>0</v>
      </c>
      <c r="AU641" s="107">
        <v>0</v>
      </c>
      <c r="AV641" s="107">
        <v>0</v>
      </c>
    </row>
    <row r="642" spans="1:48" ht="30" customHeight="1" outlineLevel="2">
      <c r="A642" s="116" t="s">
        <v>1495</v>
      </c>
      <c r="B642" s="117" t="s">
        <v>1496</v>
      </c>
      <c r="C642" s="134" t="s">
        <v>242</v>
      </c>
      <c r="E642" s="105">
        <f t="shared" si="306"/>
        <v>0</v>
      </c>
      <c r="F642" s="105">
        <f t="shared" si="307"/>
        <v>0</v>
      </c>
      <c r="G642" s="105">
        <f t="shared" si="308"/>
        <v>0</v>
      </c>
      <c r="H642" s="106"/>
      <c r="I642" s="105">
        <f t="shared" si="309"/>
        <v>0</v>
      </c>
      <c r="J642" s="105">
        <f t="shared" si="310"/>
        <v>0</v>
      </c>
      <c r="K642" s="105">
        <f t="shared" si="311"/>
        <v>0</v>
      </c>
      <c r="N642" s="107">
        <f t="shared" si="285"/>
        <v>0</v>
      </c>
      <c r="O642" s="107">
        <f t="shared" si="286"/>
        <v>0</v>
      </c>
      <c r="P642" s="107">
        <f t="shared" si="287"/>
        <v>0</v>
      </c>
      <c r="R642" s="107">
        <f t="shared" si="288"/>
        <v>0</v>
      </c>
      <c r="S642" s="107">
        <f t="shared" si="289"/>
        <v>0</v>
      </c>
      <c r="T642" s="107">
        <f t="shared" si="290"/>
        <v>0</v>
      </c>
      <c r="V642" s="107">
        <f t="shared" si="291"/>
        <v>0</v>
      </c>
      <c r="W642" s="107">
        <f t="shared" si="292"/>
        <v>0</v>
      </c>
      <c r="X642" s="107">
        <f t="shared" si="293"/>
        <v>0</v>
      </c>
      <c r="Z642" s="107">
        <f t="shared" si="294"/>
        <v>0</v>
      </c>
      <c r="AA642" s="107">
        <f t="shared" si="295"/>
        <v>0</v>
      </c>
      <c r="AB642" s="107">
        <f t="shared" si="296"/>
        <v>0</v>
      </c>
      <c r="AD642" s="107">
        <f t="shared" si="297"/>
        <v>0</v>
      </c>
      <c r="AE642" s="107">
        <f t="shared" si="298"/>
        <v>0</v>
      </c>
      <c r="AF642" s="107">
        <f t="shared" si="299"/>
        <v>0</v>
      </c>
      <c r="AH642" s="107">
        <v>0</v>
      </c>
      <c r="AI642" s="107">
        <v>0</v>
      </c>
      <c r="AJ642" s="107">
        <v>0</v>
      </c>
      <c r="AK642" s="107">
        <v>0</v>
      </c>
      <c r="AL642" s="107">
        <v>0</v>
      </c>
      <c r="AM642" s="107">
        <v>0</v>
      </c>
      <c r="AN642" s="107">
        <v>0</v>
      </c>
      <c r="AO642" s="107">
        <v>0</v>
      </c>
      <c r="AP642" s="107">
        <v>0</v>
      </c>
      <c r="AQ642" s="107">
        <v>0</v>
      </c>
      <c r="AR642" s="107">
        <v>0</v>
      </c>
      <c r="AS642" s="107">
        <v>0</v>
      </c>
      <c r="AT642" s="107">
        <v>0</v>
      </c>
      <c r="AU642" s="107">
        <v>0</v>
      </c>
      <c r="AV642" s="107">
        <v>0</v>
      </c>
    </row>
    <row r="643" spans="1:48" ht="30" customHeight="1" outlineLevel="2">
      <c r="A643" s="116" t="s">
        <v>1497</v>
      </c>
      <c r="B643" s="117" t="s">
        <v>1498</v>
      </c>
      <c r="C643" s="134" t="s">
        <v>242</v>
      </c>
      <c r="E643" s="105">
        <f t="shared" si="306"/>
        <v>0</v>
      </c>
      <c r="F643" s="105">
        <f t="shared" si="307"/>
        <v>0</v>
      </c>
      <c r="G643" s="105">
        <f t="shared" si="308"/>
        <v>0</v>
      </c>
      <c r="H643" s="106"/>
      <c r="I643" s="105">
        <f t="shared" si="309"/>
        <v>0</v>
      </c>
      <c r="J643" s="105">
        <f t="shared" si="310"/>
        <v>0</v>
      </c>
      <c r="K643" s="105">
        <f t="shared" si="311"/>
        <v>0</v>
      </c>
      <c r="N643" s="107">
        <f t="shared" si="285"/>
        <v>0</v>
      </c>
      <c r="O643" s="107">
        <f t="shared" si="286"/>
        <v>0</v>
      </c>
      <c r="P643" s="107">
        <f t="shared" si="287"/>
        <v>0</v>
      </c>
      <c r="R643" s="107">
        <f t="shared" si="288"/>
        <v>0</v>
      </c>
      <c r="S643" s="107">
        <f t="shared" si="289"/>
        <v>0</v>
      </c>
      <c r="T643" s="107">
        <f t="shared" si="290"/>
        <v>0</v>
      </c>
      <c r="V643" s="107">
        <f t="shared" si="291"/>
        <v>0</v>
      </c>
      <c r="W643" s="107">
        <f t="shared" si="292"/>
        <v>0</v>
      </c>
      <c r="X643" s="107">
        <f t="shared" si="293"/>
        <v>0</v>
      </c>
      <c r="Z643" s="107">
        <f t="shared" si="294"/>
        <v>0</v>
      </c>
      <c r="AA643" s="107">
        <f t="shared" si="295"/>
        <v>0</v>
      </c>
      <c r="AB643" s="107">
        <f t="shared" si="296"/>
        <v>0</v>
      </c>
      <c r="AD643" s="107">
        <f t="shared" si="297"/>
        <v>0</v>
      </c>
      <c r="AE643" s="107">
        <f t="shared" si="298"/>
        <v>0</v>
      </c>
      <c r="AF643" s="107">
        <f t="shared" si="299"/>
        <v>0</v>
      </c>
      <c r="AH643" s="107">
        <v>0</v>
      </c>
      <c r="AI643" s="107">
        <v>0</v>
      </c>
      <c r="AJ643" s="107">
        <v>0</v>
      </c>
      <c r="AK643" s="107">
        <v>0</v>
      </c>
      <c r="AL643" s="107">
        <v>0</v>
      </c>
      <c r="AM643" s="107">
        <v>0</v>
      </c>
      <c r="AN643" s="107">
        <v>0</v>
      </c>
      <c r="AO643" s="107">
        <v>0</v>
      </c>
      <c r="AP643" s="107">
        <v>0</v>
      </c>
      <c r="AQ643" s="107">
        <v>0</v>
      </c>
      <c r="AR643" s="107">
        <v>0</v>
      </c>
      <c r="AS643" s="107">
        <v>0</v>
      </c>
      <c r="AT643" s="107">
        <v>0</v>
      </c>
      <c r="AU643" s="107">
        <v>0</v>
      </c>
      <c r="AV643" s="107">
        <v>0</v>
      </c>
    </row>
    <row r="644" spans="1:48" ht="30" customHeight="1" outlineLevel="2">
      <c r="A644" s="116" t="s">
        <v>1499</v>
      </c>
      <c r="B644" s="117" t="s">
        <v>1500</v>
      </c>
      <c r="C644" s="134" t="s">
        <v>242</v>
      </c>
      <c r="E644" s="105">
        <f t="shared" si="306"/>
        <v>0</v>
      </c>
      <c r="F644" s="105">
        <f t="shared" si="307"/>
        <v>0</v>
      </c>
      <c r="G644" s="105">
        <f t="shared" si="308"/>
        <v>0</v>
      </c>
      <c r="H644" s="106"/>
      <c r="I644" s="105">
        <f t="shared" si="309"/>
        <v>0</v>
      </c>
      <c r="J644" s="105">
        <f t="shared" si="310"/>
        <v>0</v>
      </c>
      <c r="K644" s="105">
        <f t="shared" si="311"/>
        <v>0</v>
      </c>
      <c r="N644" s="107">
        <f t="shared" ref="N644:N671" si="312" xml:space="preserve"> IF(ISBLANK(AH644),"",_k_EIFFAGE * AH644)</f>
        <v>0</v>
      </c>
      <c r="O644" s="107">
        <f t="shared" ref="O644:O671" si="313" xml:space="preserve"> IF(ISBLANK(AI644),"",_k_EIFFAGE * AI644)</f>
        <v>0</v>
      </c>
      <c r="P644" s="107">
        <f t="shared" ref="P644:P671" si="314" xml:space="preserve"> IF(ISBLANK(AJ644),"",_k_EIFFAGE * AJ644)</f>
        <v>0</v>
      </c>
      <c r="R644" s="107">
        <f t="shared" ref="R644:R671" si="315" xml:space="preserve"> IF(ISBLANK(AK644),"",_k_ERI * AK644)</f>
        <v>0</v>
      </c>
      <c r="S644" s="107">
        <f t="shared" ref="S644:S671" si="316" xml:space="preserve"> IF(ISBLANK(AL644),"",_k_ERI * AL644)</f>
        <v>0</v>
      </c>
      <c r="T644" s="107">
        <f t="shared" ref="T644:T671" si="317" xml:space="preserve"> IF(ISBLANK(AM644),"",_k_ERI * AM644)</f>
        <v>0</v>
      </c>
      <c r="V644" s="107">
        <f t="shared" ref="V644:V671" si="318" xml:space="preserve"> IF(ISBLANK(AN644),"",_k_INEO * AN644)</f>
        <v>0</v>
      </c>
      <c r="W644" s="107">
        <f t="shared" ref="W644:W671" si="319" xml:space="preserve"> IF(ISBLANK(AO644),"",_k_INEO * AO644)</f>
        <v>0</v>
      </c>
      <c r="X644" s="107">
        <f t="shared" ref="X644:X671" si="320" xml:space="preserve"> IF(ISBLANK(AP644),"",_k_INEO * AP644)</f>
        <v>0</v>
      </c>
      <c r="Z644" s="107">
        <f t="shared" ref="Z644:Z671" si="321" xml:space="preserve"> IF(ISBLANK(AQ644),"",_k_SDEL * AQ644)</f>
        <v>0</v>
      </c>
      <c r="AA644" s="107">
        <f t="shared" ref="AA644:AA671" si="322" xml:space="preserve"> IF(ISBLANK(AR644),"",_k_SDEL * AR644)</f>
        <v>0</v>
      </c>
      <c r="AB644" s="107">
        <f t="shared" ref="AB644:AB671" si="323" xml:space="preserve"> IF(ISBLANK(AS644),"",_k_SDEL * AS644)</f>
        <v>0</v>
      </c>
      <c r="AD644" s="107">
        <f t="shared" ref="AD644:AD671" si="324" xml:space="preserve"> IF(ISBLANK(AT644),"",_k_SOGETREL * AT644)</f>
        <v>0</v>
      </c>
      <c r="AE644" s="107">
        <f t="shared" ref="AE644:AE671" si="325" xml:space="preserve"> IF(ISBLANK(AU644),"",_k_SOGETREL * AU644)</f>
        <v>0</v>
      </c>
      <c r="AF644" s="107">
        <f t="shared" ref="AF644:AF671" si="326" xml:space="preserve"> IF(ISBLANK(AV644),"",_k_SOGETREL * AV644)</f>
        <v>0</v>
      </c>
      <c r="AH644" s="107">
        <v>0</v>
      </c>
      <c r="AI644" s="107">
        <v>0</v>
      </c>
      <c r="AJ644" s="107">
        <v>0</v>
      </c>
      <c r="AK644" s="107">
        <v>0</v>
      </c>
      <c r="AL644" s="107">
        <v>0</v>
      </c>
      <c r="AM644" s="107">
        <v>0</v>
      </c>
      <c r="AN644" s="107">
        <v>0</v>
      </c>
      <c r="AO644" s="107">
        <v>0</v>
      </c>
      <c r="AP644" s="107">
        <v>0</v>
      </c>
      <c r="AQ644" s="107">
        <v>0</v>
      </c>
      <c r="AR644" s="107">
        <v>0</v>
      </c>
      <c r="AS644" s="107">
        <v>0</v>
      </c>
      <c r="AT644" s="107">
        <v>0</v>
      </c>
      <c r="AU644" s="107">
        <v>0</v>
      </c>
      <c r="AV644" s="107">
        <v>0</v>
      </c>
    </row>
    <row r="645" spans="1:48" ht="30" customHeight="1" outlineLevel="2" thickBot="1">
      <c r="A645" s="116" t="s">
        <v>1501</v>
      </c>
      <c r="B645" s="117" t="s">
        <v>1502</v>
      </c>
      <c r="C645" s="134" t="s">
        <v>242</v>
      </c>
      <c r="E645" s="105">
        <f t="shared" si="306"/>
        <v>0</v>
      </c>
      <c r="F645" s="105">
        <f t="shared" si="307"/>
        <v>0</v>
      </c>
      <c r="G645" s="105">
        <f t="shared" si="308"/>
        <v>0</v>
      </c>
      <c r="H645" s="106"/>
      <c r="I645" s="105">
        <f t="shared" si="309"/>
        <v>0</v>
      </c>
      <c r="J645" s="105">
        <f t="shared" si="310"/>
        <v>0</v>
      </c>
      <c r="K645" s="105">
        <f t="shared" si="311"/>
        <v>0</v>
      </c>
      <c r="N645" s="107">
        <f t="shared" si="312"/>
        <v>0</v>
      </c>
      <c r="O645" s="107">
        <f t="shared" si="313"/>
        <v>0</v>
      </c>
      <c r="P645" s="107">
        <f t="shared" si="314"/>
        <v>0</v>
      </c>
      <c r="R645" s="107">
        <f t="shared" si="315"/>
        <v>0</v>
      </c>
      <c r="S645" s="107">
        <f t="shared" si="316"/>
        <v>0</v>
      </c>
      <c r="T645" s="107">
        <f t="shared" si="317"/>
        <v>0</v>
      </c>
      <c r="V645" s="107">
        <f t="shared" si="318"/>
        <v>0</v>
      </c>
      <c r="W645" s="107">
        <f t="shared" si="319"/>
        <v>0</v>
      </c>
      <c r="X645" s="107">
        <f t="shared" si="320"/>
        <v>0</v>
      </c>
      <c r="Z645" s="107">
        <f t="shared" si="321"/>
        <v>0</v>
      </c>
      <c r="AA645" s="107">
        <f t="shared" si="322"/>
        <v>0</v>
      </c>
      <c r="AB645" s="107">
        <f t="shared" si="323"/>
        <v>0</v>
      </c>
      <c r="AD645" s="107">
        <f t="shared" si="324"/>
        <v>0</v>
      </c>
      <c r="AE645" s="107">
        <f t="shared" si="325"/>
        <v>0</v>
      </c>
      <c r="AF645" s="107">
        <f t="shared" si="326"/>
        <v>0</v>
      </c>
      <c r="AH645" s="107">
        <v>0</v>
      </c>
      <c r="AI645" s="107">
        <v>0</v>
      </c>
      <c r="AJ645" s="107">
        <v>0</v>
      </c>
      <c r="AK645" s="107">
        <v>0</v>
      </c>
      <c r="AL645" s="107">
        <v>0</v>
      </c>
      <c r="AM645" s="107">
        <v>0</v>
      </c>
      <c r="AN645" s="107">
        <v>0</v>
      </c>
      <c r="AO645" s="107">
        <v>0</v>
      </c>
      <c r="AP645" s="107">
        <v>0</v>
      </c>
      <c r="AQ645" s="107">
        <v>0</v>
      </c>
      <c r="AR645" s="107">
        <v>0</v>
      </c>
      <c r="AS645" s="107">
        <v>0</v>
      </c>
      <c r="AT645" s="107">
        <v>0</v>
      </c>
      <c r="AU645" s="107">
        <v>0</v>
      </c>
      <c r="AV645" s="107">
        <v>0</v>
      </c>
    </row>
    <row r="646" spans="1:48" ht="30" customHeight="1" thickBot="1">
      <c r="A646" s="96" t="s">
        <v>1503</v>
      </c>
      <c r="B646" s="115" t="s">
        <v>1504</v>
      </c>
      <c r="C646" s="98"/>
      <c r="N646" s="11" t="str">
        <f t="shared" si="312"/>
        <v/>
      </c>
      <c r="O646" s="11" t="str">
        <f t="shared" si="313"/>
        <v/>
      </c>
      <c r="P646" s="11" t="str">
        <f t="shared" si="314"/>
        <v/>
      </c>
      <c r="R646" s="11" t="str">
        <f t="shared" si="315"/>
        <v/>
      </c>
      <c r="S646" s="11" t="str">
        <f t="shared" si="316"/>
        <v/>
      </c>
      <c r="T646" s="11" t="str">
        <f t="shared" si="317"/>
        <v/>
      </c>
      <c r="V646" s="11" t="str">
        <f t="shared" si="318"/>
        <v/>
      </c>
      <c r="W646" s="11" t="str">
        <f t="shared" si="319"/>
        <v/>
      </c>
      <c r="X646" s="11" t="str">
        <f t="shared" si="320"/>
        <v/>
      </c>
      <c r="Z646" s="11" t="str">
        <f t="shared" si="321"/>
        <v/>
      </c>
      <c r="AA646" s="11" t="str">
        <f t="shared" si="322"/>
        <v/>
      </c>
      <c r="AB646" s="11" t="str">
        <f t="shared" si="323"/>
        <v/>
      </c>
      <c r="AD646" s="11" t="str">
        <f t="shared" si="324"/>
        <v/>
      </c>
      <c r="AE646" s="11" t="str">
        <f t="shared" si="325"/>
        <v/>
      </c>
      <c r="AF646" s="11" t="str">
        <f t="shared" si="326"/>
        <v/>
      </c>
    </row>
    <row r="647" spans="1:48" ht="30" customHeight="1" outlineLevel="1">
      <c r="A647" s="132" t="s">
        <v>1505</v>
      </c>
      <c r="B647" s="133" t="s">
        <v>1506</v>
      </c>
      <c r="C647" s="101"/>
      <c r="N647" s="11" t="str">
        <f t="shared" si="312"/>
        <v/>
      </c>
      <c r="O647" s="11" t="str">
        <f t="shared" si="313"/>
        <v/>
      </c>
      <c r="P647" s="11" t="str">
        <f t="shared" si="314"/>
        <v/>
      </c>
      <c r="R647" s="11" t="str">
        <f t="shared" si="315"/>
        <v/>
      </c>
      <c r="S647" s="11" t="str">
        <f t="shared" si="316"/>
        <v/>
      </c>
      <c r="T647" s="11" t="str">
        <f t="shared" si="317"/>
        <v/>
      </c>
      <c r="V647" s="11" t="str">
        <f t="shared" si="318"/>
        <v/>
      </c>
      <c r="W647" s="11" t="str">
        <f t="shared" si="319"/>
        <v/>
      </c>
      <c r="X647" s="11" t="str">
        <f t="shared" si="320"/>
        <v/>
      </c>
      <c r="Z647" s="11" t="str">
        <f t="shared" si="321"/>
        <v/>
      </c>
      <c r="AA647" s="11" t="str">
        <f t="shared" si="322"/>
        <v/>
      </c>
      <c r="AB647" s="11" t="str">
        <f t="shared" si="323"/>
        <v/>
      </c>
      <c r="AD647" s="11" t="str">
        <f t="shared" si="324"/>
        <v/>
      </c>
      <c r="AE647" s="11" t="str">
        <f t="shared" si="325"/>
        <v/>
      </c>
      <c r="AF647" s="11" t="str">
        <f t="shared" si="326"/>
        <v/>
      </c>
    </row>
    <row r="648" spans="1:48" ht="30" customHeight="1" outlineLevel="2">
      <c r="A648" s="116" t="s">
        <v>1507</v>
      </c>
      <c r="B648" s="117" t="s">
        <v>1508</v>
      </c>
      <c r="C648" s="134" t="s">
        <v>242</v>
      </c>
      <c r="E648" s="105">
        <f>MIN(N648,R648,V648,Z648,AD648)</f>
        <v>0</v>
      </c>
      <c r="F648" s="105">
        <f>AVERAGE(N648,R648,V648,Z648,AD648)</f>
        <v>0</v>
      </c>
      <c r="G648" s="105">
        <f>MAX(N648,R648,V648,Z648,AD648)</f>
        <v>0</v>
      </c>
      <c r="H648" s="106"/>
      <c r="I648" s="105">
        <f>MIN(T648,X648,AB648,AF648,P648)</f>
        <v>0</v>
      </c>
      <c r="J648" s="105">
        <f>AVERAGE(P648,T648,X648,AB648,AF648)</f>
        <v>0</v>
      </c>
      <c r="K648" s="105">
        <f>MAX(P648,T648,X648,AB648,AF648)</f>
        <v>0</v>
      </c>
      <c r="N648" s="107">
        <f t="shared" si="312"/>
        <v>0</v>
      </c>
      <c r="O648" s="107">
        <f t="shared" si="313"/>
        <v>0</v>
      </c>
      <c r="P648" s="107">
        <f t="shared" si="314"/>
        <v>0</v>
      </c>
      <c r="R648" s="107">
        <f t="shared" si="315"/>
        <v>0</v>
      </c>
      <c r="S648" s="107">
        <f t="shared" si="316"/>
        <v>0</v>
      </c>
      <c r="T648" s="107">
        <f t="shared" si="317"/>
        <v>0</v>
      </c>
      <c r="V648" s="107">
        <f t="shared" si="318"/>
        <v>0</v>
      </c>
      <c r="W648" s="107">
        <f t="shared" si="319"/>
        <v>0</v>
      </c>
      <c r="X648" s="107">
        <f t="shared" si="320"/>
        <v>0</v>
      </c>
      <c r="Z648" s="107">
        <f t="shared" si="321"/>
        <v>0</v>
      </c>
      <c r="AA648" s="107">
        <f t="shared" si="322"/>
        <v>0</v>
      </c>
      <c r="AB648" s="107">
        <f t="shared" si="323"/>
        <v>0</v>
      </c>
      <c r="AD648" s="107">
        <f t="shared" si="324"/>
        <v>0</v>
      </c>
      <c r="AE648" s="107">
        <f t="shared" si="325"/>
        <v>0</v>
      </c>
      <c r="AF648" s="107">
        <f t="shared" si="326"/>
        <v>0</v>
      </c>
      <c r="AH648" s="107">
        <v>0</v>
      </c>
      <c r="AI648" s="107">
        <v>0</v>
      </c>
      <c r="AJ648" s="107">
        <v>0</v>
      </c>
      <c r="AK648" s="107">
        <v>0</v>
      </c>
      <c r="AL648" s="107">
        <v>0</v>
      </c>
      <c r="AM648" s="107">
        <v>0</v>
      </c>
      <c r="AN648" s="107">
        <v>0</v>
      </c>
      <c r="AO648" s="107">
        <v>0</v>
      </c>
      <c r="AP648" s="107">
        <v>0</v>
      </c>
      <c r="AQ648" s="107">
        <v>0</v>
      </c>
      <c r="AR648" s="107">
        <v>0</v>
      </c>
      <c r="AS648" s="107">
        <v>0</v>
      </c>
      <c r="AT648" s="107">
        <v>0</v>
      </c>
      <c r="AU648" s="107">
        <v>0</v>
      </c>
      <c r="AV648" s="107">
        <v>0</v>
      </c>
    </row>
    <row r="649" spans="1:48" ht="30" customHeight="1" outlineLevel="2">
      <c r="A649" s="116" t="s">
        <v>1509</v>
      </c>
      <c r="B649" s="117" t="s">
        <v>1510</v>
      </c>
      <c r="C649" s="134" t="s">
        <v>242</v>
      </c>
      <c r="E649" s="105">
        <f>MIN(N649,R649,V649,Z649,AD649)</f>
        <v>0</v>
      </c>
      <c r="F649" s="105">
        <f>AVERAGE(N649,R649,V649,Z649,AD649)</f>
        <v>0</v>
      </c>
      <c r="G649" s="105">
        <f>MAX(N649,R649,V649,Z649,AD649)</f>
        <v>0</v>
      </c>
      <c r="H649" s="106"/>
      <c r="I649" s="105">
        <f>MIN(T649,X649,AB649,AF649,P649)</f>
        <v>0</v>
      </c>
      <c r="J649" s="105">
        <f>AVERAGE(P649,T649,X649,AB649,AF649)</f>
        <v>0</v>
      </c>
      <c r="K649" s="105">
        <f>MAX(P649,T649,X649,AB649,AF649)</f>
        <v>0</v>
      </c>
      <c r="N649" s="107">
        <f t="shared" si="312"/>
        <v>0</v>
      </c>
      <c r="O649" s="107">
        <f t="shared" si="313"/>
        <v>0</v>
      </c>
      <c r="P649" s="107">
        <f t="shared" si="314"/>
        <v>0</v>
      </c>
      <c r="R649" s="107">
        <f t="shared" si="315"/>
        <v>0</v>
      </c>
      <c r="S649" s="107">
        <f t="shared" si="316"/>
        <v>0</v>
      </c>
      <c r="T649" s="107">
        <f t="shared" si="317"/>
        <v>0</v>
      </c>
      <c r="V649" s="107">
        <f t="shared" si="318"/>
        <v>0</v>
      </c>
      <c r="W649" s="107">
        <f t="shared" si="319"/>
        <v>0</v>
      </c>
      <c r="X649" s="107">
        <f t="shared" si="320"/>
        <v>0</v>
      </c>
      <c r="Z649" s="107">
        <f t="shared" si="321"/>
        <v>0</v>
      </c>
      <c r="AA649" s="107">
        <f t="shared" si="322"/>
        <v>0</v>
      </c>
      <c r="AB649" s="107">
        <f t="shared" si="323"/>
        <v>0</v>
      </c>
      <c r="AD649" s="107">
        <f t="shared" si="324"/>
        <v>0</v>
      </c>
      <c r="AE649" s="107">
        <f t="shared" si="325"/>
        <v>0</v>
      </c>
      <c r="AF649" s="107">
        <f t="shared" si="326"/>
        <v>0</v>
      </c>
      <c r="AH649" s="107">
        <v>0</v>
      </c>
      <c r="AI649" s="107">
        <v>0</v>
      </c>
      <c r="AJ649" s="107">
        <v>0</v>
      </c>
      <c r="AK649" s="107">
        <v>0</v>
      </c>
      <c r="AL649" s="107">
        <v>0</v>
      </c>
      <c r="AM649" s="107">
        <v>0</v>
      </c>
      <c r="AN649" s="107">
        <v>0</v>
      </c>
      <c r="AO649" s="107">
        <v>0</v>
      </c>
      <c r="AP649" s="107">
        <v>0</v>
      </c>
      <c r="AQ649" s="107">
        <v>0</v>
      </c>
      <c r="AR649" s="107">
        <v>0</v>
      </c>
      <c r="AS649" s="107">
        <v>0</v>
      </c>
      <c r="AT649" s="107">
        <v>0</v>
      </c>
      <c r="AU649" s="107">
        <v>0</v>
      </c>
      <c r="AV649" s="107">
        <v>0</v>
      </c>
    </row>
    <row r="650" spans="1:48" ht="30" customHeight="1" outlineLevel="2">
      <c r="A650" s="116" t="s">
        <v>1509</v>
      </c>
      <c r="B650" s="117" t="s">
        <v>1511</v>
      </c>
      <c r="C650" s="134" t="s">
        <v>242</v>
      </c>
      <c r="E650" s="105">
        <f>MIN(N650,R650,V650,Z650,AD650)</f>
        <v>0</v>
      </c>
      <c r="F650" s="105">
        <f>AVERAGE(N650,R650,V650,Z650,AD650)</f>
        <v>0</v>
      </c>
      <c r="G650" s="105">
        <f>MAX(N650,R650,V650,Z650,AD650)</f>
        <v>0</v>
      </c>
      <c r="H650" s="106"/>
      <c r="I650" s="105">
        <f>MIN(T650,X650,AB650,AF650,P650)</f>
        <v>0</v>
      </c>
      <c r="J650" s="105">
        <f>AVERAGE(P650,T650,X650,AB650,AF650)</f>
        <v>0</v>
      </c>
      <c r="K650" s="105">
        <f>MAX(P650,T650,X650,AB650,AF650)</f>
        <v>0</v>
      </c>
      <c r="N650" s="107">
        <f t="shared" si="312"/>
        <v>0</v>
      </c>
      <c r="O650" s="107">
        <f t="shared" si="313"/>
        <v>0</v>
      </c>
      <c r="P650" s="107">
        <f t="shared" si="314"/>
        <v>0</v>
      </c>
      <c r="R650" s="107">
        <f t="shared" si="315"/>
        <v>0</v>
      </c>
      <c r="S650" s="107">
        <f t="shared" si="316"/>
        <v>0</v>
      </c>
      <c r="T650" s="107">
        <f t="shared" si="317"/>
        <v>0</v>
      </c>
      <c r="V650" s="107">
        <f t="shared" si="318"/>
        <v>0</v>
      </c>
      <c r="W650" s="107">
        <f t="shared" si="319"/>
        <v>0</v>
      </c>
      <c r="X650" s="107">
        <f t="shared" si="320"/>
        <v>0</v>
      </c>
      <c r="Z650" s="107">
        <f t="shared" si="321"/>
        <v>0</v>
      </c>
      <c r="AA650" s="107">
        <f t="shared" si="322"/>
        <v>0</v>
      </c>
      <c r="AB650" s="107">
        <f t="shared" si="323"/>
        <v>0</v>
      </c>
      <c r="AD650" s="107">
        <f t="shared" si="324"/>
        <v>0</v>
      </c>
      <c r="AE650" s="107">
        <f t="shared" si="325"/>
        <v>0</v>
      </c>
      <c r="AF650" s="107">
        <f t="shared" si="326"/>
        <v>0</v>
      </c>
      <c r="AH650" s="107">
        <v>0</v>
      </c>
      <c r="AI650" s="107">
        <v>0</v>
      </c>
      <c r="AJ650" s="107">
        <v>0</v>
      </c>
      <c r="AK650" s="107">
        <v>0</v>
      </c>
      <c r="AL650" s="107">
        <v>0</v>
      </c>
      <c r="AM650" s="107">
        <v>0</v>
      </c>
      <c r="AN650" s="107">
        <v>0</v>
      </c>
      <c r="AO650" s="107">
        <v>0</v>
      </c>
      <c r="AP650" s="107">
        <v>0</v>
      </c>
      <c r="AQ650" s="107">
        <v>0</v>
      </c>
      <c r="AR650" s="107">
        <v>0</v>
      </c>
      <c r="AS650" s="107">
        <v>0</v>
      </c>
      <c r="AT650" s="107">
        <v>0</v>
      </c>
      <c r="AU650" s="107">
        <v>0</v>
      </c>
      <c r="AV650" s="107">
        <v>0</v>
      </c>
    </row>
    <row r="651" spans="1:48" ht="30" customHeight="1" outlineLevel="1">
      <c r="A651" s="132" t="s">
        <v>1512</v>
      </c>
      <c r="B651" s="133" t="s">
        <v>1513</v>
      </c>
      <c r="C651" s="101"/>
      <c r="N651" s="11" t="str">
        <f t="shared" si="312"/>
        <v/>
      </c>
      <c r="O651" s="11" t="str">
        <f t="shared" si="313"/>
        <v/>
      </c>
      <c r="P651" s="11" t="str">
        <f t="shared" si="314"/>
        <v/>
      </c>
      <c r="R651" s="11" t="str">
        <f t="shared" si="315"/>
        <v/>
      </c>
      <c r="S651" s="11" t="str">
        <f t="shared" si="316"/>
        <v/>
      </c>
      <c r="T651" s="11" t="str">
        <f t="shared" si="317"/>
        <v/>
      </c>
      <c r="V651" s="11" t="str">
        <f t="shared" si="318"/>
        <v/>
      </c>
      <c r="W651" s="11" t="str">
        <f t="shared" si="319"/>
        <v/>
      </c>
      <c r="X651" s="11" t="str">
        <f t="shared" si="320"/>
        <v/>
      </c>
      <c r="Z651" s="11" t="str">
        <f t="shared" si="321"/>
        <v/>
      </c>
      <c r="AA651" s="11" t="str">
        <f t="shared" si="322"/>
        <v/>
      </c>
      <c r="AB651" s="11" t="str">
        <f t="shared" si="323"/>
        <v/>
      </c>
      <c r="AD651" s="11" t="str">
        <f t="shared" si="324"/>
        <v/>
      </c>
      <c r="AE651" s="11" t="str">
        <f t="shared" si="325"/>
        <v/>
      </c>
      <c r="AF651" s="11" t="str">
        <f t="shared" si="326"/>
        <v/>
      </c>
    </row>
    <row r="652" spans="1:48" ht="30" customHeight="1" outlineLevel="2">
      <c r="A652" s="116" t="s">
        <v>1514</v>
      </c>
      <c r="B652" s="117" t="s">
        <v>1515</v>
      </c>
      <c r="C652" s="134" t="s">
        <v>242</v>
      </c>
      <c r="E652" s="105">
        <f>MIN(N652,R652,V652,Z652,AD652)</f>
        <v>0</v>
      </c>
      <c r="F652" s="105">
        <f>AVERAGE(N652,R652,V652,Z652,AD652)</f>
        <v>0</v>
      </c>
      <c r="G652" s="105">
        <f>MAX(N652,R652,V652,Z652,AD652)</f>
        <v>0</v>
      </c>
      <c r="H652" s="106"/>
      <c r="I652" s="105">
        <f>MIN(T652,X652,AB652,AF652,P652)</f>
        <v>0</v>
      </c>
      <c r="J652" s="105">
        <f>AVERAGE(P652,T652,X652,AB652,AF652)</f>
        <v>0</v>
      </c>
      <c r="K652" s="105">
        <f>MAX(P652,T652,X652,AB652,AF652)</f>
        <v>0</v>
      </c>
      <c r="N652" s="107">
        <f t="shared" si="312"/>
        <v>0</v>
      </c>
      <c r="O652" s="107">
        <f t="shared" si="313"/>
        <v>0</v>
      </c>
      <c r="P652" s="107">
        <f t="shared" si="314"/>
        <v>0</v>
      </c>
      <c r="R652" s="107">
        <f t="shared" si="315"/>
        <v>0</v>
      </c>
      <c r="S652" s="107">
        <f t="shared" si="316"/>
        <v>0</v>
      </c>
      <c r="T652" s="107">
        <f t="shared" si="317"/>
        <v>0</v>
      </c>
      <c r="V652" s="107">
        <f t="shared" si="318"/>
        <v>0</v>
      </c>
      <c r="W652" s="107">
        <f t="shared" si="319"/>
        <v>0</v>
      </c>
      <c r="X652" s="107">
        <f t="shared" si="320"/>
        <v>0</v>
      </c>
      <c r="Z652" s="107">
        <f t="shared" si="321"/>
        <v>0</v>
      </c>
      <c r="AA652" s="107">
        <f t="shared" si="322"/>
        <v>0</v>
      </c>
      <c r="AB652" s="107">
        <f t="shared" si="323"/>
        <v>0</v>
      </c>
      <c r="AD652" s="107">
        <f t="shared" si="324"/>
        <v>0</v>
      </c>
      <c r="AE652" s="107">
        <f t="shared" si="325"/>
        <v>0</v>
      </c>
      <c r="AF652" s="107">
        <f t="shared" si="326"/>
        <v>0</v>
      </c>
      <c r="AH652" s="107">
        <v>0</v>
      </c>
      <c r="AI652" s="107">
        <v>0</v>
      </c>
      <c r="AJ652" s="107">
        <v>0</v>
      </c>
      <c r="AK652" s="107">
        <v>0</v>
      </c>
      <c r="AL652" s="107">
        <v>0</v>
      </c>
      <c r="AM652" s="107">
        <v>0</v>
      </c>
      <c r="AN652" s="107">
        <v>0</v>
      </c>
      <c r="AO652" s="107">
        <v>0</v>
      </c>
      <c r="AP652" s="107">
        <v>0</v>
      </c>
      <c r="AQ652" s="107">
        <v>0</v>
      </c>
      <c r="AR652" s="107">
        <v>0</v>
      </c>
      <c r="AS652" s="107">
        <v>0</v>
      </c>
      <c r="AT652" s="107">
        <v>0</v>
      </c>
      <c r="AU652" s="107">
        <v>0</v>
      </c>
      <c r="AV652" s="107">
        <v>0</v>
      </c>
    </row>
    <row r="653" spans="1:48" ht="30" customHeight="1" outlineLevel="2">
      <c r="A653" s="116" t="s">
        <v>1516</v>
      </c>
      <c r="B653" s="117" t="s">
        <v>1517</v>
      </c>
      <c r="C653" s="134" t="s">
        <v>242</v>
      </c>
      <c r="E653" s="105">
        <f>MIN(N653,R653,V653,Z653,AD653)</f>
        <v>0</v>
      </c>
      <c r="F653" s="105">
        <f>AVERAGE(N653,R653,V653,Z653,AD653)</f>
        <v>0</v>
      </c>
      <c r="G653" s="105">
        <f>MAX(N653,R653,V653,Z653,AD653)</f>
        <v>0</v>
      </c>
      <c r="H653" s="106"/>
      <c r="I653" s="105">
        <f>MIN(T653,X653,AB653,AF653,P653)</f>
        <v>0</v>
      </c>
      <c r="J653" s="105">
        <f>AVERAGE(P653,T653,X653,AB653,AF653)</f>
        <v>0</v>
      </c>
      <c r="K653" s="105">
        <f>MAX(P653,T653,X653,AB653,AF653)</f>
        <v>0</v>
      </c>
      <c r="N653" s="107">
        <f t="shared" si="312"/>
        <v>0</v>
      </c>
      <c r="O653" s="107">
        <f t="shared" si="313"/>
        <v>0</v>
      </c>
      <c r="P653" s="107">
        <f t="shared" si="314"/>
        <v>0</v>
      </c>
      <c r="R653" s="107">
        <f t="shared" si="315"/>
        <v>0</v>
      </c>
      <c r="S653" s="107">
        <f t="shared" si="316"/>
        <v>0</v>
      </c>
      <c r="T653" s="107">
        <f t="shared" si="317"/>
        <v>0</v>
      </c>
      <c r="V653" s="107">
        <f t="shared" si="318"/>
        <v>0</v>
      </c>
      <c r="W653" s="107">
        <f t="shared" si="319"/>
        <v>0</v>
      </c>
      <c r="X653" s="107">
        <f t="shared" si="320"/>
        <v>0</v>
      </c>
      <c r="Z653" s="107">
        <f t="shared" si="321"/>
        <v>0</v>
      </c>
      <c r="AA653" s="107">
        <f t="shared" si="322"/>
        <v>0</v>
      </c>
      <c r="AB653" s="107">
        <f t="shared" si="323"/>
        <v>0</v>
      </c>
      <c r="AD653" s="107">
        <f t="shared" si="324"/>
        <v>0</v>
      </c>
      <c r="AE653" s="107">
        <f t="shared" si="325"/>
        <v>0</v>
      </c>
      <c r="AF653" s="107">
        <f t="shared" si="326"/>
        <v>0</v>
      </c>
      <c r="AH653" s="107">
        <v>0</v>
      </c>
      <c r="AI653" s="107">
        <v>0</v>
      </c>
      <c r="AJ653" s="107">
        <v>0</v>
      </c>
      <c r="AK653" s="107">
        <v>0</v>
      </c>
      <c r="AL653" s="107">
        <v>0</v>
      </c>
      <c r="AM653" s="107">
        <v>0</v>
      </c>
      <c r="AN653" s="107">
        <v>0</v>
      </c>
      <c r="AO653" s="107">
        <v>0</v>
      </c>
      <c r="AP653" s="107">
        <v>0</v>
      </c>
      <c r="AQ653" s="107">
        <v>0</v>
      </c>
      <c r="AR653" s="107">
        <v>0</v>
      </c>
      <c r="AS653" s="107">
        <v>0</v>
      </c>
      <c r="AT653" s="107">
        <v>0</v>
      </c>
      <c r="AU653" s="107">
        <v>0</v>
      </c>
      <c r="AV653" s="107">
        <v>0</v>
      </c>
    </row>
    <row r="654" spans="1:48" ht="30" customHeight="1" outlineLevel="2">
      <c r="A654" s="116" t="s">
        <v>1518</v>
      </c>
      <c r="B654" s="117" t="s">
        <v>1519</v>
      </c>
      <c r="C654" s="134" t="s">
        <v>242</v>
      </c>
      <c r="E654" s="105">
        <f>MIN(N654,R654,V654,Z654,AD654)</f>
        <v>0</v>
      </c>
      <c r="F654" s="105">
        <f>AVERAGE(N654,R654,V654,Z654,AD654)</f>
        <v>0</v>
      </c>
      <c r="G654" s="105">
        <f>MAX(N654,R654,V654,Z654,AD654)</f>
        <v>0</v>
      </c>
      <c r="H654" s="106"/>
      <c r="I654" s="105">
        <f>MIN(T654,X654,AB654,AF654,P654)</f>
        <v>0</v>
      </c>
      <c r="J654" s="105">
        <f>AVERAGE(P654,T654,X654,AB654,AF654)</f>
        <v>0</v>
      </c>
      <c r="K654" s="105">
        <f>MAX(P654,T654,X654,AB654,AF654)</f>
        <v>0</v>
      </c>
      <c r="N654" s="107">
        <f t="shared" si="312"/>
        <v>0</v>
      </c>
      <c r="O654" s="107">
        <f t="shared" si="313"/>
        <v>0</v>
      </c>
      <c r="P654" s="107">
        <f t="shared" si="314"/>
        <v>0</v>
      </c>
      <c r="R654" s="107">
        <f t="shared" si="315"/>
        <v>0</v>
      </c>
      <c r="S654" s="107">
        <f t="shared" si="316"/>
        <v>0</v>
      </c>
      <c r="T654" s="107">
        <f t="shared" si="317"/>
        <v>0</v>
      </c>
      <c r="V654" s="107">
        <f t="shared" si="318"/>
        <v>0</v>
      </c>
      <c r="W654" s="107">
        <f t="shared" si="319"/>
        <v>0</v>
      </c>
      <c r="X654" s="107">
        <f t="shared" si="320"/>
        <v>0</v>
      </c>
      <c r="Z654" s="107">
        <f t="shared" si="321"/>
        <v>0</v>
      </c>
      <c r="AA654" s="107">
        <f t="shared" si="322"/>
        <v>0</v>
      </c>
      <c r="AB654" s="107">
        <f t="shared" si="323"/>
        <v>0</v>
      </c>
      <c r="AD654" s="107">
        <f t="shared" si="324"/>
        <v>0</v>
      </c>
      <c r="AE654" s="107">
        <f t="shared" si="325"/>
        <v>0</v>
      </c>
      <c r="AF654" s="107">
        <f t="shared" si="326"/>
        <v>0</v>
      </c>
      <c r="AH654" s="107">
        <v>0</v>
      </c>
      <c r="AI654" s="107">
        <v>0</v>
      </c>
      <c r="AJ654" s="107">
        <v>0</v>
      </c>
      <c r="AK654" s="107">
        <v>0</v>
      </c>
      <c r="AL654" s="107">
        <v>0</v>
      </c>
      <c r="AM654" s="107">
        <v>0</v>
      </c>
      <c r="AN654" s="107">
        <v>0</v>
      </c>
      <c r="AO654" s="107">
        <v>0</v>
      </c>
      <c r="AP654" s="107">
        <v>0</v>
      </c>
      <c r="AQ654" s="107">
        <v>0</v>
      </c>
      <c r="AR654" s="107">
        <v>0</v>
      </c>
      <c r="AS654" s="107">
        <v>0</v>
      </c>
      <c r="AT654" s="107">
        <v>0</v>
      </c>
      <c r="AU654" s="107">
        <v>0</v>
      </c>
      <c r="AV654" s="107">
        <v>0</v>
      </c>
    </row>
    <row r="655" spans="1:48" ht="30" customHeight="1" outlineLevel="2" thickBot="1">
      <c r="A655" s="116" t="s">
        <v>1520</v>
      </c>
      <c r="B655" s="117" t="s">
        <v>1521</v>
      </c>
      <c r="C655" s="134" t="s">
        <v>242</v>
      </c>
      <c r="E655" s="105">
        <f>MIN(N655,R655,V655,Z655,AD655)</f>
        <v>0</v>
      </c>
      <c r="F655" s="105">
        <f>AVERAGE(N655,R655,V655,Z655,AD655)</f>
        <v>0</v>
      </c>
      <c r="G655" s="105">
        <f>MAX(N655,R655,V655,Z655,AD655)</f>
        <v>0</v>
      </c>
      <c r="H655" s="106"/>
      <c r="I655" s="105">
        <f>MIN(T655,X655,AB655,AF655,P655)</f>
        <v>0</v>
      </c>
      <c r="J655" s="105">
        <f>AVERAGE(P655,T655,X655,AB655,AF655)</f>
        <v>0</v>
      </c>
      <c r="K655" s="105">
        <f>MAX(P655,T655,X655,AB655,AF655)</f>
        <v>0</v>
      </c>
      <c r="N655" s="107">
        <f t="shared" si="312"/>
        <v>0</v>
      </c>
      <c r="O655" s="107">
        <f t="shared" si="313"/>
        <v>0</v>
      </c>
      <c r="P655" s="107">
        <f t="shared" si="314"/>
        <v>0</v>
      </c>
      <c r="R655" s="107">
        <f t="shared" si="315"/>
        <v>0</v>
      </c>
      <c r="S655" s="107">
        <f t="shared" si="316"/>
        <v>0</v>
      </c>
      <c r="T655" s="107">
        <f t="shared" si="317"/>
        <v>0</v>
      </c>
      <c r="V655" s="107">
        <f t="shared" si="318"/>
        <v>0</v>
      </c>
      <c r="W655" s="107">
        <f t="shared" si="319"/>
        <v>0</v>
      </c>
      <c r="X655" s="107">
        <f t="shared" si="320"/>
        <v>0</v>
      </c>
      <c r="Z655" s="107">
        <f t="shared" si="321"/>
        <v>0</v>
      </c>
      <c r="AA655" s="107">
        <f t="shared" si="322"/>
        <v>0</v>
      </c>
      <c r="AB655" s="107">
        <f t="shared" si="323"/>
        <v>0</v>
      </c>
      <c r="AD655" s="107">
        <f t="shared" si="324"/>
        <v>0</v>
      </c>
      <c r="AE655" s="107">
        <f t="shared" si="325"/>
        <v>0</v>
      </c>
      <c r="AF655" s="107">
        <f t="shared" si="326"/>
        <v>0</v>
      </c>
      <c r="AH655" s="107">
        <v>0</v>
      </c>
      <c r="AI655" s="107">
        <v>0</v>
      </c>
      <c r="AJ655" s="107">
        <v>0</v>
      </c>
      <c r="AK655" s="107">
        <v>0</v>
      </c>
      <c r="AL655" s="107">
        <v>0</v>
      </c>
      <c r="AM655" s="107">
        <v>0</v>
      </c>
      <c r="AN655" s="107">
        <v>0</v>
      </c>
      <c r="AO655" s="107">
        <v>0</v>
      </c>
      <c r="AP655" s="107">
        <v>0</v>
      </c>
      <c r="AQ655" s="107">
        <v>0</v>
      </c>
      <c r="AR655" s="107">
        <v>0</v>
      </c>
      <c r="AS655" s="107">
        <v>0</v>
      </c>
      <c r="AT655" s="107">
        <v>0</v>
      </c>
      <c r="AU655" s="107">
        <v>0</v>
      </c>
      <c r="AV655" s="107">
        <v>0</v>
      </c>
    </row>
    <row r="656" spans="1:48" ht="30" customHeight="1" thickBot="1">
      <c r="A656" s="96" t="s">
        <v>1522</v>
      </c>
      <c r="B656" s="115" t="s">
        <v>1523</v>
      </c>
      <c r="C656" s="98"/>
      <c r="N656" s="11" t="str">
        <f t="shared" si="312"/>
        <v/>
      </c>
      <c r="O656" s="11" t="str">
        <f t="shared" si="313"/>
        <v/>
      </c>
      <c r="P656" s="11" t="str">
        <f t="shared" si="314"/>
        <v/>
      </c>
      <c r="R656" s="11" t="str">
        <f t="shared" si="315"/>
        <v/>
      </c>
      <c r="S656" s="11" t="str">
        <f t="shared" si="316"/>
        <v/>
      </c>
      <c r="T656" s="11" t="str">
        <f t="shared" si="317"/>
        <v/>
      </c>
      <c r="V656" s="11" t="str">
        <f t="shared" si="318"/>
        <v/>
      </c>
      <c r="W656" s="11" t="str">
        <f t="shared" si="319"/>
        <v/>
      </c>
      <c r="X656" s="11" t="str">
        <f t="shared" si="320"/>
        <v/>
      </c>
      <c r="Z656" s="11" t="str">
        <f t="shared" si="321"/>
        <v/>
      </c>
      <c r="AA656" s="11" t="str">
        <f t="shared" si="322"/>
        <v/>
      </c>
      <c r="AB656" s="11" t="str">
        <f t="shared" si="323"/>
        <v/>
      </c>
      <c r="AD656" s="11" t="str">
        <f t="shared" si="324"/>
        <v/>
      </c>
      <c r="AE656" s="11" t="str">
        <f t="shared" si="325"/>
        <v/>
      </c>
      <c r="AF656" s="11" t="str">
        <f t="shared" si="326"/>
        <v/>
      </c>
    </row>
    <row r="657" spans="1:48" ht="30" customHeight="1" outlineLevel="1">
      <c r="A657" s="132" t="s">
        <v>1524</v>
      </c>
      <c r="B657" s="133" t="s">
        <v>1525</v>
      </c>
      <c r="C657" s="101"/>
      <c r="N657" s="11" t="str">
        <f t="shared" si="312"/>
        <v/>
      </c>
      <c r="O657" s="11" t="str">
        <f t="shared" si="313"/>
        <v/>
      </c>
      <c r="P657" s="11" t="str">
        <f t="shared" si="314"/>
        <v/>
      </c>
      <c r="R657" s="11" t="str">
        <f t="shared" si="315"/>
        <v/>
      </c>
      <c r="S657" s="11" t="str">
        <f t="shared" si="316"/>
        <v/>
      </c>
      <c r="T657" s="11" t="str">
        <f t="shared" si="317"/>
        <v/>
      </c>
      <c r="V657" s="11" t="str">
        <f t="shared" si="318"/>
        <v/>
      </c>
      <c r="W657" s="11" t="str">
        <f t="shared" si="319"/>
        <v/>
      </c>
      <c r="X657" s="11" t="str">
        <f t="shared" si="320"/>
        <v/>
      </c>
      <c r="Z657" s="11" t="str">
        <f t="shared" si="321"/>
        <v/>
      </c>
      <c r="AA657" s="11" t="str">
        <f t="shared" si="322"/>
        <v/>
      </c>
      <c r="AB657" s="11" t="str">
        <f t="shared" si="323"/>
        <v/>
      </c>
      <c r="AD657" s="11" t="str">
        <f t="shared" si="324"/>
        <v/>
      </c>
      <c r="AE657" s="11" t="str">
        <f t="shared" si="325"/>
        <v/>
      </c>
      <c r="AF657" s="11" t="str">
        <f t="shared" si="326"/>
        <v/>
      </c>
    </row>
    <row r="658" spans="1:48" ht="30" customHeight="1" outlineLevel="2">
      <c r="A658" s="116" t="s">
        <v>1526</v>
      </c>
      <c r="B658" s="117" t="s">
        <v>1527</v>
      </c>
      <c r="C658" s="134" t="s">
        <v>242</v>
      </c>
      <c r="E658" s="105">
        <f>MIN(N658,R658,V658,Z658,AD658)</f>
        <v>0</v>
      </c>
      <c r="F658" s="105">
        <f>AVERAGE(N658,R658,V658,Z658,AD658)</f>
        <v>0</v>
      </c>
      <c r="G658" s="105">
        <f>MAX(N658,R658,V658,Z658,AD658)</f>
        <v>0</v>
      </c>
      <c r="H658" s="106"/>
      <c r="I658" s="105">
        <f>MIN(T658,X658,AB658,AF658,P658)</f>
        <v>0</v>
      </c>
      <c r="J658" s="105">
        <f>AVERAGE(P658,T658,X658,AB658,AF658)</f>
        <v>0</v>
      </c>
      <c r="K658" s="105">
        <f>MAX(P658,T658,X658,AB658,AF658)</f>
        <v>0</v>
      </c>
      <c r="N658" s="107">
        <f t="shared" si="312"/>
        <v>0</v>
      </c>
      <c r="O658" s="107">
        <f t="shared" si="313"/>
        <v>0</v>
      </c>
      <c r="P658" s="107">
        <f t="shared" si="314"/>
        <v>0</v>
      </c>
      <c r="R658" s="107">
        <f t="shared" si="315"/>
        <v>0</v>
      </c>
      <c r="S658" s="107">
        <f t="shared" si="316"/>
        <v>0</v>
      </c>
      <c r="T658" s="107">
        <f t="shared" si="317"/>
        <v>0</v>
      </c>
      <c r="V658" s="107">
        <f t="shared" si="318"/>
        <v>0</v>
      </c>
      <c r="W658" s="107">
        <f t="shared" si="319"/>
        <v>0</v>
      </c>
      <c r="X658" s="107">
        <f t="shared" si="320"/>
        <v>0</v>
      </c>
      <c r="Z658" s="107">
        <f t="shared" si="321"/>
        <v>0</v>
      </c>
      <c r="AA658" s="107">
        <f t="shared" si="322"/>
        <v>0</v>
      </c>
      <c r="AB658" s="107">
        <f t="shared" si="323"/>
        <v>0</v>
      </c>
      <c r="AD658" s="107">
        <f t="shared" si="324"/>
        <v>0</v>
      </c>
      <c r="AE658" s="107">
        <f t="shared" si="325"/>
        <v>0</v>
      </c>
      <c r="AF658" s="107">
        <f t="shared" si="326"/>
        <v>0</v>
      </c>
      <c r="AH658" s="107">
        <v>0</v>
      </c>
      <c r="AI658" s="107">
        <v>0</v>
      </c>
      <c r="AJ658" s="107">
        <v>0</v>
      </c>
      <c r="AK658" s="107">
        <v>0</v>
      </c>
      <c r="AL658" s="107">
        <v>0</v>
      </c>
      <c r="AM658" s="107">
        <v>0</v>
      </c>
      <c r="AN658" s="107">
        <v>0</v>
      </c>
      <c r="AO658" s="107">
        <v>0</v>
      </c>
      <c r="AP658" s="107">
        <v>0</v>
      </c>
      <c r="AQ658" s="107">
        <v>0</v>
      </c>
      <c r="AR658" s="107">
        <v>0</v>
      </c>
      <c r="AS658" s="107">
        <v>0</v>
      </c>
      <c r="AT658" s="107">
        <v>0</v>
      </c>
      <c r="AU658" s="107">
        <v>0</v>
      </c>
      <c r="AV658" s="107">
        <v>0</v>
      </c>
    </row>
    <row r="659" spans="1:48" ht="30" customHeight="1" outlineLevel="2">
      <c r="A659" s="116" t="s">
        <v>1528</v>
      </c>
      <c r="B659" s="117" t="s">
        <v>1529</v>
      </c>
      <c r="C659" s="134" t="s">
        <v>242</v>
      </c>
      <c r="E659" s="105">
        <f>MIN(N659,R659,V659,Z659,AD659)</f>
        <v>0</v>
      </c>
      <c r="F659" s="105">
        <f>AVERAGE(N659,R659,V659,Z659,AD659)</f>
        <v>0</v>
      </c>
      <c r="G659" s="105">
        <f>MAX(N659,R659,V659,Z659,AD659)</f>
        <v>0</v>
      </c>
      <c r="H659" s="106"/>
      <c r="I659" s="105">
        <f>MIN(T659,X659,AB659,AF659,P659)</f>
        <v>0</v>
      </c>
      <c r="J659" s="105">
        <f>AVERAGE(P659,T659,X659,AB659,AF659)</f>
        <v>0</v>
      </c>
      <c r="K659" s="105">
        <f>MAX(P659,T659,X659,AB659,AF659)</f>
        <v>0</v>
      </c>
      <c r="N659" s="107">
        <f t="shared" si="312"/>
        <v>0</v>
      </c>
      <c r="O659" s="107">
        <f t="shared" si="313"/>
        <v>0</v>
      </c>
      <c r="P659" s="107">
        <f t="shared" si="314"/>
        <v>0</v>
      </c>
      <c r="R659" s="107">
        <f t="shared" si="315"/>
        <v>0</v>
      </c>
      <c r="S659" s="107">
        <f t="shared" si="316"/>
        <v>0</v>
      </c>
      <c r="T659" s="107">
        <f t="shared" si="317"/>
        <v>0</v>
      </c>
      <c r="V659" s="107">
        <f t="shared" si="318"/>
        <v>0</v>
      </c>
      <c r="W659" s="107">
        <f t="shared" si="319"/>
        <v>0</v>
      </c>
      <c r="X659" s="107">
        <f t="shared" si="320"/>
        <v>0</v>
      </c>
      <c r="Z659" s="107">
        <f t="shared" si="321"/>
        <v>0</v>
      </c>
      <c r="AA659" s="107">
        <f t="shared" si="322"/>
        <v>0</v>
      </c>
      <c r="AB659" s="107">
        <f t="shared" si="323"/>
        <v>0</v>
      </c>
      <c r="AD659" s="107">
        <f t="shared" si="324"/>
        <v>0</v>
      </c>
      <c r="AE659" s="107">
        <f t="shared" si="325"/>
        <v>0</v>
      </c>
      <c r="AF659" s="107">
        <f t="shared" si="326"/>
        <v>0</v>
      </c>
      <c r="AH659" s="107">
        <v>0</v>
      </c>
      <c r="AI659" s="107">
        <v>0</v>
      </c>
      <c r="AJ659" s="107">
        <v>0</v>
      </c>
      <c r="AK659" s="107">
        <v>0</v>
      </c>
      <c r="AL659" s="107">
        <v>0</v>
      </c>
      <c r="AM659" s="107">
        <v>0</v>
      </c>
      <c r="AN659" s="107">
        <v>0</v>
      </c>
      <c r="AO659" s="107">
        <v>0</v>
      </c>
      <c r="AP659" s="107">
        <v>0</v>
      </c>
      <c r="AQ659" s="107">
        <v>0</v>
      </c>
      <c r="AR659" s="107">
        <v>0</v>
      </c>
      <c r="AS659" s="107">
        <v>0</v>
      </c>
      <c r="AT659" s="107">
        <v>0</v>
      </c>
      <c r="AU659" s="107">
        <v>0</v>
      </c>
      <c r="AV659" s="107">
        <v>0</v>
      </c>
    </row>
    <row r="660" spans="1:48" ht="30" customHeight="1" outlineLevel="2">
      <c r="A660" s="116" t="s">
        <v>1530</v>
      </c>
      <c r="B660" s="117" t="s">
        <v>1531</v>
      </c>
      <c r="C660" s="134" t="s">
        <v>242</v>
      </c>
      <c r="E660" s="105">
        <f>MIN(N660,R660,V660,Z660,AD660)</f>
        <v>0</v>
      </c>
      <c r="F660" s="105">
        <f>AVERAGE(N660,R660,V660,Z660,AD660)</f>
        <v>0</v>
      </c>
      <c r="G660" s="105">
        <f>MAX(N660,R660,V660,Z660,AD660)</f>
        <v>0</v>
      </c>
      <c r="H660" s="106"/>
      <c r="I660" s="105">
        <f>MIN(T660,X660,AB660,AF660,P660)</f>
        <v>0</v>
      </c>
      <c r="J660" s="105">
        <f>AVERAGE(P660,T660,X660,AB660,AF660)</f>
        <v>0</v>
      </c>
      <c r="K660" s="105">
        <f>MAX(P660,T660,X660,AB660,AF660)</f>
        <v>0</v>
      </c>
      <c r="N660" s="107">
        <f t="shared" si="312"/>
        <v>0</v>
      </c>
      <c r="O660" s="107">
        <f t="shared" si="313"/>
        <v>0</v>
      </c>
      <c r="P660" s="107">
        <f t="shared" si="314"/>
        <v>0</v>
      </c>
      <c r="R660" s="107">
        <f t="shared" si="315"/>
        <v>0</v>
      </c>
      <c r="S660" s="107">
        <f t="shared" si="316"/>
        <v>0</v>
      </c>
      <c r="T660" s="107">
        <f t="shared" si="317"/>
        <v>0</v>
      </c>
      <c r="V660" s="107">
        <f t="shared" si="318"/>
        <v>0</v>
      </c>
      <c r="W660" s="107">
        <f t="shared" si="319"/>
        <v>0</v>
      </c>
      <c r="X660" s="107">
        <f t="shared" si="320"/>
        <v>0</v>
      </c>
      <c r="Z660" s="107">
        <f t="shared" si="321"/>
        <v>0</v>
      </c>
      <c r="AA660" s="107">
        <f t="shared" si="322"/>
        <v>0</v>
      </c>
      <c r="AB660" s="107">
        <f t="shared" si="323"/>
        <v>0</v>
      </c>
      <c r="AD660" s="107">
        <f t="shared" si="324"/>
        <v>0</v>
      </c>
      <c r="AE660" s="107">
        <f t="shared" si="325"/>
        <v>0</v>
      </c>
      <c r="AF660" s="107">
        <f t="shared" si="326"/>
        <v>0</v>
      </c>
      <c r="AH660" s="107">
        <v>0</v>
      </c>
      <c r="AI660" s="107">
        <v>0</v>
      </c>
      <c r="AJ660" s="107">
        <v>0</v>
      </c>
      <c r="AK660" s="107">
        <v>0</v>
      </c>
      <c r="AL660" s="107">
        <v>0</v>
      </c>
      <c r="AM660" s="107">
        <v>0</v>
      </c>
      <c r="AN660" s="107">
        <v>0</v>
      </c>
      <c r="AO660" s="107">
        <v>0</v>
      </c>
      <c r="AP660" s="107">
        <v>0</v>
      </c>
      <c r="AQ660" s="107">
        <v>0</v>
      </c>
      <c r="AR660" s="107">
        <v>0</v>
      </c>
      <c r="AS660" s="107">
        <v>0</v>
      </c>
      <c r="AT660" s="107">
        <v>0</v>
      </c>
      <c r="AU660" s="107">
        <v>0</v>
      </c>
      <c r="AV660" s="107">
        <v>0</v>
      </c>
    </row>
    <row r="661" spans="1:48" ht="30" customHeight="1" outlineLevel="2">
      <c r="A661" s="116" t="s">
        <v>1532</v>
      </c>
      <c r="B661" s="117" t="s">
        <v>1533</v>
      </c>
      <c r="C661" s="134" t="s">
        <v>242</v>
      </c>
      <c r="E661" s="105">
        <f>MIN(N661,R661,V661,Z661,AD661)</f>
        <v>0</v>
      </c>
      <c r="F661" s="105">
        <f>AVERAGE(N661,R661,V661,Z661,AD661)</f>
        <v>0</v>
      </c>
      <c r="G661" s="105">
        <f>MAX(N661,R661,V661,Z661,AD661)</f>
        <v>0</v>
      </c>
      <c r="H661" s="106"/>
      <c r="I661" s="105">
        <f>MIN(T661,X661,AB661,AF661,P661)</f>
        <v>0</v>
      </c>
      <c r="J661" s="105">
        <f>AVERAGE(P661,T661,X661,AB661,AF661)</f>
        <v>0</v>
      </c>
      <c r="K661" s="105">
        <f>MAX(P661,T661,X661,AB661,AF661)</f>
        <v>0</v>
      </c>
      <c r="N661" s="107">
        <f t="shared" si="312"/>
        <v>0</v>
      </c>
      <c r="O661" s="107">
        <f t="shared" si="313"/>
        <v>0</v>
      </c>
      <c r="P661" s="107">
        <f t="shared" si="314"/>
        <v>0</v>
      </c>
      <c r="R661" s="107">
        <f t="shared" si="315"/>
        <v>0</v>
      </c>
      <c r="S661" s="107">
        <f t="shared" si="316"/>
        <v>0</v>
      </c>
      <c r="T661" s="107">
        <f t="shared" si="317"/>
        <v>0</v>
      </c>
      <c r="V661" s="107">
        <f t="shared" si="318"/>
        <v>0</v>
      </c>
      <c r="W661" s="107">
        <f t="shared" si="319"/>
        <v>0</v>
      </c>
      <c r="X661" s="107">
        <f t="shared" si="320"/>
        <v>0</v>
      </c>
      <c r="Z661" s="107">
        <f t="shared" si="321"/>
        <v>0</v>
      </c>
      <c r="AA661" s="107">
        <f t="shared" si="322"/>
        <v>0</v>
      </c>
      <c r="AB661" s="107">
        <f t="shared" si="323"/>
        <v>0</v>
      </c>
      <c r="AD661" s="107">
        <f t="shared" si="324"/>
        <v>0</v>
      </c>
      <c r="AE661" s="107">
        <f t="shared" si="325"/>
        <v>0</v>
      </c>
      <c r="AF661" s="107">
        <f t="shared" si="326"/>
        <v>0</v>
      </c>
      <c r="AH661" s="107">
        <v>0</v>
      </c>
      <c r="AI661" s="107">
        <v>0</v>
      </c>
      <c r="AJ661" s="107">
        <v>0</v>
      </c>
      <c r="AK661" s="107">
        <v>0</v>
      </c>
      <c r="AL661" s="107">
        <v>0</v>
      </c>
      <c r="AM661" s="107">
        <v>0</v>
      </c>
      <c r="AN661" s="107">
        <v>0</v>
      </c>
      <c r="AO661" s="107">
        <v>0</v>
      </c>
      <c r="AP661" s="107">
        <v>0</v>
      </c>
      <c r="AQ661" s="107">
        <v>0</v>
      </c>
      <c r="AR661" s="107">
        <v>0</v>
      </c>
      <c r="AS661" s="107">
        <v>0</v>
      </c>
      <c r="AT661" s="107">
        <v>0</v>
      </c>
      <c r="AU661" s="107">
        <v>0</v>
      </c>
      <c r="AV661" s="107">
        <v>0</v>
      </c>
    </row>
    <row r="662" spans="1:48" ht="30" customHeight="1" outlineLevel="2">
      <c r="A662" s="116" t="s">
        <v>1534</v>
      </c>
      <c r="B662" s="117" t="s">
        <v>1535</v>
      </c>
      <c r="C662" s="134" t="s">
        <v>242</v>
      </c>
      <c r="E662" s="105">
        <f>MIN(N662,R662,V662,Z662,AD662)</f>
        <v>0</v>
      </c>
      <c r="F662" s="105">
        <f>AVERAGE(N662,R662,V662,Z662,AD662)</f>
        <v>0</v>
      </c>
      <c r="G662" s="105">
        <f>MAX(N662,R662,V662,Z662,AD662)</f>
        <v>0</v>
      </c>
      <c r="H662" s="106"/>
      <c r="I662" s="105">
        <f>MIN(T662,X662,AB662,AF662,P662)</f>
        <v>0</v>
      </c>
      <c r="J662" s="105">
        <f>AVERAGE(P662,T662,X662,AB662,AF662)</f>
        <v>0</v>
      </c>
      <c r="K662" s="105">
        <f>MAX(P662,T662,X662,AB662,AF662)</f>
        <v>0</v>
      </c>
      <c r="N662" s="107">
        <f t="shared" si="312"/>
        <v>0</v>
      </c>
      <c r="O662" s="107">
        <f t="shared" si="313"/>
        <v>0</v>
      </c>
      <c r="P662" s="107">
        <f t="shared" si="314"/>
        <v>0</v>
      </c>
      <c r="R662" s="107">
        <f t="shared" si="315"/>
        <v>0</v>
      </c>
      <c r="S662" s="107">
        <f t="shared" si="316"/>
        <v>0</v>
      </c>
      <c r="T662" s="107">
        <f t="shared" si="317"/>
        <v>0</v>
      </c>
      <c r="V662" s="107">
        <f t="shared" si="318"/>
        <v>0</v>
      </c>
      <c r="W662" s="107">
        <f t="shared" si="319"/>
        <v>0</v>
      </c>
      <c r="X662" s="107">
        <f t="shared" si="320"/>
        <v>0</v>
      </c>
      <c r="Z662" s="107">
        <f t="shared" si="321"/>
        <v>0</v>
      </c>
      <c r="AA662" s="107">
        <f t="shared" si="322"/>
        <v>0</v>
      </c>
      <c r="AB662" s="107">
        <f t="shared" si="323"/>
        <v>0</v>
      </c>
      <c r="AD662" s="107">
        <f t="shared" si="324"/>
        <v>0</v>
      </c>
      <c r="AE662" s="107">
        <f t="shared" si="325"/>
        <v>0</v>
      </c>
      <c r="AF662" s="107">
        <f t="shared" si="326"/>
        <v>0</v>
      </c>
      <c r="AH662" s="107">
        <v>0</v>
      </c>
      <c r="AI662" s="107">
        <v>0</v>
      </c>
      <c r="AJ662" s="107">
        <v>0</v>
      </c>
      <c r="AK662" s="107">
        <v>0</v>
      </c>
      <c r="AL662" s="107">
        <v>0</v>
      </c>
      <c r="AM662" s="107">
        <v>0</v>
      </c>
      <c r="AN662" s="107">
        <v>0</v>
      </c>
      <c r="AO662" s="107">
        <v>0</v>
      </c>
      <c r="AP662" s="107">
        <v>0</v>
      </c>
      <c r="AQ662" s="107">
        <v>0</v>
      </c>
      <c r="AR662" s="107">
        <v>0</v>
      </c>
      <c r="AS662" s="107">
        <v>0</v>
      </c>
      <c r="AT662" s="107">
        <v>0</v>
      </c>
      <c r="AU662" s="107">
        <v>0</v>
      </c>
      <c r="AV662" s="107">
        <v>0</v>
      </c>
    </row>
    <row r="663" spans="1:48" ht="30" customHeight="1" outlineLevel="1">
      <c r="A663" s="132" t="s">
        <v>1536</v>
      </c>
      <c r="B663" s="133" t="s">
        <v>1537</v>
      </c>
      <c r="C663" s="101"/>
      <c r="N663" s="11" t="str">
        <f t="shared" si="312"/>
        <v/>
      </c>
      <c r="O663" s="11" t="str">
        <f t="shared" si="313"/>
        <v/>
      </c>
      <c r="P663" s="11" t="str">
        <f t="shared" si="314"/>
        <v/>
      </c>
      <c r="R663" s="11" t="str">
        <f t="shared" si="315"/>
        <v/>
      </c>
      <c r="S663" s="11" t="str">
        <f t="shared" si="316"/>
        <v/>
      </c>
      <c r="T663" s="11" t="str">
        <f t="shared" si="317"/>
        <v/>
      </c>
      <c r="V663" s="11" t="str">
        <f t="shared" si="318"/>
        <v/>
      </c>
      <c r="W663" s="11" t="str">
        <f t="shared" si="319"/>
        <v/>
      </c>
      <c r="X663" s="11" t="str">
        <f t="shared" si="320"/>
        <v/>
      </c>
      <c r="Z663" s="11" t="str">
        <f t="shared" si="321"/>
        <v/>
      </c>
      <c r="AA663" s="11" t="str">
        <f t="shared" si="322"/>
        <v/>
      </c>
      <c r="AB663" s="11" t="str">
        <f t="shared" si="323"/>
        <v/>
      </c>
      <c r="AD663" s="11" t="str">
        <f t="shared" si="324"/>
        <v/>
      </c>
      <c r="AE663" s="11" t="str">
        <f t="shared" si="325"/>
        <v/>
      </c>
      <c r="AF663" s="11" t="str">
        <f t="shared" si="326"/>
        <v/>
      </c>
    </row>
    <row r="664" spans="1:48" ht="30" customHeight="1" outlineLevel="2">
      <c r="A664" s="116" t="s">
        <v>1538</v>
      </c>
      <c r="B664" s="117" t="s">
        <v>1539</v>
      </c>
      <c r="C664" s="134" t="s">
        <v>242</v>
      </c>
      <c r="E664" s="105">
        <f>MIN(N664,R664,V664,Z664,AD664)</f>
        <v>0</v>
      </c>
      <c r="F664" s="105">
        <f>AVERAGE(N664,R664,V664,Z664,AD664)</f>
        <v>0</v>
      </c>
      <c r="G664" s="105">
        <f>MAX(N664,R664,V664,Z664,AD664)</f>
        <v>0</v>
      </c>
      <c r="H664" s="106"/>
      <c r="I664" s="105">
        <f>MIN(T664,X664,AB664,AF664,P664)</f>
        <v>0</v>
      </c>
      <c r="J664" s="105">
        <f>AVERAGE(P664,T664,X664,AB664,AF664)</f>
        <v>0</v>
      </c>
      <c r="K664" s="105">
        <f>MAX(P664,T664,X664,AB664,AF664)</f>
        <v>0</v>
      </c>
      <c r="N664" s="108">
        <f t="shared" si="312"/>
        <v>0</v>
      </c>
      <c r="O664" s="107">
        <f t="shared" si="313"/>
        <v>0</v>
      </c>
      <c r="P664" s="107">
        <f t="shared" si="314"/>
        <v>0</v>
      </c>
      <c r="R664" s="107">
        <f t="shared" si="315"/>
        <v>0</v>
      </c>
      <c r="S664" s="107">
        <f t="shared" si="316"/>
        <v>0</v>
      </c>
      <c r="T664" s="107">
        <f t="shared" si="317"/>
        <v>0</v>
      </c>
      <c r="V664" s="107">
        <f t="shared" si="318"/>
        <v>0</v>
      </c>
      <c r="W664" s="107">
        <f t="shared" si="319"/>
        <v>0</v>
      </c>
      <c r="X664" s="107">
        <f t="shared" si="320"/>
        <v>0</v>
      </c>
      <c r="Z664" s="107">
        <f t="shared" si="321"/>
        <v>0</v>
      </c>
      <c r="AA664" s="107">
        <f t="shared" si="322"/>
        <v>0</v>
      </c>
      <c r="AB664" s="107">
        <f t="shared" si="323"/>
        <v>0</v>
      </c>
      <c r="AD664" s="107">
        <f t="shared" si="324"/>
        <v>0</v>
      </c>
      <c r="AE664" s="107">
        <f t="shared" si="325"/>
        <v>0</v>
      </c>
      <c r="AF664" s="107">
        <f t="shared" si="326"/>
        <v>0</v>
      </c>
      <c r="AH664" s="107">
        <v>0</v>
      </c>
      <c r="AI664" s="107">
        <v>0</v>
      </c>
      <c r="AJ664" s="107">
        <v>0</v>
      </c>
      <c r="AK664" s="107">
        <v>0</v>
      </c>
      <c r="AL664" s="107">
        <v>0</v>
      </c>
      <c r="AM664" s="107">
        <v>0</v>
      </c>
      <c r="AN664" s="107">
        <v>0</v>
      </c>
      <c r="AO664" s="107">
        <v>0</v>
      </c>
      <c r="AP664" s="107">
        <v>0</v>
      </c>
      <c r="AQ664" s="107">
        <v>0</v>
      </c>
      <c r="AR664" s="107">
        <v>0</v>
      </c>
      <c r="AS664" s="107">
        <v>0</v>
      </c>
      <c r="AT664" s="107">
        <v>0</v>
      </c>
      <c r="AU664" s="107">
        <v>0</v>
      </c>
      <c r="AV664" s="107">
        <v>0</v>
      </c>
    </row>
    <row r="665" spans="1:48" ht="30" customHeight="1" outlineLevel="2">
      <c r="A665" s="116" t="s">
        <v>1540</v>
      </c>
      <c r="B665" s="117" t="s">
        <v>1541</v>
      </c>
      <c r="C665" s="134" t="s">
        <v>242</v>
      </c>
      <c r="E665" s="105">
        <f>MIN(N665,R665,V665,Z665,AD665)</f>
        <v>0</v>
      </c>
      <c r="F665" s="105">
        <f>AVERAGE(N665,R665,V665,Z665,AD665)</f>
        <v>0</v>
      </c>
      <c r="G665" s="105">
        <f>MAX(N665,R665,V665,Z665,AD665)</f>
        <v>0</v>
      </c>
      <c r="H665" s="106"/>
      <c r="I665" s="105">
        <f>MIN(T665,X665,AB665,AF665,P665)</f>
        <v>0</v>
      </c>
      <c r="J665" s="105">
        <f>AVERAGE(P665,T665,X665,AB665,AF665)</f>
        <v>0</v>
      </c>
      <c r="K665" s="105">
        <f>MAX(P665,T665,X665,AB665,AF665)</f>
        <v>0</v>
      </c>
      <c r="N665" s="108">
        <f t="shared" si="312"/>
        <v>0</v>
      </c>
      <c r="O665" s="107">
        <f t="shared" si="313"/>
        <v>0</v>
      </c>
      <c r="P665" s="107">
        <f t="shared" si="314"/>
        <v>0</v>
      </c>
      <c r="R665" s="107">
        <f t="shared" si="315"/>
        <v>0</v>
      </c>
      <c r="S665" s="107">
        <f t="shared" si="316"/>
        <v>0</v>
      </c>
      <c r="T665" s="107">
        <f t="shared" si="317"/>
        <v>0</v>
      </c>
      <c r="V665" s="107">
        <f t="shared" si="318"/>
        <v>0</v>
      </c>
      <c r="W665" s="107">
        <f t="shared" si="319"/>
        <v>0</v>
      </c>
      <c r="X665" s="107">
        <f t="shared" si="320"/>
        <v>0</v>
      </c>
      <c r="Z665" s="107">
        <f t="shared" si="321"/>
        <v>0</v>
      </c>
      <c r="AA665" s="107">
        <f t="shared" si="322"/>
        <v>0</v>
      </c>
      <c r="AB665" s="107">
        <f t="shared" si="323"/>
        <v>0</v>
      </c>
      <c r="AD665" s="107">
        <f t="shared" si="324"/>
        <v>0</v>
      </c>
      <c r="AE665" s="107">
        <f t="shared" si="325"/>
        <v>0</v>
      </c>
      <c r="AF665" s="107">
        <f t="shared" si="326"/>
        <v>0</v>
      </c>
      <c r="AH665" s="107">
        <v>0</v>
      </c>
      <c r="AI665" s="107">
        <v>0</v>
      </c>
      <c r="AJ665" s="107">
        <v>0</v>
      </c>
      <c r="AK665" s="107">
        <v>0</v>
      </c>
      <c r="AL665" s="107">
        <v>0</v>
      </c>
      <c r="AM665" s="107">
        <v>0</v>
      </c>
      <c r="AN665" s="107">
        <v>0</v>
      </c>
      <c r="AO665" s="107">
        <v>0</v>
      </c>
      <c r="AP665" s="107">
        <v>0</v>
      </c>
      <c r="AQ665" s="107">
        <v>0</v>
      </c>
      <c r="AR665" s="107">
        <v>0</v>
      </c>
      <c r="AS665" s="107">
        <v>0</v>
      </c>
      <c r="AT665" s="107">
        <v>0</v>
      </c>
      <c r="AU665" s="107">
        <v>0</v>
      </c>
      <c r="AV665" s="107">
        <v>0</v>
      </c>
    </row>
    <row r="666" spans="1:48" ht="30" customHeight="1" outlineLevel="2">
      <c r="A666" s="116" t="s">
        <v>1542</v>
      </c>
      <c r="B666" s="117" t="s">
        <v>1543</v>
      </c>
      <c r="C666" s="134" t="s">
        <v>242</v>
      </c>
      <c r="E666" s="105">
        <f>MIN(N666,R666,V666,Z666,AD666)</f>
        <v>0</v>
      </c>
      <c r="F666" s="105">
        <f>AVERAGE(N666,R666,V666,Z666,AD666)</f>
        <v>0</v>
      </c>
      <c r="G666" s="105">
        <f>MAX(N666,R666,V666,Z666,AD666)</f>
        <v>0</v>
      </c>
      <c r="H666" s="106"/>
      <c r="I666" s="105">
        <f>MIN(T666,X666,AB666,AF666,P666)</f>
        <v>0</v>
      </c>
      <c r="J666" s="105">
        <f>AVERAGE(P666,T666,X666,AB666,AF666)</f>
        <v>0</v>
      </c>
      <c r="K666" s="105">
        <f>MAX(P666,T666,X666,AB666,AF666)</f>
        <v>0</v>
      </c>
      <c r="N666" s="108">
        <f t="shared" si="312"/>
        <v>0</v>
      </c>
      <c r="O666" s="107">
        <f t="shared" si="313"/>
        <v>0</v>
      </c>
      <c r="P666" s="107">
        <f t="shared" si="314"/>
        <v>0</v>
      </c>
      <c r="R666" s="107">
        <f t="shared" si="315"/>
        <v>0</v>
      </c>
      <c r="S666" s="107">
        <f t="shared" si="316"/>
        <v>0</v>
      </c>
      <c r="T666" s="107">
        <f t="shared" si="317"/>
        <v>0</v>
      </c>
      <c r="V666" s="107">
        <f t="shared" si="318"/>
        <v>0</v>
      </c>
      <c r="W666" s="107">
        <f t="shared" si="319"/>
        <v>0</v>
      </c>
      <c r="X666" s="107">
        <f t="shared" si="320"/>
        <v>0</v>
      </c>
      <c r="Z666" s="107">
        <f t="shared" si="321"/>
        <v>0</v>
      </c>
      <c r="AA666" s="107">
        <f t="shared" si="322"/>
        <v>0</v>
      </c>
      <c r="AB666" s="107">
        <f t="shared" si="323"/>
        <v>0</v>
      </c>
      <c r="AD666" s="107">
        <f t="shared" si="324"/>
        <v>0</v>
      </c>
      <c r="AE666" s="107">
        <f t="shared" si="325"/>
        <v>0</v>
      </c>
      <c r="AF666" s="107">
        <f t="shared" si="326"/>
        <v>0</v>
      </c>
      <c r="AH666" s="107">
        <v>0</v>
      </c>
      <c r="AI666" s="107">
        <v>0</v>
      </c>
      <c r="AJ666" s="107">
        <v>0</v>
      </c>
      <c r="AK666" s="107">
        <v>0</v>
      </c>
      <c r="AL666" s="107">
        <v>0</v>
      </c>
      <c r="AM666" s="107">
        <v>0</v>
      </c>
      <c r="AN666" s="107">
        <v>0</v>
      </c>
      <c r="AO666" s="107">
        <v>0</v>
      </c>
      <c r="AP666" s="107">
        <v>0</v>
      </c>
      <c r="AQ666" s="107">
        <v>0</v>
      </c>
      <c r="AR666" s="107">
        <v>0</v>
      </c>
      <c r="AS666" s="107">
        <v>0</v>
      </c>
      <c r="AT666" s="107">
        <v>0</v>
      </c>
      <c r="AU666" s="107">
        <v>0</v>
      </c>
      <c r="AV666" s="107">
        <v>0</v>
      </c>
    </row>
    <row r="667" spans="1:48" ht="30" customHeight="1" outlineLevel="2">
      <c r="A667" s="116" t="s">
        <v>1544</v>
      </c>
      <c r="B667" s="117" t="s">
        <v>1545</v>
      </c>
      <c r="C667" s="134" t="s">
        <v>242</v>
      </c>
      <c r="E667" s="105">
        <f>MIN(N667,R667,V667,Z667,AD667)</f>
        <v>0</v>
      </c>
      <c r="F667" s="105">
        <f>AVERAGE(N667,R667,V667,Z667,AD667)</f>
        <v>0</v>
      </c>
      <c r="G667" s="105">
        <f>MAX(N667,R667,V667,Z667,AD667)</f>
        <v>0</v>
      </c>
      <c r="H667" s="106"/>
      <c r="I667" s="105">
        <f>MIN(T667,X667,AB667,AF667,P667)</f>
        <v>0</v>
      </c>
      <c r="J667" s="105">
        <f>AVERAGE(P667,T667,X667,AB667,AF667)</f>
        <v>0</v>
      </c>
      <c r="K667" s="105">
        <f>MAX(P667,T667,X667,AB667,AF667)</f>
        <v>0</v>
      </c>
      <c r="N667" s="108">
        <f t="shared" si="312"/>
        <v>0</v>
      </c>
      <c r="O667" s="107">
        <f t="shared" si="313"/>
        <v>0</v>
      </c>
      <c r="P667" s="107">
        <f t="shared" si="314"/>
        <v>0</v>
      </c>
      <c r="R667" s="107">
        <f t="shared" si="315"/>
        <v>0</v>
      </c>
      <c r="S667" s="107">
        <f t="shared" si="316"/>
        <v>0</v>
      </c>
      <c r="T667" s="107">
        <f t="shared" si="317"/>
        <v>0</v>
      </c>
      <c r="V667" s="107">
        <f t="shared" si="318"/>
        <v>0</v>
      </c>
      <c r="W667" s="107">
        <f t="shared" si="319"/>
        <v>0</v>
      </c>
      <c r="X667" s="107">
        <f t="shared" si="320"/>
        <v>0</v>
      </c>
      <c r="Z667" s="107">
        <f t="shared" si="321"/>
        <v>0</v>
      </c>
      <c r="AA667" s="107">
        <f t="shared" si="322"/>
        <v>0</v>
      </c>
      <c r="AB667" s="107">
        <f t="shared" si="323"/>
        <v>0</v>
      </c>
      <c r="AD667" s="107">
        <f t="shared" si="324"/>
        <v>0</v>
      </c>
      <c r="AE667" s="107">
        <f t="shared" si="325"/>
        <v>0</v>
      </c>
      <c r="AF667" s="107">
        <f t="shared" si="326"/>
        <v>0</v>
      </c>
      <c r="AH667" s="107">
        <v>0</v>
      </c>
      <c r="AI667" s="107">
        <v>0</v>
      </c>
      <c r="AJ667" s="107">
        <v>0</v>
      </c>
      <c r="AK667" s="107">
        <v>0</v>
      </c>
      <c r="AL667" s="107">
        <v>0</v>
      </c>
      <c r="AM667" s="107">
        <v>0</v>
      </c>
      <c r="AN667" s="107">
        <v>0</v>
      </c>
      <c r="AO667" s="107">
        <v>0</v>
      </c>
      <c r="AP667" s="107">
        <v>0</v>
      </c>
      <c r="AQ667" s="107">
        <v>0</v>
      </c>
      <c r="AR667" s="107">
        <v>0</v>
      </c>
      <c r="AS667" s="107">
        <v>0</v>
      </c>
      <c r="AT667" s="107">
        <v>0</v>
      </c>
      <c r="AU667" s="107">
        <v>0</v>
      </c>
      <c r="AV667" s="107">
        <v>0</v>
      </c>
    </row>
    <row r="668" spans="1:48" ht="30" customHeight="1" outlineLevel="2" thickBot="1">
      <c r="A668" s="116" t="s">
        <v>1546</v>
      </c>
      <c r="B668" s="117" t="s">
        <v>1547</v>
      </c>
      <c r="C668" s="134" t="s">
        <v>242</v>
      </c>
      <c r="E668" s="105">
        <f>MIN(N668,R668,V668,Z668,AD668)</f>
        <v>0</v>
      </c>
      <c r="F668" s="105">
        <f>AVERAGE(N668,R668,V668,Z668,AD668)</f>
        <v>0</v>
      </c>
      <c r="G668" s="105">
        <f>MAX(N668,R668,V668,Z668,AD668)</f>
        <v>0</v>
      </c>
      <c r="H668" s="106"/>
      <c r="I668" s="105">
        <f>MIN(T668,X668,AB668,AF668,P668)</f>
        <v>0</v>
      </c>
      <c r="J668" s="105">
        <f>AVERAGE(P668,T668,X668,AB668,AF668)</f>
        <v>0</v>
      </c>
      <c r="K668" s="105">
        <f>MAX(P668,T668,X668,AB668,AF668)</f>
        <v>0</v>
      </c>
      <c r="N668" s="108">
        <f t="shared" si="312"/>
        <v>0</v>
      </c>
      <c r="O668" s="107">
        <f t="shared" si="313"/>
        <v>0</v>
      </c>
      <c r="P668" s="107">
        <f t="shared" si="314"/>
        <v>0</v>
      </c>
      <c r="R668" s="107">
        <f t="shared" si="315"/>
        <v>0</v>
      </c>
      <c r="S668" s="107">
        <f t="shared" si="316"/>
        <v>0</v>
      </c>
      <c r="T668" s="107">
        <f t="shared" si="317"/>
        <v>0</v>
      </c>
      <c r="V668" s="107">
        <f t="shared" si="318"/>
        <v>0</v>
      </c>
      <c r="W668" s="107">
        <f t="shared" si="319"/>
        <v>0</v>
      </c>
      <c r="X668" s="107">
        <f t="shared" si="320"/>
        <v>0</v>
      </c>
      <c r="Z668" s="107">
        <f t="shared" si="321"/>
        <v>0</v>
      </c>
      <c r="AA668" s="107">
        <f t="shared" si="322"/>
        <v>0</v>
      </c>
      <c r="AB668" s="107">
        <f t="shared" si="323"/>
        <v>0</v>
      </c>
      <c r="AD668" s="107">
        <f t="shared" si="324"/>
        <v>0</v>
      </c>
      <c r="AE668" s="107">
        <f t="shared" si="325"/>
        <v>0</v>
      </c>
      <c r="AF668" s="107">
        <f t="shared" si="326"/>
        <v>0</v>
      </c>
      <c r="AH668" s="107">
        <v>0</v>
      </c>
      <c r="AI668" s="107">
        <v>0</v>
      </c>
      <c r="AJ668" s="107">
        <v>0</v>
      </c>
      <c r="AK668" s="107">
        <v>0</v>
      </c>
      <c r="AL668" s="107">
        <v>0</v>
      </c>
      <c r="AM668" s="107">
        <v>0</v>
      </c>
      <c r="AN668" s="107">
        <v>0</v>
      </c>
      <c r="AO668" s="107">
        <v>0</v>
      </c>
      <c r="AP668" s="107">
        <v>0</v>
      </c>
      <c r="AQ668" s="107">
        <v>0</v>
      </c>
      <c r="AR668" s="107">
        <v>0</v>
      </c>
      <c r="AS668" s="107">
        <v>0</v>
      </c>
      <c r="AT668" s="107">
        <v>0</v>
      </c>
      <c r="AU668" s="107">
        <v>0</v>
      </c>
      <c r="AV668" s="107">
        <v>0</v>
      </c>
    </row>
    <row r="669" spans="1:48" ht="30" customHeight="1" thickBot="1">
      <c r="A669" s="96" t="s">
        <v>1548</v>
      </c>
      <c r="B669" s="115" t="s">
        <v>1549</v>
      </c>
      <c r="C669" s="98"/>
      <c r="N669" s="11" t="str">
        <f t="shared" si="312"/>
        <v/>
      </c>
      <c r="O669" s="11" t="str">
        <f t="shared" si="313"/>
        <v/>
      </c>
      <c r="P669" s="11" t="str">
        <f t="shared" si="314"/>
        <v/>
      </c>
      <c r="R669" s="11" t="str">
        <f t="shared" si="315"/>
        <v/>
      </c>
      <c r="S669" s="11" t="str">
        <f t="shared" si="316"/>
        <v/>
      </c>
      <c r="T669" s="11" t="str">
        <f t="shared" si="317"/>
        <v/>
      </c>
      <c r="V669" s="11" t="str">
        <f t="shared" si="318"/>
        <v/>
      </c>
      <c r="W669" s="11" t="str">
        <f t="shared" si="319"/>
        <v/>
      </c>
      <c r="X669" s="11" t="str">
        <f t="shared" si="320"/>
        <v/>
      </c>
      <c r="Z669" s="11" t="str">
        <f t="shared" si="321"/>
        <v/>
      </c>
      <c r="AA669" s="11" t="str">
        <f t="shared" si="322"/>
        <v/>
      </c>
      <c r="AB669" s="11" t="str">
        <f t="shared" si="323"/>
        <v/>
      </c>
      <c r="AD669" s="11" t="str">
        <f t="shared" si="324"/>
        <v/>
      </c>
      <c r="AE669" s="11" t="str">
        <f t="shared" si="325"/>
        <v/>
      </c>
      <c r="AF669" s="11" t="str">
        <f t="shared" si="326"/>
        <v/>
      </c>
    </row>
    <row r="670" spans="1:48" ht="30" customHeight="1" outlineLevel="2">
      <c r="A670" s="116" t="s">
        <v>1550</v>
      </c>
      <c r="B670" s="117" t="s">
        <v>1551</v>
      </c>
      <c r="C670" s="134" t="s">
        <v>242</v>
      </c>
      <c r="E670" s="105">
        <f>MIN(N670,R670,V670,Z670,AD670)</f>
        <v>0</v>
      </c>
      <c r="F670" s="105">
        <f>AVERAGE(N670,R670,V670,Z670,AD670)</f>
        <v>0</v>
      </c>
      <c r="G670" s="105">
        <f>MAX(N670,R670,V670,Z670,AD670)</f>
        <v>0</v>
      </c>
      <c r="H670" s="106"/>
      <c r="I670" s="105">
        <f>MIN(T670,X670,AB670,AF670,P670)</f>
        <v>0</v>
      </c>
      <c r="J670" s="105">
        <f>AVERAGE(P670,T670,X670,AB670,AF670)</f>
        <v>0</v>
      </c>
      <c r="K670" s="105">
        <f>MAX(P670,T670,X670,AB670,AF670)</f>
        <v>0</v>
      </c>
      <c r="N670" s="107">
        <f t="shared" si="312"/>
        <v>0</v>
      </c>
      <c r="O670" s="107">
        <f t="shared" si="313"/>
        <v>0</v>
      </c>
      <c r="P670" s="107">
        <f t="shared" si="314"/>
        <v>0</v>
      </c>
      <c r="R670" s="107">
        <f t="shared" si="315"/>
        <v>0</v>
      </c>
      <c r="S670" s="107">
        <f t="shared" si="316"/>
        <v>0</v>
      </c>
      <c r="T670" s="107">
        <f t="shared" si="317"/>
        <v>0</v>
      </c>
      <c r="V670" s="107">
        <f t="shared" si="318"/>
        <v>0</v>
      </c>
      <c r="W670" s="107">
        <f t="shared" si="319"/>
        <v>0</v>
      </c>
      <c r="X670" s="107">
        <f t="shared" si="320"/>
        <v>0</v>
      </c>
      <c r="Z670" s="107">
        <f t="shared" si="321"/>
        <v>0</v>
      </c>
      <c r="AA670" s="107">
        <f t="shared" si="322"/>
        <v>0</v>
      </c>
      <c r="AB670" s="107">
        <f t="shared" si="323"/>
        <v>0</v>
      </c>
      <c r="AD670" s="107">
        <f t="shared" si="324"/>
        <v>0</v>
      </c>
      <c r="AE670" s="107">
        <f t="shared" si="325"/>
        <v>0</v>
      </c>
      <c r="AF670" s="107">
        <f t="shared" si="326"/>
        <v>0</v>
      </c>
      <c r="AH670" s="107">
        <v>0</v>
      </c>
      <c r="AI670" s="107">
        <v>0</v>
      </c>
      <c r="AJ670" s="107">
        <v>0</v>
      </c>
      <c r="AK670" s="107">
        <v>0</v>
      </c>
      <c r="AL670" s="107">
        <v>0</v>
      </c>
      <c r="AM670" s="107">
        <v>0</v>
      </c>
      <c r="AN670" s="107">
        <v>0</v>
      </c>
      <c r="AO670" s="107">
        <v>0</v>
      </c>
      <c r="AP670" s="107">
        <v>0</v>
      </c>
      <c r="AQ670" s="107">
        <v>0</v>
      </c>
      <c r="AR670" s="107">
        <v>0</v>
      </c>
      <c r="AS670" s="107">
        <v>0</v>
      </c>
      <c r="AT670" s="107">
        <v>0</v>
      </c>
      <c r="AU670" s="107">
        <v>0</v>
      </c>
      <c r="AV670" s="107">
        <v>0</v>
      </c>
    </row>
    <row r="671" spans="1:48" ht="30" customHeight="1" outlineLevel="2" thickBot="1">
      <c r="A671" s="112" t="s">
        <v>1552</v>
      </c>
      <c r="B671" s="153" t="s">
        <v>1553</v>
      </c>
      <c r="C671" s="154" t="s">
        <v>242</v>
      </c>
      <c r="E671" s="105">
        <f>MIN(N671,R671,V671,Z671,AD671)</f>
        <v>0</v>
      </c>
      <c r="F671" s="105">
        <f>AVERAGE(N671,R671,V671,Z671,AD671)</f>
        <v>0</v>
      </c>
      <c r="G671" s="105">
        <f>MAX(N671,R671,V671,Z671,AD671)</f>
        <v>0</v>
      </c>
      <c r="H671" s="106"/>
      <c r="I671" s="105">
        <f>MIN(T671,X671,AB671,AF671,P671)</f>
        <v>0</v>
      </c>
      <c r="J671" s="105">
        <f>AVERAGE(P671,T671,X671,AB671,AF671)</f>
        <v>0</v>
      </c>
      <c r="K671" s="105">
        <f>MAX(P671,T671,X671,AB671,AF671)</f>
        <v>0</v>
      </c>
      <c r="N671" s="107">
        <f t="shared" si="312"/>
        <v>0</v>
      </c>
      <c r="O671" s="107">
        <f t="shared" si="313"/>
        <v>0</v>
      </c>
      <c r="P671" s="107">
        <f t="shared" si="314"/>
        <v>0</v>
      </c>
      <c r="R671" s="107">
        <f t="shared" si="315"/>
        <v>0</v>
      </c>
      <c r="S671" s="107">
        <f t="shared" si="316"/>
        <v>0</v>
      </c>
      <c r="T671" s="107">
        <f t="shared" si="317"/>
        <v>0</v>
      </c>
      <c r="V671" s="107">
        <f t="shared" si="318"/>
        <v>0</v>
      </c>
      <c r="W671" s="107">
        <f t="shared" si="319"/>
        <v>0</v>
      </c>
      <c r="X671" s="107">
        <f t="shared" si="320"/>
        <v>0</v>
      </c>
      <c r="Z671" s="107">
        <f t="shared" si="321"/>
        <v>0</v>
      </c>
      <c r="AA671" s="107">
        <f t="shared" si="322"/>
        <v>0</v>
      </c>
      <c r="AB671" s="107">
        <f t="shared" si="323"/>
        <v>0</v>
      </c>
      <c r="AD671" s="107">
        <f t="shared" si="324"/>
        <v>0</v>
      </c>
      <c r="AE671" s="107">
        <f t="shared" si="325"/>
        <v>0</v>
      </c>
      <c r="AF671" s="107">
        <f t="shared" si="326"/>
        <v>0</v>
      </c>
      <c r="AH671" s="107">
        <v>0</v>
      </c>
      <c r="AI671" s="107">
        <v>0</v>
      </c>
      <c r="AJ671" s="107">
        <v>0</v>
      </c>
      <c r="AK671" s="107">
        <v>0</v>
      </c>
      <c r="AL671" s="107">
        <v>0</v>
      </c>
      <c r="AM671" s="107">
        <v>0</v>
      </c>
      <c r="AN671" s="107">
        <v>0</v>
      </c>
      <c r="AO671" s="107">
        <v>0</v>
      </c>
      <c r="AP671" s="107">
        <v>0</v>
      </c>
      <c r="AQ671" s="107">
        <v>0</v>
      </c>
      <c r="AR671" s="107">
        <v>0</v>
      </c>
      <c r="AS671" s="107">
        <v>0</v>
      </c>
      <c r="AT671" s="107">
        <v>0</v>
      </c>
      <c r="AU671" s="107">
        <v>0</v>
      </c>
      <c r="AV671" s="107">
        <v>0</v>
      </c>
    </row>
    <row r="672" spans="1:48" ht="30" customHeight="1"/>
    <row r="673" ht="30" customHeight="1"/>
    <row r="674" ht="30" customHeight="1"/>
    <row r="675" ht="30" customHeight="1"/>
    <row r="676" ht="30" customHeight="1"/>
    <row r="677" ht="30" customHeight="1"/>
    <row r="678" ht="30" customHeight="1"/>
    <row r="679" ht="30" customHeight="1"/>
    <row r="680" ht="30" customHeight="1"/>
    <row r="681" ht="30" customHeight="1"/>
    <row r="682" ht="30" customHeight="1"/>
    <row r="683" ht="30" customHeight="1"/>
    <row r="684" ht="30" customHeight="1"/>
    <row r="685" ht="30" customHeight="1"/>
    <row r="686" ht="30" customHeight="1"/>
    <row r="687" ht="30" customHeight="1"/>
    <row r="688" ht="30" customHeight="1"/>
    <row r="689" ht="30" customHeight="1"/>
    <row r="690" ht="30" customHeight="1"/>
    <row r="691" ht="30" customHeight="1"/>
    <row r="692" ht="30" customHeight="1"/>
    <row r="693" ht="30" customHeight="1"/>
    <row r="694" ht="30" customHeight="1"/>
    <row r="695" ht="30" customHeight="1"/>
    <row r="696" ht="30" customHeight="1"/>
    <row r="697" ht="30" customHeight="1"/>
    <row r="698" ht="30" customHeight="1"/>
    <row r="699" ht="30" customHeight="1"/>
    <row r="700" ht="30" customHeight="1"/>
    <row r="701" ht="30" customHeight="1"/>
    <row r="702" ht="30" customHeight="1"/>
    <row r="703" ht="30" customHeight="1"/>
    <row r="704" ht="30" customHeight="1"/>
    <row r="705" ht="30" customHeight="1"/>
    <row r="706" ht="30" customHeight="1"/>
    <row r="707" ht="30" customHeight="1"/>
    <row r="708" ht="30" customHeight="1"/>
    <row r="709" ht="30" customHeight="1"/>
    <row r="710" ht="30" customHeight="1"/>
    <row r="711" ht="30" customHeight="1"/>
    <row r="712" ht="30" customHeight="1"/>
    <row r="713" ht="30" customHeight="1"/>
    <row r="714" ht="30" customHeight="1"/>
    <row r="715" ht="30" customHeight="1"/>
    <row r="716" ht="30" customHeight="1"/>
    <row r="717" ht="30" customHeight="1"/>
    <row r="718" ht="30" customHeight="1"/>
    <row r="719" ht="30" customHeight="1"/>
    <row r="720" ht="30" customHeight="1"/>
    <row r="721" ht="30" customHeight="1"/>
    <row r="722" ht="30" customHeight="1"/>
    <row r="723" ht="30" customHeight="1"/>
    <row r="724" ht="30" customHeight="1"/>
    <row r="725" ht="30" customHeight="1"/>
    <row r="726" ht="30" customHeight="1"/>
    <row r="727" ht="30" customHeight="1"/>
    <row r="728" ht="30" customHeight="1"/>
    <row r="729" ht="30" customHeight="1"/>
    <row r="730" ht="30" customHeight="1"/>
    <row r="731" ht="30" customHeight="1"/>
    <row r="732" ht="30" customHeight="1"/>
    <row r="733" ht="30" customHeight="1"/>
    <row r="734" ht="30" customHeight="1"/>
    <row r="735" ht="30" customHeight="1"/>
    <row r="736" ht="30" customHeight="1"/>
    <row r="737" ht="30" customHeight="1"/>
    <row r="738" ht="30" customHeight="1"/>
    <row r="739" ht="30" customHeight="1"/>
    <row r="740" ht="30" customHeight="1"/>
    <row r="741" ht="30" customHeight="1"/>
    <row r="742" ht="30" customHeight="1"/>
    <row r="743" ht="30" customHeight="1"/>
    <row r="744" ht="30" customHeight="1"/>
    <row r="745" ht="30" customHeight="1"/>
    <row r="746" ht="30" customHeight="1"/>
    <row r="747" ht="30" customHeight="1"/>
    <row r="748" ht="30" customHeight="1"/>
    <row r="749" ht="30" customHeight="1"/>
    <row r="750" ht="30" customHeight="1"/>
    <row r="751" ht="30" customHeight="1"/>
    <row r="752" ht="30" customHeight="1"/>
    <row r="753" ht="30" customHeight="1"/>
    <row r="754" ht="30" customHeight="1"/>
    <row r="755" ht="30" customHeight="1"/>
    <row r="756" ht="30" customHeight="1"/>
    <row r="757" ht="30" customHeight="1"/>
    <row r="758" ht="30" customHeight="1"/>
    <row r="759" ht="30" customHeight="1"/>
    <row r="760" ht="30" customHeight="1"/>
    <row r="761" ht="30" customHeight="1"/>
    <row r="762" ht="30" customHeight="1"/>
    <row r="763" ht="30" customHeight="1"/>
    <row r="764" ht="30" customHeight="1"/>
    <row r="765" ht="30" customHeight="1"/>
    <row r="766" ht="30" customHeight="1"/>
    <row r="767" ht="30" customHeight="1"/>
    <row r="768" ht="30" customHeight="1"/>
    <row r="769" ht="30" customHeight="1"/>
    <row r="770" ht="30" customHeight="1"/>
    <row r="771" ht="30" customHeight="1"/>
    <row r="772" ht="30" customHeight="1"/>
    <row r="773" ht="30" customHeight="1"/>
    <row r="774" ht="30" customHeight="1"/>
    <row r="775" ht="30" customHeight="1"/>
    <row r="776" ht="30" customHeight="1"/>
    <row r="777" ht="30" customHeight="1"/>
    <row r="778" ht="30" customHeight="1"/>
    <row r="779" ht="30" customHeight="1"/>
    <row r="780" ht="30" customHeight="1"/>
    <row r="781" ht="30" customHeight="1"/>
    <row r="782" ht="30" customHeight="1"/>
    <row r="783" ht="30" customHeight="1"/>
    <row r="784" ht="30" customHeight="1"/>
  </sheetData>
  <autoFilter ref="A3:C671" xr:uid="{00000000-0001-0000-0000-000000000000}"/>
  <mergeCells count="3">
    <mergeCell ref="A2:C2"/>
    <mergeCell ref="N1:AF1"/>
    <mergeCell ref="AH1:AV1"/>
  </mergeCells>
  <pageMargins left="0.7" right="0.7" top="0.75" bottom="0.75" header="0.3" footer="0.3"/>
  <pageSetup paperSize="9" scale="19" fitToHeight="0"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F9BF4B-53AB-4079-ADF2-DF973F8A03B2}">
  <sheetPr codeName="Feuil8">
    <tabColor rgb="FFFF0000"/>
    <outlinePr summaryBelow="0"/>
  </sheetPr>
  <dimension ref="A1:W473"/>
  <sheetViews>
    <sheetView zoomScale="40" zoomScaleNormal="40" workbookViewId="0">
      <selection activeCell="X36" sqref="X36"/>
    </sheetView>
  </sheetViews>
  <sheetFormatPr defaultColWidth="11.42578125" defaultRowHeight="14.45" outlineLevelRow="2"/>
  <cols>
    <col min="2" max="2" width="103.42578125" customWidth="1"/>
    <col min="3" max="3" width="14" customWidth="1"/>
    <col min="4" max="4" width="9.5703125" customWidth="1"/>
    <col min="5" max="7" width="11.42578125" bestFit="1" customWidth="1"/>
    <col min="8" max="8" width="9.5703125" customWidth="1"/>
    <col min="9" max="9" width="13.5703125" customWidth="1"/>
    <col min="10" max="10" width="5.5703125" customWidth="1"/>
    <col min="11" max="11" width="13.5703125" style="1" customWidth="1"/>
    <col min="12" max="12" width="5.5703125" customWidth="1"/>
    <col min="13" max="13" width="13.5703125" style="1" customWidth="1"/>
    <col min="14" max="14" width="5.5703125" customWidth="1"/>
    <col min="15" max="15" width="13.5703125" style="1" customWidth="1"/>
    <col min="16" max="16" width="5.5703125" customWidth="1"/>
    <col min="17" max="17" width="13.5703125" style="1" customWidth="1"/>
    <col min="19" max="19" width="13.5703125" customWidth="1"/>
    <col min="20" max="23" width="13.5703125" style="1" customWidth="1"/>
  </cols>
  <sheetData>
    <row r="1" spans="1:23" ht="15.6" thickBot="1">
      <c r="I1" s="718" t="s">
        <v>218</v>
      </c>
      <c r="J1" s="719"/>
      <c r="K1" s="719"/>
      <c r="L1" s="719"/>
      <c r="M1" s="719"/>
      <c r="N1" s="719"/>
      <c r="O1" s="719"/>
      <c r="P1" s="719"/>
      <c r="Q1" s="719"/>
      <c r="S1" s="718" t="s">
        <v>1554</v>
      </c>
      <c r="T1" s="719"/>
      <c r="U1" s="719"/>
      <c r="V1" s="719"/>
      <c r="W1" s="719"/>
    </row>
    <row r="2" spans="1:23" ht="32.25" customHeight="1" thickBot="1">
      <c r="A2" s="722" t="s">
        <v>1555</v>
      </c>
      <c r="B2" s="723"/>
      <c r="C2" s="723"/>
      <c r="E2" s="2" t="s">
        <v>19</v>
      </c>
      <c r="F2" s="3"/>
      <c r="G2" s="4"/>
      <c r="I2" s="5" t="s">
        <v>1556</v>
      </c>
      <c r="J2" s="6"/>
      <c r="K2" s="7" t="s">
        <v>1557</v>
      </c>
      <c r="L2" s="6"/>
      <c r="M2" s="8" t="s">
        <v>1558</v>
      </c>
      <c r="N2" s="6"/>
      <c r="O2" s="9" t="s">
        <v>1559</v>
      </c>
      <c r="P2" s="6"/>
      <c r="Q2" s="10" t="s">
        <v>1560</v>
      </c>
      <c r="S2" s="5" t="s">
        <v>1556</v>
      </c>
      <c r="T2" s="7" t="s">
        <v>1557</v>
      </c>
      <c r="U2" s="8" t="s">
        <v>1558</v>
      </c>
      <c r="V2" s="9" t="s">
        <v>1559</v>
      </c>
      <c r="W2" s="10" t="s">
        <v>1560</v>
      </c>
    </row>
    <row r="3" spans="1:23" ht="15.6" thickBot="1">
      <c r="A3" s="12" t="s">
        <v>14</v>
      </c>
      <c r="B3" s="13" t="s">
        <v>15</v>
      </c>
      <c r="C3" s="12" t="s">
        <v>16</v>
      </c>
      <c r="E3" s="14" t="s">
        <v>229</v>
      </c>
      <c r="F3" s="15" t="s">
        <v>230</v>
      </c>
      <c r="G3" s="16" t="s">
        <v>231</v>
      </c>
      <c r="I3" s="17" t="s">
        <v>19</v>
      </c>
      <c r="K3" s="18" t="s">
        <v>1561</v>
      </c>
      <c r="M3" s="19" t="s">
        <v>1561</v>
      </c>
      <c r="O3" s="20" t="s">
        <v>1561</v>
      </c>
      <c r="Q3" s="21" t="s">
        <v>1561</v>
      </c>
      <c r="S3" s="17" t="s">
        <v>1562</v>
      </c>
      <c r="T3" s="18" t="s">
        <v>1563</v>
      </c>
      <c r="U3" s="19" t="s">
        <v>1562</v>
      </c>
      <c r="V3" s="20" t="s">
        <v>1562</v>
      </c>
      <c r="W3" s="21" t="s">
        <v>1562</v>
      </c>
    </row>
    <row r="4" spans="1:23" ht="15.6" thickBot="1">
      <c r="A4" s="22" t="s">
        <v>1564</v>
      </c>
      <c r="B4" s="23" t="s">
        <v>1565</v>
      </c>
      <c r="C4" s="24"/>
      <c r="I4" t="str">
        <f t="shared" ref="I4:I67" si="0" xml:space="preserve"> IF(ISBLANK(S4),"",_k_EIFFAGE * S4)</f>
        <v/>
      </c>
      <c r="K4" t="str">
        <f t="shared" ref="K4:K67" si="1" xml:space="preserve"> IF(ISBLANK(T4),"",_k_ERI * T4)</f>
        <v/>
      </c>
      <c r="M4" t="str">
        <f t="shared" ref="M4:M67" si="2" xml:space="preserve"> IF(ISBLANK(U4),"",_k_INEO * U4)</f>
        <v/>
      </c>
      <c r="O4" t="str">
        <f t="shared" ref="O4:O67" si="3" xml:space="preserve"> IF(ISBLANK(V4),"",_k_SDEL * V4)</f>
        <v/>
      </c>
      <c r="Q4" t="str">
        <f t="shared" ref="Q4:Q67" si="4" xml:space="preserve"> IF(ISBLANK(W4),"",_k_SOGETREL * W4)</f>
        <v/>
      </c>
      <c r="T4"/>
      <c r="U4"/>
      <c r="V4"/>
      <c r="W4"/>
    </row>
    <row r="5" spans="1:23" ht="15" outlineLevel="1">
      <c r="A5" s="25" t="s">
        <v>1566</v>
      </c>
      <c r="B5" s="26" t="s">
        <v>1567</v>
      </c>
      <c r="C5" s="27"/>
      <c r="I5" t="str">
        <f t="shared" si="0"/>
        <v/>
      </c>
      <c r="K5" t="str">
        <f t="shared" si="1"/>
        <v/>
      </c>
      <c r="M5" t="str">
        <f t="shared" si="2"/>
        <v/>
      </c>
      <c r="O5" t="str">
        <f t="shared" si="3"/>
        <v/>
      </c>
      <c r="Q5" t="str">
        <f t="shared" si="4"/>
        <v/>
      </c>
      <c r="T5"/>
      <c r="U5"/>
      <c r="V5"/>
      <c r="W5"/>
    </row>
    <row r="6" spans="1:23" ht="30.95" outlineLevel="2">
      <c r="A6" s="28" t="s">
        <v>1568</v>
      </c>
      <c r="B6" s="29" t="s">
        <v>1569</v>
      </c>
      <c r="C6" s="30" t="s">
        <v>1570</v>
      </c>
      <c r="I6" t="str">
        <f t="shared" si="0"/>
        <v/>
      </c>
      <c r="K6" t="str">
        <f t="shared" si="1"/>
        <v/>
      </c>
      <c r="M6" t="str">
        <f t="shared" si="2"/>
        <v/>
      </c>
      <c r="O6" t="str">
        <f t="shared" si="3"/>
        <v/>
      </c>
      <c r="Q6" t="str">
        <f t="shared" si="4"/>
        <v/>
      </c>
      <c r="T6"/>
      <c r="U6"/>
      <c r="V6"/>
      <c r="W6"/>
    </row>
    <row r="7" spans="1:23" ht="15" outlineLevel="1">
      <c r="A7" s="31" t="s">
        <v>1571</v>
      </c>
      <c r="B7" s="32" t="s">
        <v>1572</v>
      </c>
      <c r="C7" s="33"/>
      <c r="I7" t="str">
        <f t="shared" si="0"/>
        <v/>
      </c>
      <c r="K7" t="str">
        <f t="shared" si="1"/>
        <v/>
      </c>
      <c r="M7" t="str">
        <f t="shared" si="2"/>
        <v/>
      </c>
      <c r="O7" t="str">
        <f t="shared" si="3"/>
        <v/>
      </c>
      <c r="Q7" t="str">
        <f t="shared" si="4"/>
        <v/>
      </c>
      <c r="T7"/>
      <c r="U7"/>
      <c r="V7"/>
      <c r="W7"/>
    </row>
    <row r="8" spans="1:23" ht="31.5" outlineLevel="2" thickBot="1">
      <c r="A8" s="34" t="s">
        <v>1573</v>
      </c>
      <c r="B8" s="35" t="s">
        <v>1574</v>
      </c>
      <c r="C8" s="36" t="s">
        <v>1570</v>
      </c>
      <c r="I8" t="str">
        <f t="shared" si="0"/>
        <v/>
      </c>
      <c r="K8" t="str">
        <f t="shared" si="1"/>
        <v/>
      </c>
      <c r="M8" t="str">
        <f t="shared" si="2"/>
        <v/>
      </c>
      <c r="O8" t="str">
        <f t="shared" si="3"/>
        <v/>
      </c>
      <c r="Q8" t="str">
        <f t="shared" si="4"/>
        <v/>
      </c>
      <c r="T8"/>
      <c r="U8"/>
      <c r="V8"/>
      <c r="W8"/>
    </row>
    <row r="9" spans="1:23" ht="15.6" thickBot="1">
      <c r="A9" s="24" t="s">
        <v>1575</v>
      </c>
      <c r="B9" s="23" t="s">
        <v>1576</v>
      </c>
      <c r="C9" s="24"/>
      <c r="I9" t="str">
        <f t="shared" si="0"/>
        <v/>
      </c>
      <c r="K9" t="str">
        <f t="shared" si="1"/>
        <v/>
      </c>
      <c r="M9" t="str">
        <f t="shared" si="2"/>
        <v/>
      </c>
      <c r="O9" t="str">
        <f t="shared" si="3"/>
        <v/>
      </c>
      <c r="Q9" t="str">
        <f t="shared" si="4"/>
        <v/>
      </c>
      <c r="T9"/>
      <c r="U9"/>
      <c r="V9"/>
      <c r="W9"/>
    </row>
    <row r="10" spans="1:23" ht="15" outlineLevel="1">
      <c r="A10" s="25" t="s">
        <v>1577</v>
      </c>
      <c r="B10" s="26" t="s">
        <v>1578</v>
      </c>
      <c r="C10" s="27"/>
      <c r="I10" t="str">
        <f t="shared" si="0"/>
        <v/>
      </c>
      <c r="K10" t="str">
        <f t="shared" si="1"/>
        <v/>
      </c>
      <c r="M10" t="str">
        <f t="shared" si="2"/>
        <v/>
      </c>
      <c r="O10" t="str">
        <f t="shared" si="3"/>
        <v/>
      </c>
      <c r="Q10" t="str">
        <f t="shared" si="4"/>
        <v/>
      </c>
      <c r="T10"/>
      <c r="U10"/>
      <c r="V10"/>
      <c r="W10"/>
    </row>
    <row r="11" spans="1:23" ht="15.6" outlineLevel="2">
      <c r="A11" s="34" t="s">
        <v>1579</v>
      </c>
      <c r="B11" s="35" t="s">
        <v>1580</v>
      </c>
      <c r="C11" s="34" t="s">
        <v>253</v>
      </c>
      <c r="E11" s="37">
        <f t="shared" ref="E11:E19" si="5">MIN(I11,K11,M11,O11,Q11)</f>
        <v>8.3270000000000017</v>
      </c>
      <c r="F11" s="37">
        <f t="shared" ref="F11:F19" si="6">AVERAGE(I11,K11,M11,O11,Q11)</f>
        <v>24.494712000000003</v>
      </c>
      <c r="G11" s="37">
        <f t="shared" ref="G11:G19" si="7">MAX(I11,K11,M11,O11,Q11)</f>
        <v>45.185140000000011</v>
      </c>
      <c r="I11" s="38">
        <f t="shared" si="0"/>
        <v>8.3270000000000017</v>
      </c>
      <c r="K11" s="38">
        <f t="shared" si="1"/>
        <v>45.185140000000011</v>
      </c>
      <c r="M11" s="38">
        <f t="shared" si="2"/>
        <v>20.948400000000003</v>
      </c>
      <c r="O11" s="38">
        <f t="shared" si="3"/>
        <v>15.343020000000001</v>
      </c>
      <c r="Q11" s="38">
        <f t="shared" si="4"/>
        <v>32.670000000000009</v>
      </c>
      <c r="S11" s="38">
        <v>7.57</v>
      </c>
      <c r="T11" s="38">
        <v>41.077400000000004</v>
      </c>
      <c r="U11" s="38">
        <v>19.044</v>
      </c>
      <c r="V11" s="38">
        <v>13.9482</v>
      </c>
      <c r="W11" s="38">
        <v>29.700000000000003</v>
      </c>
    </row>
    <row r="12" spans="1:23" ht="15.6" outlineLevel="2">
      <c r="A12" s="34" t="s">
        <v>1581</v>
      </c>
      <c r="B12" s="35" t="s">
        <v>1582</v>
      </c>
      <c r="C12" s="34" t="s">
        <v>253</v>
      </c>
      <c r="E12" s="37">
        <f t="shared" si="5"/>
        <v>11.506000000000002</v>
      </c>
      <c r="F12" s="37">
        <f t="shared" si="6"/>
        <v>32.954394000000001</v>
      </c>
      <c r="G12" s="37">
        <f t="shared" si="7"/>
        <v>56.511620000000001</v>
      </c>
      <c r="I12" s="38">
        <f t="shared" si="0"/>
        <v>11.506000000000002</v>
      </c>
      <c r="K12" s="38">
        <f t="shared" si="1"/>
        <v>56.511620000000001</v>
      </c>
      <c r="M12" s="38">
        <f t="shared" si="2"/>
        <v>26.109600000000004</v>
      </c>
      <c r="O12" s="38">
        <f t="shared" si="3"/>
        <v>21.309750000000001</v>
      </c>
      <c r="Q12" s="38">
        <f t="shared" si="4"/>
        <v>49.335000000000001</v>
      </c>
      <c r="S12" s="38">
        <v>10.46</v>
      </c>
      <c r="T12" s="38">
        <v>51.374199999999995</v>
      </c>
      <c r="U12" s="38">
        <v>23.736000000000001</v>
      </c>
      <c r="V12" s="38">
        <v>19.372499999999999</v>
      </c>
      <c r="W12" s="38">
        <v>44.849999999999994</v>
      </c>
    </row>
    <row r="13" spans="1:23" ht="30.95" outlineLevel="2">
      <c r="A13" s="34" t="s">
        <v>1583</v>
      </c>
      <c r="B13" s="35" t="s">
        <v>1584</v>
      </c>
      <c r="C13" s="39" t="s">
        <v>253</v>
      </c>
      <c r="E13" s="37">
        <f t="shared" si="5"/>
        <v>5.2085000000000008</v>
      </c>
      <c r="F13" s="37">
        <f t="shared" si="6"/>
        <v>12.204478</v>
      </c>
      <c r="G13" s="37">
        <f t="shared" si="7"/>
        <v>21.450000000000003</v>
      </c>
      <c r="I13" s="38">
        <f t="shared" si="0"/>
        <v>5.2085000000000008</v>
      </c>
      <c r="K13" s="38">
        <f t="shared" si="1"/>
        <v>13.12476</v>
      </c>
      <c r="M13" s="38">
        <f t="shared" si="2"/>
        <v>9.8670000000000009</v>
      </c>
      <c r="O13" s="38">
        <f t="shared" si="3"/>
        <v>11.372129999999999</v>
      </c>
      <c r="Q13" s="38">
        <f t="shared" si="4"/>
        <v>21.450000000000003</v>
      </c>
      <c r="S13" s="38">
        <v>4.7350000000000003</v>
      </c>
      <c r="T13" s="38">
        <v>11.9316</v>
      </c>
      <c r="U13" s="38">
        <v>8.9700000000000006</v>
      </c>
      <c r="V13" s="38">
        <v>10.338299999999998</v>
      </c>
      <c r="W13" s="38">
        <v>19.5</v>
      </c>
    </row>
    <row r="14" spans="1:23" ht="30.95" outlineLevel="2">
      <c r="A14" s="34" t="s">
        <v>1585</v>
      </c>
      <c r="B14" s="35" t="s">
        <v>1586</v>
      </c>
      <c r="C14" s="39" t="s">
        <v>253</v>
      </c>
      <c r="E14" s="37">
        <f t="shared" si="5"/>
        <v>7.4580000000000011</v>
      </c>
      <c r="F14" s="37">
        <f t="shared" si="6"/>
        <v>17.912488000000003</v>
      </c>
      <c r="G14" s="37">
        <f t="shared" si="7"/>
        <v>33.825000000000003</v>
      </c>
      <c r="I14" s="38">
        <f t="shared" si="0"/>
        <v>7.4580000000000011</v>
      </c>
      <c r="K14" s="38">
        <f t="shared" si="1"/>
        <v>17.781500000000001</v>
      </c>
      <c r="M14" s="38">
        <f t="shared" si="2"/>
        <v>14.572800000000001</v>
      </c>
      <c r="O14" s="38">
        <f t="shared" si="3"/>
        <v>15.925140000000001</v>
      </c>
      <c r="Q14" s="38">
        <f t="shared" si="4"/>
        <v>33.825000000000003</v>
      </c>
      <c r="S14" s="38">
        <v>6.78</v>
      </c>
      <c r="T14" s="38">
        <v>16.164999999999999</v>
      </c>
      <c r="U14" s="38">
        <v>13.247999999999999</v>
      </c>
      <c r="V14" s="38">
        <v>14.477399999999999</v>
      </c>
      <c r="W14" s="38">
        <v>30.75</v>
      </c>
    </row>
    <row r="15" spans="1:23" ht="15.6" outlineLevel="2">
      <c r="A15" s="28" t="s">
        <v>1587</v>
      </c>
      <c r="B15" s="35" t="s">
        <v>1588</v>
      </c>
      <c r="C15" s="40" t="s">
        <v>253</v>
      </c>
      <c r="E15" s="37">
        <f t="shared" si="5"/>
        <v>2.9645000000000001</v>
      </c>
      <c r="F15" s="37">
        <f t="shared" si="6"/>
        <v>9.6676580000000012</v>
      </c>
      <c r="G15" s="37">
        <f t="shared" si="7"/>
        <v>17.258120000000002</v>
      </c>
      <c r="I15" s="38">
        <f t="shared" si="0"/>
        <v>2.9645000000000001</v>
      </c>
      <c r="K15" s="38">
        <f t="shared" si="1"/>
        <v>17.258120000000002</v>
      </c>
      <c r="M15" s="38">
        <f t="shared" si="2"/>
        <v>9.8973600000000008</v>
      </c>
      <c r="O15" s="38">
        <f t="shared" si="3"/>
        <v>6.0083099999999998</v>
      </c>
      <c r="Q15" s="38">
        <f t="shared" si="4"/>
        <v>12.210000000000003</v>
      </c>
      <c r="S15" s="38">
        <v>2.6949999999999998</v>
      </c>
      <c r="T15" s="38">
        <v>15.6892</v>
      </c>
      <c r="U15" s="38">
        <v>8.9976000000000003</v>
      </c>
      <c r="V15" s="38">
        <v>5.4620999999999995</v>
      </c>
      <c r="W15" s="38">
        <v>11.100000000000001</v>
      </c>
    </row>
    <row r="16" spans="1:23" ht="30.95" outlineLevel="2">
      <c r="A16" s="34" t="s">
        <v>1589</v>
      </c>
      <c r="B16" s="35" t="s">
        <v>1590</v>
      </c>
      <c r="C16" s="34" t="s">
        <v>242</v>
      </c>
      <c r="E16" s="37">
        <f t="shared" si="5"/>
        <v>13.32606</v>
      </c>
      <c r="F16" s="37">
        <f t="shared" si="6"/>
        <v>66.575938000000008</v>
      </c>
      <c r="G16" s="37">
        <f t="shared" si="7"/>
        <v>138.13800000000001</v>
      </c>
      <c r="I16" s="38">
        <f t="shared" si="0"/>
        <v>20.338999999999999</v>
      </c>
      <c r="K16" s="38">
        <f t="shared" si="1"/>
        <v>13.32606</v>
      </c>
      <c r="M16" s="38">
        <f t="shared" si="2"/>
        <v>138.13800000000001</v>
      </c>
      <c r="O16" s="38">
        <f t="shared" si="3"/>
        <v>64.386629999999997</v>
      </c>
      <c r="Q16" s="38">
        <f t="shared" si="4"/>
        <v>96.690000000000012</v>
      </c>
      <c r="S16" s="38">
        <v>18.489999999999998</v>
      </c>
      <c r="T16" s="38">
        <v>12.114599999999999</v>
      </c>
      <c r="U16" s="38">
        <v>125.58</v>
      </c>
      <c r="V16" s="38">
        <v>58.533299999999997</v>
      </c>
      <c r="W16" s="38">
        <v>87.9</v>
      </c>
    </row>
    <row r="17" spans="1:23" ht="30.95" outlineLevel="2">
      <c r="A17" s="34" t="s">
        <v>1591</v>
      </c>
      <c r="B17" s="35" t="s">
        <v>1592</v>
      </c>
      <c r="C17" s="34" t="s">
        <v>242</v>
      </c>
      <c r="E17" s="37">
        <f t="shared" si="5"/>
        <v>24.728000000000002</v>
      </c>
      <c r="F17" s="37">
        <f t="shared" si="6"/>
        <v>107.49070200000001</v>
      </c>
      <c r="G17" s="37">
        <f t="shared" si="7"/>
        <v>222.47830000000005</v>
      </c>
      <c r="I17" s="38">
        <f t="shared" si="0"/>
        <v>24.728000000000002</v>
      </c>
      <c r="K17" s="38">
        <f t="shared" si="1"/>
        <v>52.700340000000011</v>
      </c>
      <c r="M17" s="38">
        <f t="shared" si="2"/>
        <v>222.47830000000005</v>
      </c>
      <c r="O17" s="38">
        <f t="shared" si="3"/>
        <v>115.44687000000003</v>
      </c>
      <c r="Q17" s="38">
        <f t="shared" si="4"/>
        <v>122.10000000000001</v>
      </c>
      <c r="S17" s="38">
        <v>22.48</v>
      </c>
      <c r="T17" s="38">
        <v>47.909400000000005</v>
      </c>
      <c r="U17" s="38">
        <v>202.25300000000001</v>
      </c>
      <c r="V17" s="38">
        <v>104.95170000000002</v>
      </c>
      <c r="W17" s="38">
        <v>111</v>
      </c>
    </row>
    <row r="18" spans="1:23" ht="30.95" outlineLevel="2">
      <c r="A18" s="34" t="s">
        <v>1593</v>
      </c>
      <c r="B18" s="35" t="s">
        <v>1594</v>
      </c>
      <c r="C18" s="39" t="s">
        <v>242</v>
      </c>
      <c r="E18" s="37">
        <f t="shared" si="5"/>
        <v>10.373000000000003</v>
      </c>
      <c r="F18" s="37">
        <f t="shared" si="6"/>
        <v>50.020586000000002</v>
      </c>
      <c r="G18" s="37">
        <f t="shared" si="7"/>
        <v>96.244500000000002</v>
      </c>
      <c r="I18" s="38">
        <f t="shared" si="0"/>
        <v>10.373000000000003</v>
      </c>
      <c r="K18" s="38">
        <f t="shared" si="1"/>
        <v>36.663440000000001</v>
      </c>
      <c r="M18" s="38">
        <f t="shared" si="2"/>
        <v>96.244500000000002</v>
      </c>
      <c r="O18" s="38">
        <f t="shared" si="3"/>
        <v>47.421989999999994</v>
      </c>
      <c r="Q18" s="38">
        <f t="shared" si="4"/>
        <v>59.400000000000006</v>
      </c>
      <c r="S18" s="38">
        <v>9.4300000000000015</v>
      </c>
      <c r="T18" s="38">
        <v>33.330399999999997</v>
      </c>
      <c r="U18" s="38">
        <v>87.49499999999999</v>
      </c>
      <c r="V18" s="38">
        <v>43.110899999999994</v>
      </c>
      <c r="W18" s="38">
        <v>54</v>
      </c>
    </row>
    <row r="19" spans="1:23" ht="30.95" outlineLevel="2">
      <c r="A19" s="34" t="s">
        <v>1595</v>
      </c>
      <c r="B19" s="35" t="s">
        <v>1596</v>
      </c>
      <c r="C19" s="39" t="s">
        <v>242</v>
      </c>
      <c r="E19" s="37">
        <f t="shared" si="5"/>
        <v>12.765500000000001</v>
      </c>
      <c r="F19" s="37">
        <f t="shared" si="6"/>
        <v>63.398631999999999</v>
      </c>
      <c r="G19" s="37">
        <f t="shared" si="7"/>
        <v>142.69200000000001</v>
      </c>
      <c r="I19" s="38">
        <f t="shared" si="0"/>
        <v>12.765500000000001</v>
      </c>
      <c r="K19" s="38">
        <f t="shared" si="1"/>
        <v>44.849640000000008</v>
      </c>
      <c r="M19" s="38">
        <f t="shared" si="2"/>
        <v>142.69200000000001</v>
      </c>
      <c r="O19" s="38">
        <f t="shared" si="3"/>
        <v>50.686019999999999</v>
      </c>
      <c r="Q19" s="38">
        <f t="shared" si="4"/>
        <v>66</v>
      </c>
      <c r="S19" s="38">
        <v>11.605</v>
      </c>
      <c r="T19" s="38">
        <v>40.772400000000005</v>
      </c>
      <c r="U19" s="38">
        <v>129.72</v>
      </c>
      <c r="V19" s="38">
        <v>46.078199999999995</v>
      </c>
      <c r="W19" s="38">
        <v>60</v>
      </c>
    </row>
    <row r="20" spans="1:23" ht="15" outlineLevel="1">
      <c r="A20" s="41" t="s">
        <v>1597</v>
      </c>
      <c r="B20" s="42" t="s">
        <v>1598</v>
      </c>
      <c r="C20" s="33"/>
      <c r="I20" t="str">
        <f t="shared" si="0"/>
        <v/>
      </c>
      <c r="K20" t="str">
        <f t="shared" si="1"/>
        <v/>
      </c>
      <c r="M20" t="str">
        <f t="shared" si="2"/>
        <v/>
      </c>
      <c r="O20" t="str">
        <f t="shared" si="3"/>
        <v/>
      </c>
      <c r="Q20" t="str">
        <f t="shared" si="4"/>
        <v/>
      </c>
      <c r="T20"/>
      <c r="U20"/>
      <c r="V20"/>
      <c r="W20"/>
    </row>
    <row r="21" spans="1:23" ht="15.6" outlineLevel="2">
      <c r="A21" s="34" t="s">
        <v>1599</v>
      </c>
      <c r="B21" s="43" t="s">
        <v>1600</v>
      </c>
      <c r="C21" s="34" t="s">
        <v>253</v>
      </c>
      <c r="E21" s="37">
        <f>MIN(I21,K21,M21,O21,Q21)</f>
        <v>7.4359999999999999</v>
      </c>
      <c r="F21" s="37">
        <f>AVERAGE(I21,K21,M21,O21,Q21)</f>
        <v>22.959772000000005</v>
      </c>
      <c r="G21" s="37">
        <f>MAX(I21,K21,M21,O21,Q21)</f>
        <v>36.432000000000002</v>
      </c>
      <c r="I21" s="38">
        <f t="shared" si="0"/>
        <v>7.4359999999999999</v>
      </c>
      <c r="K21" s="38">
        <f t="shared" si="1"/>
        <v>27.215760000000003</v>
      </c>
      <c r="M21" s="38">
        <f t="shared" si="2"/>
        <v>36.432000000000002</v>
      </c>
      <c r="O21" s="38">
        <f t="shared" si="3"/>
        <v>14.345100000000002</v>
      </c>
      <c r="Q21" s="38">
        <f t="shared" si="4"/>
        <v>29.370000000000005</v>
      </c>
      <c r="S21" s="38">
        <v>6.76</v>
      </c>
      <c r="T21" s="38">
        <v>24.741600000000002</v>
      </c>
      <c r="U21" s="38">
        <v>33.119999999999997</v>
      </c>
      <c r="V21" s="38">
        <v>13.041</v>
      </c>
      <c r="W21" s="38">
        <v>26.700000000000003</v>
      </c>
    </row>
    <row r="22" spans="1:23" ht="15.6" outlineLevel="2">
      <c r="A22" s="34" t="s">
        <v>1601</v>
      </c>
      <c r="B22" s="43" t="s">
        <v>1602</v>
      </c>
      <c r="C22" s="34" t="s">
        <v>253</v>
      </c>
      <c r="E22" s="37">
        <f>MIN(I22,K22,M22,O22,Q22)</f>
        <v>9.047500000000003</v>
      </c>
      <c r="F22" s="37">
        <f>AVERAGE(I22,K22,M22,O22,Q22)</f>
        <v>30.045048000000001</v>
      </c>
      <c r="G22" s="37">
        <f>MAX(I22,K22,M22,O22,Q22)</f>
        <v>57.684000000000005</v>
      </c>
      <c r="I22" s="38">
        <f t="shared" si="0"/>
        <v>9.047500000000003</v>
      </c>
      <c r="K22" s="38">
        <f t="shared" si="1"/>
        <v>31.671200000000006</v>
      </c>
      <c r="M22" s="38">
        <f t="shared" si="2"/>
        <v>57.684000000000005</v>
      </c>
      <c r="O22" s="38">
        <f t="shared" si="3"/>
        <v>17.172539999999998</v>
      </c>
      <c r="Q22" s="38">
        <f t="shared" si="4"/>
        <v>34.650000000000006</v>
      </c>
      <c r="S22" s="38">
        <v>8.2250000000000014</v>
      </c>
      <c r="T22" s="38">
        <v>28.792000000000002</v>
      </c>
      <c r="U22" s="38">
        <v>52.44</v>
      </c>
      <c r="V22" s="38">
        <v>15.611399999999998</v>
      </c>
      <c r="W22" s="38">
        <v>31.5</v>
      </c>
    </row>
    <row r="23" spans="1:23" ht="15.6" outlineLevel="2">
      <c r="A23" s="28" t="s">
        <v>1603</v>
      </c>
      <c r="B23" s="43" t="s">
        <v>1604</v>
      </c>
      <c r="C23" s="40" t="s">
        <v>253</v>
      </c>
      <c r="E23" s="37">
        <f>MIN(I23,K23,M23,O23,Q23)</f>
        <v>2.9645000000000001</v>
      </c>
      <c r="F23" s="37">
        <f>AVERAGE(I23,K23,M23,O23,Q23)</f>
        <v>8.9926980000000007</v>
      </c>
      <c r="G23" s="37">
        <f>MAX(I23,K23,M23,O23,Q23)</f>
        <v>18.216000000000001</v>
      </c>
      <c r="I23" s="38">
        <f t="shared" si="0"/>
        <v>2.9645000000000001</v>
      </c>
      <c r="K23" s="38">
        <f t="shared" si="1"/>
        <v>4.4420200000000003</v>
      </c>
      <c r="M23" s="38">
        <f t="shared" si="2"/>
        <v>18.216000000000001</v>
      </c>
      <c r="O23" s="38">
        <f t="shared" si="3"/>
        <v>7.1309700000000014</v>
      </c>
      <c r="Q23" s="38">
        <f t="shared" si="4"/>
        <v>12.210000000000003</v>
      </c>
      <c r="S23" s="38">
        <v>2.6949999999999998</v>
      </c>
      <c r="T23" s="38">
        <v>4.0381999999999998</v>
      </c>
      <c r="U23" s="38">
        <v>16.559999999999999</v>
      </c>
      <c r="V23" s="38">
        <v>6.4827000000000004</v>
      </c>
      <c r="W23" s="38">
        <v>11.100000000000001</v>
      </c>
    </row>
    <row r="24" spans="1:23" ht="15" outlineLevel="1">
      <c r="A24" s="44" t="s">
        <v>1605</v>
      </c>
      <c r="B24" s="32" t="s">
        <v>1606</v>
      </c>
      <c r="C24" s="31"/>
      <c r="I24" t="str">
        <f t="shared" si="0"/>
        <v/>
      </c>
      <c r="K24" t="str">
        <f t="shared" si="1"/>
        <v/>
      </c>
      <c r="M24" t="str">
        <f t="shared" si="2"/>
        <v/>
      </c>
      <c r="O24" t="str">
        <f t="shared" si="3"/>
        <v/>
      </c>
      <c r="Q24" t="str">
        <f t="shared" si="4"/>
        <v/>
      </c>
      <c r="T24"/>
      <c r="U24"/>
      <c r="V24"/>
      <c r="W24"/>
    </row>
    <row r="25" spans="1:23" ht="15.6" outlineLevel="2">
      <c r="A25" s="45" t="s">
        <v>1607</v>
      </c>
      <c r="B25" s="43" t="s">
        <v>1608</v>
      </c>
      <c r="C25" s="46" t="s">
        <v>242</v>
      </c>
      <c r="E25" s="37">
        <f>MIN(I25,K25,M25,O25,Q25)</f>
        <v>5.9455000000000009</v>
      </c>
      <c r="F25" s="37">
        <f>AVERAGE(I25,K25,M25,O25,Q25)</f>
        <v>15.411725999999998</v>
      </c>
      <c r="G25" s="37">
        <f>MAX(I25,K25,M25,O25,Q25)</f>
        <v>25.966709999999996</v>
      </c>
      <c r="I25" s="38">
        <f t="shared" si="0"/>
        <v>5.9455000000000009</v>
      </c>
      <c r="K25" s="38">
        <f t="shared" si="1"/>
        <v>9.4074200000000001</v>
      </c>
      <c r="M25" s="38">
        <f t="shared" si="2"/>
        <v>12.144</v>
      </c>
      <c r="O25" s="38">
        <f t="shared" si="3"/>
        <v>25.966709999999996</v>
      </c>
      <c r="Q25" s="38">
        <f t="shared" si="4"/>
        <v>23.595000000000006</v>
      </c>
      <c r="S25" s="38">
        <v>5.4050000000000002</v>
      </c>
      <c r="T25" s="38">
        <v>8.5521999999999991</v>
      </c>
      <c r="U25" s="38">
        <v>11.04</v>
      </c>
      <c r="V25" s="38">
        <v>23.606099999999994</v>
      </c>
      <c r="W25" s="38">
        <v>21.450000000000003</v>
      </c>
    </row>
    <row r="26" spans="1:23" ht="15.6" outlineLevel="2">
      <c r="A26" s="28" t="s">
        <v>1609</v>
      </c>
      <c r="B26" s="43" t="s">
        <v>1610</v>
      </c>
      <c r="C26" s="40" t="s">
        <v>242</v>
      </c>
      <c r="E26" s="37">
        <f>MIN(I26,K26,M26,O26,Q26)</f>
        <v>15.028200000000002</v>
      </c>
      <c r="F26" s="37">
        <f>AVERAGE(I26,K26,M26,O26,Q26)</f>
        <v>26.256252</v>
      </c>
      <c r="G26" s="37">
        <f>MAX(I26,K26,M26,O26,Q26)</f>
        <v>54.12</v>
      </c>
      <c r="I26" s="38">
        <f t="shared" si="0"/>
        <v>19.5745</v>
      </c>
      <c r="K26" s="38">
        <f t="shared" si="1"/>
        <v>16.654220000000002</v>
      </c>
      <c r="M26" s="38">
        <f t="shared" si="2"/>
        <v>15.028200000000002</v>
      </c>
      <c r="O26" s="38">
        <f t="shared" si="3"/>
        <v>25.904340000000001</v>
      </c>
      <c r="Q26" s="38">
        <f t="shared" si="4"/>
        <v>54.12</v>
      </c>
      <c r="S26" s="38">
        <v>17.794999999999998</v>
      </c>
      <c r="T26" s="38">
        <v>15.1402</v>
      </c>
      <c r="U26" s="38">
        <v>13.662000000000001</v>
      </c>
      <c r="V26" s="38">
        <v>23.549399999999999</v>
      </c>
      <c r="W26" s="38">
        <v>49.199999999999996</v>
      </c>
    </row>
    <row r="27" spans="1:23" ht="15.6" outlineLevel="2">
      <c r="A27" s="28" t="s">
        <v>1611</v>
      </c>
      <c r="B27" s="43" t="s">
        <v>1612</v>
      </c>
      <c r="C27" s="40" t="s">
        <v>242</v>
      </c>
      <c r="E27" s="37">
        <f>MIN(I27,K27,M27,O27,Q27)</f>
        <v>6.8529999999999998</v>
      </c>
      <c r="F27" s="37">
        <f>AVERAGE(I27,K27,M27,O27,Q27)</f>
        <v>25.820717999999999</v>
      </c>
      <c r="G27" s="37">
        <f>MAX(I27,K27,M27,O27,Q27)</f>
        <v>72.27</v>
      </c>
      <c r="I27" s="38">
        <f t="shared" si="0"/>
        <v>6.8529999999999998</v>
      </c>
      <c r="K27" s="38">
        <f t="shared" si="1"/>
        <v>7.4749400000000001</v>
      </c>
      <c r="M27" s="38">
        <f t="shared" si="2"/>
        <v>30.967199999999998</v>
      </c>
      <c r="O27" s="38">
        <f t="shared" si="3"/>
        <v>11.538450000000001</v>
      </c>
      <c r="Q27" s="38">
        <f t="shared" si="4"/>
        <v>72.27</v>
      </c>
      <c r="S27" s="38">
        <v>6.2299999999999995</v>
      </c>
      <c r="T27" s="38">
        <v>6.7953999999999999</v>
      </c>
      <c r="U27" s="38">
        <v>28.151999999999997</v>
      </c>
      <c r="V27" s="38">
        <v>10.4895</v>
      </c>
      <c r="W27" s="38">
        <v>65.699999999999989</v>
      </c>
    </row>
    <row r="28" spans="1:23" ht="15" outlineLevel="1">
      <c r="A28" s="44" t="s">
        <v>1613</v>
      </c>
      <c r="B28" s="32" t="s">
        <v>1614</v>
      </c>
      <c r="C28" s="31"/>
      <c r="I28" t="str">
        <f t="shared" si="0"/>
        <v/>
      </c>
      <c r="K28" t="str">
        <f t="shared" si="1"/>
        <v/>
      </c>
      <c r="M28" t="str">
        <f t="shared" si="2"/>
        <v/>
      </c>
      <c r="O28" t="str">
        <f t="shared" si="3"/>
        <v/>
      </c>
      <c r="Q28" t="str">
        <f t="shared" si="4"/>
        <v/>
      </c>
      <c r="T28"/>
      <c r="U28"/>
      <c r="V28"/>
      <c r="W28"/>
    </row>
    <row r="29" spans="1:23" ht="15.6" outlineLevel="2">
      <c r="A29" s="45" t="s">
        <v>1615</v>
      </c>
      <c r="B29" s="43" t="s">
        <v>1616</v>
      </c>
      <c r="C29" s="46" t="s">
        <v>253</v>
      </c>
      <c r="E29" s="37">
        <f t="shared" ref="E29:E35" si="8">MIN(I29,K29,M29,O29,Q29)</f>
        <v>4.2404999999999999</v>
      </c>
      <c r="F29" s="37">
        <f t="shared" ref="F29:F35" si="9">AVERAGE(I29,K29,M29,O29,Q29)</f>
        <v>16.271552000000003</v>
      </c>
      <c r="G29" s="37">
        <f t="shared" ref="G29:G35" si="10">MAX(I29,K29,M29,O29,Q29)</f>
        <v>45.540000000000013</v>
      </c>
      <c r="I29" s="38">
        <f t="shared" si="0"/>
        <v>4.2404999999999999</v>
      </c>
      <c r="K29" s="38">
        <f t="shared" si="1"/>
        <v>5.8913799999999998</v>
      </c>
      <c r="M29" s="38">
        <f t="shared" si="2"/>
        <v>12.629760000000001</v>
      </c>
      <c r="O29" s="38">
        <f t="shared" si="3"/>
        <v>13.05612</v>
      </c>
      <c r="Q29" s="38">
        <f t="shared" si="4"/>
        <v>45.540000000000013</v>
      </c>
      <c r="S29" s="38">
        <v>3.855</v>
      </c>
      <c r="T29" s="38">
        <v>5.3557999999999995</v>
      </c>
      <c r="U29" s="38">
        <v>11.4816</v>
      </c>
      <c r="V29" s="38">
        <v>11.869199999999999</v>
      </c>
      <c r="W29" s="38">
        <v>41.400000000000006</v>
      </c>
    </row>
    <row r="30" spans="1:23" ht="15.6" outlineLevel="2">
      <c r="A30" s="28" t="s">
        <v>1617</v>
      </c>
      <c r="B30" s="43" t="s">
        <v>1618</v>
      </c>
      <c r="C30" s="40" t="s">
        <v>253</v>
      </c>
      <c r="E30" s="37">
        <f t="shared" si="8"/>
        <v>4.7575000000000003</v>
      </c>
      <c r="F30" s="37">
        <f t="shared" si="9"/>
        <v>18.729282000000001</v>
      </c>
      <c r="G30" s="37">
        <f t="shared" si="10"/>
        <v>53.46</v>
      </c>
      <c r="I30" s="38">
        <f t="shared" si="0"/>
        <v>4.7575000000000003</v>
      </c>
      <c r="K30" s="38">
        <f t="shared" si="1"/>
        <v>7.0723399999999996</v>
      </c>
      <c r="M30" s="38">
        <f t="shared" si="2"/>
        <v>14.572800000000001</v>
      </c>
      <c r="O30" s="38">
        <f t="shared" si="3"/>
        <v>13.783770000000002</v>
      </c>
      <c r="Q30" s="38">
        <f t="shared" si="4"/>
        <v>53.46</v>
      </c>
      <c r="S30" s="38">
        <v>4.3250000000000002</v>
      </c>
      <c r="T30" s="38">
        <v>6.4293999999999993</v>
      </c>
      <c r="U30" s="38">
        <v>13.247999999999999</v>
      </c>
      <c r="V30" s="38">
        <v>12.530700000000001</v>
      </c>
      <c r="W30" s="38">
        <v>48.599999999999994</v>
      </c>
    </row>
    <row r="31" spans="1:23" ht="15.6" outlineLevel="2">
      <c r="A31" s="28" t="s">
        <v>1619</v>
      </c>
      <c r="B31" s="43" t="s">
        <v>1620</v>
      </c>
      <c r="C31" s="40" t="s">
        <v>253</v>
      </c>
      <c r="E31" s="37">
        <f t="shared" si="8"/>
        <v>5.3625000000000007</v>
      </c>
      <c r="F31" s="37">
        <f t="shared" si="9"/>
        <v>24.413267999999999</v>
      </c>
      <c r="G31" s="37">
        <f t="shared" si="10"/>
        <v>75.569999999999993</v>
      </c>
      <c r="I31" s="38">
        <f t="shared" si="0"/>
        <v>5.3625000000000007</v>
      </c>
      <c r="K31" s="38">
        <f t="shared" si="1"/>
        <v>8.494860000000001</v>
      </c>
      <c r="M31" s="38">
        <f t="shared" si="2"/>
        <v>16.88016</v>
      </c>
      <c r="O31" s="38">
        <f t="shared" si="3"/>
        <v>15.758820000000002</v>
      </c>
      <c r="Q31" s="38">
        <f t="shared" si="4"/>
        <v>75.569999999999993</v>
      </c>
      <c r="S31" s="38">
        <v>4.875</v>
      </c>
      <c r="T31" s="38">
        <v>7.7225999999999999</v>
      </c>
      <c r="U31" s="38">
        <v>15.345599999999999</v>
      </c>
      <c r="V31" s="38">
        <v>14.3262</v>
      </c>
      <c r="W31" s="38">
        <v>68.699999999999989</v>
      </c>
    </row>
    <row r="32" spans="1:23" ht="15.6" outlineLevel="2">
      <c r="A32" s="45" t="s">
        <v>1621</v>
      </c>
      <c r="B32" s="43" t="s">
        <v>1622</v>
      </c>
      <c r="C32" s="39" t="s">
        <v>253</v>
      </c>
      <c r="E32" s="37">
        <f t="shared" si="8"/>
        <v>6.7484999999999999</v>
      </c>
      <c r="F32" s="37">
        <f t="shared" si="9"/>
        <v>32.188904000000001</v>
      </c>
      <c r="G32" s="37">
        <f t="shared" si="10"/>
        <v>95.7</v>
      </c>
      <c r="I32" s="38">
        <f t="shared" si="0"/>
        <v>6.7484999999999999</v>
      </c>
      <c r="K32" s="38">
        <f t="shared" si="1"/>
        <v>11.715660000000002</v>
      </c>
      <c r="M32" s="38">
        <f t="shared" si="2"/>
        <v>22.164999999999999</v>
      </c>
      <c r="O32" s="38">
        <f t="shared" si="3"/>
        <v>24.615359999999999</v>
      </c>
      <c r="Q32" s="38">
        <f t="shared" si="4"/>
        <v>95.7</v>
      </c>
      <c r="S32" s="38">
        <v>6.1349999999999998</v>
      </c>
      <c r="T32" s="38">
        <v>10.650600000000001</v>
      </c>
      <c r="U32" s="38">
        <v>20.149999999999999</v>
      </c>
      <c r="V32" s="38">
        <v>22.377599999999997</v>
      </c>
      <c r="W32" s="38">
        <v>87</v>
      </c>
    </row>
    <row r="33" spans="1:23" ht="15.6" outlineLevel="2">
      <c r="A33" s="28" t="s">
        <v>1623</v>
      </c>
      <c r="B33" s="43" t="s">
        <v>1624</v>
      </c>
      <c r="C33" s="40" t="s">
        <v>253</v>
      </c>
      <c r="E33" s="37">
        <f t="shared" si="8"/>
        <v>9.2785000000000011</v>
      </c>
      <c r="F33" s="37">
        <f t="shared" si="9"/>
        <v>40.743582000000004</v>
      </c>
      <c r="G33" s="37">
        <f t="shared" si="10"/>
        <v>118.80000000000001</v>
      </c>
      <c r="I33" s="38">
        <f t="shared" si="0"/>
        <v>9.2785000000000011</v>
      </c>
      <c r="K33" s="38">
        <f t="shared" si="1"/>
        <v>15.11092</v>
      </c>
      <c r="M33" s="38">
        <f t="shared" si="2"/>
        <v>31.817500000000003</v>
      </c>
      <c r="O33" s="38">
        <f t="shared" si="3"/>
        <v>28.710989999999999</v>
      </c>
      <c r="Q33" s="38">
        <f t="shared" si="4"/>
        <v>118.80000000000001</v>
      </c>
      <c r="S33" s="38">
        <v>8.4350000000000005</v>
      </c>
      <c r="T33" s="38">
        <v>13.7372</v>
      </c>
      <c r="U33" s="38">
        <v>28.925000000000001</v>
      </c>
      <c r="V33" s="38">
        <v>26.100899999999996</v>
      </c>
      <c r="W33" s="38">
        <v>108</v>
      </c>
    </row>
    <row r="34" spans="1:23" ht="15.6" outlineLevel="2">
      <c r="A34" s="28" t="s">
        <v>1625</v>
      </c>
      <c r="B34" s="43" t="s">
        <v>1626</v>
      </c>
      <c r="C34" s="40" t="s">
        <v>253</v>
      </c>
      <c r="E34" s="37">
        <f t="shared" si="8"/>
        <v>11.852500000000001</v>
      </c>
      <c r="F34" s="37">
        <f t="shared" si="9"/>
        <v>51.423548000000004</v>
      </c>
      <c r="G34" s="37">
        <f t="shared" si="10"/>
        <v>147.18000000000004</v>
      </c>
      <c r="I34" s="38">
        <f t="shared" si="0"/>
        <v>11.852500000000001</v>
      </c>
      <c r="K34" s="38">
        <f t="shared" si="1"/>
        <v>20.854680000000002</v>
      </c>
      <c r="M34" s="38">
        <f t="shared" si="2"/>
        <v>41.596500000000006</v>
      </c>
      <c r="O34" s="38">
        <f t="shared" si="3"/>
        <v>35.634059999999998</v>
      </c>
      <c r="Q34" s="38">
        <f t="shared" si="4"/>
        <v>147.18000000000004</v>
      </c>
      <c r="S34" s="38">
        <v>10.775</v>
      </c>
      <c r="T34" s="38">
        <v>18.9588</v>
      </c>
      <c r="U34" s="38">
        <v>37.815000000000005</v>
      </c>
      <c r="V34" s="38">
        <v>32.394599999999997</v>
      </c>
      <c r="W34" s="38">
        <v>133.80000000000001</v>
      </c>
    </row>
    <row r="35" spans="1:23" ht="15.6" outlineLevel="2">
      <c r="A35" s="28" t="s">
        <v>1627</v>
      </c>
      <c r="B35" s="43" t="s">
        <v>1628</v>
      </c>
      <c r="C35" s="40" t="s">
        <v>253</v>
      </c>
      <c r="E35" s="37">
        <f t="shared" si="8"/>
        <v>18.150000000000002</v>
      </c>
      <c r="F35" s="37">
        <f t="shared" si="9"/>
        <v>65.270985999999994</v>
      </c>
      <c r="G35" s="37">
        <f t="shared" si="10"/>
        <v>172.58999999999997</v>
      </c>
      <c r="I35" s="38">
        <f t="shared" si="0"/>
        <v>18.150000000000002</v>
      </c>
      <c r="K35" s="38">
        <f t="shared" si="1"/>
        <v>28.423560000000002</v>
      </c>
      <c r="M35" s="38">
        <f t="shared" si="2"/>
        <v>65.549000000000007</v>
      </c>
      <c r="O35" s="38">
        <f t="shared" si="3"/>
        <v>41.642370000000007</v>
      </c>
      <c r="Q35" s="38">
        <f t="shared" si="4"/>
        <v>172.58999999999997</v>
      </c>
      <c r="S35" s="38">
        <v>16.5</v>
      </c>
      <c r="T35" s="38">
        <v>25.839600000000001</v>
      </c>
      <c r="U35" s="38">
        <v>59.59</v>
      </c>
      <c r="V35" s="38">
        <v>37.856700000000004</v>
      </c>
      <c r="W35" s="38">
        <v>156.89999999999998</v>
      </c>
    </row>
    <row r="36" spans="1:23" ht="15" outlineLevel="1">
      <c r="A36" s="44" t="s">
        <v>1629</v>
      </c>
      <c r="B36" s="32" t="s">
        <v>1630</v>
      </c>
      <c r="C36" s="31"/>
      <c r="I36" t="str">
        <f t="shared" si="0"/>
        <v/>
      </c>
      <c r="K36" t="str">
        <f t="shared" si="1"/>
        <v/>
      </c>
      <c r="M36" t="str">
        <f t="shared" si="2"/>
        <v/>
      </c>
      <c r="O36" t="str">
        <f t="shared" si="3"/>
        <v/>
      </c>
      <c r="Q36" t="str">
        <f t="shared" si="4"/>
        <v/>
      </c>
      <c r="T36"/>
      <c r="U36"/>
      <c r="V36"/>
      <c r="W36"/>
    </row>
    <row r="37" spans="1:23" ht="15.6" outlineLevel="2">
      <c r="A37" s="45" t="s">
        <v>1631</v>
      </c>
      <c r="B37" s="43" t="s">
        <v>1632</v>
      </c>
      <c r="C37" s="46" t="s">
        <v>253</v>
      </c>
      <c r="E37" s="37">
        <f t="shared" ref="E37:E50" si="11">MIN(I37,K37,M37,O37,Q37)</f>
        <v>0.29524</v>
      </c>
      <c r="F37" s="37">
        <f t="shared" ref="F37:F50" si="12">AVERAGE(I37,K37,M37,O37,Q37)</f>
        <v>2.1517540000000004</v>
      </c>
      <c r="G37" s="37">
        <f t="shared" ref="G37:G50" si="13">MAX(I37,K37,M37,O37,Q37)</f>
        <v>4.7193300000000002</v>
      </c>
      <c r="I37" s="38">
        <f t="shared" si="0"/>
        <v>0.64900000000000002</v>
      </c>
      <c r="K37" s="38">
        <f t="shared" si="1"/>
        <v>0.29524</v>
      </c>
      <c r="M37" s="38">
        <f t="shared" si="2"/>
        <v>2.1252</v>
      </c>
      <c r="O37" s="38">
        <f t="shared" si="3"/>
        <v>4.7193300000000002</v>
      </c>
      <c r="Q37" s="38">
        <f t="shared" si="4"/>
        <v>2.9700000000000006</v>
      </c>
      <c r="S37" s="38">
        <v>0.59</v>
      </c>
      <c r="T37" s="38">
        <v>0.26839999999999997</v>
      </c>
      <c r="U37" s="38">
        <v>1.9319999999999999</v>
      </c>
      <c r="V37" s="38">
        <v>4.2903000000000002</v>
      </c>
      <c r="W37" s="38">
        <v>2.7</v>
      </c>
    </row>
    <row r="38" spans="1:23" ht="15.6" outlineLevel="2">
      <c r="A38" s="28" t="s">
        <v>1633</v>
      </c>
      <c r="B38" s="43" t="s">
        <v>1634</v>
      </c>
      <c r="C38" s="40" t="s">
        <v>253</v>
      </c>
      <c r="E38" s="37">
        <f t="shared" si="11"/>
        <v>0.37576000000000004</v>
      </c>
      <c r="F38" s="37">
        <f t="shared" si="12"/>
        <v>2.6239400000000002</v>
      </c>
      <c r="G38" s="37">
        <f t="shared" si="13"/>
        <v>5.98752</v>
      </c>
      <c r="I38" s="38">
        <f t="shared" si="0"/>
        <v>0.74250000000000016</v>
      </c>
      <c r="K38" s="38">
        <f t="shared" si="1"/>
        <v>0.37576000000000004</v>
      </c>
      <c r="M38" s="38">
        <f t="shared" si="2"/>
        <v>2.1859200000000003</v>
      </c>
      <c r="O38" s="38">
        <f t="shared" si="3"/>
        <v>5.98752</v>
      </c>
      <c r="Q38" s="38">
        <f t="shared" si="4"/>
        <v>3.8279999999999998</v>
      </c>
      <c r="S38" s="38">
        <v>0.67500000000000004</v>
      </c>
      <c r="T38" s="38">
        <v>0.34160000000000001</v>
      </c>
      <c r="U38" s="38">
        <v>1.9872000000000001</v>
      </c>
      <c r="V38" s="38">
        <v>5.4431999999999992</v>
      </c>
      <c r="W38" s="38">
        <v>3.4799999999999995</v>
      </c>
    </row>
    <row r="39" spans="1:23" ht="15.6" outlineLevel="2">
      <c r="A39" s="28" t="s">
        <v>1635</v>
      </c>
      <c r="B39" s="43" t="s">
        <v>1636</v>
      </c>
      <c r="C39" s="40" t="s">
        <v>253</v>
      </c>
      <c r="E39" s="37">
        <f t="shared" si="11"/>
        <v>0.55022000000000004</v>
      </c>
      <c r="F39" s="37">
        <f t="shared" si="12"/>
        <v>2.622576</v>
      </c>
      <c r="G39" s="37">
        <f t="shared" si="13"/>
        <v>5.4449999999999994</v>
      </c>
      <c r="I39" s="38">
        <f t="shared" si="0"/>
        <v>0.86350000000000016</v>
      </c>
      <c r="K39" s="38">
        <f t="shared" si="1"/>
        <v>0.55022000000000004</v>
      </c>
      <c r="M39" s="38">
        <f t="shared" si="2"/>
        <v>2.4288000000000003</v>
      </c>
      <c r="O39" s="38">
        <f t="shared" si="3"/>
        <v>3.8253599999999994</v>
      </c>
      <c r="Q39" s="38">
        <f t="shared" si="4"/>
        <v>5.4449999999999994</v>
      </c>
      <c r="S39" s="38">
        <v>0.78500000000000003</v>
      </c>
      <c r="T39" s="38">
        <v>0.50019999999999998</v>
      </c>
      <c r="U39" s="38">
        <v>2.2080000000000002</v>
      </c>
      <c r="V39" s="38">
        <v>3.4775999999999994</v>
      </c>
      <c r="W39" s="38">
        <v>4.9499999999999993</v>
      </c>
    </row>
    <row r="40" spans="1:23" ht="15.6" outlineLevel="2">
      <c r="A40" s="45" t="s">
        <v>1637</v>
      </c>
      <c r="B40" s="43" t="s">
        <v>1638</v>
      </c>
      <c r="C40" s="39" t="s">
        <v>253</v>
      </c>
      <c r="E40" s="37">
        <f t="shared" si="11"/>
        <v>0.73810000000000009</v>
      </c>
      <c r="F40" s="37">
        <f t="shared" si="12"/>
        <v>3.4635919999999998</v>
      </c>
      <c r="G40" s="37">
        <f t="shared" si="13"/>
        <v>7.524</v>
      </c>
      <c r="I40" s="38">
        <f t="shared" si="0"/>
        <v>1.0725</v>
      </c>
      <c r="K40" s="38">
        <f t="shared" si="1"/>
        <v>0.73810000000000009</v>
      </c>
      <c r="M40" s="38">
        <f t="shared" si="2"/>
        <v>3.8253599999999999</v>
      </c>
      <c r="O40" s="38">
        <f t="shared" si="3"/>
        <v>4.1580000000000004</v>
      </c>
      <c r="Q40" s="38">
        <f t="shared" si="4"/>
        <v>7.524</v>
      </c>
      <c r="S40" s="38">
        <v>0.97499999999999998</v>
      </c>
      <c r="T40" s="38">
        <v>0.67100000000000004</v>
      </c>
      <c r="U40" s="38">
        <v>3.4775999999999998</v>
      </c>
      <c r="V40" s="38">
        <v>3.78</v>
      </c>
      <c r="W40" s="38">
        <v>6.84</v>
      </c>
    </row>
    <row r="41" spans="1:23" ht="15.6" outlineLevel="2">
      <c r="A41" s="28" t="s">
        <v>1639</v>
      </c>
      <c r="B41" s="43" t="s">
        <v>1640</v>
      </c>
      <c r="C41" s="40" t="s">
        <v>253</v>
      </c>
      <c r="E41" s="37">
        <f t="shared" si="11"/>
        <v>1.3688400000000001</v>
      </c>
      <c r="F41" s="37">
        <f t="shared" si="12"/>
        <v>6.1033060000000008</v>
      </c>
      <c r="G41" s="37">
        <f t="shared" si="13"/>
        <v>15.444000000000001</v>
      </c>
      <c r="I41" s="38">
        <f t="shared" si="0"/>
        <v>2.0459999999999998</v>
      </c>
      <c r="K41" s="38">
        <f t="shared" si="1"/>
        <v>1.3688400000000001</v>
      </c>
      <c r="M41" s="38">
        <f t="shared" si="2"/>
        <v>5.1920000000000002</v>
      </c>
      <c r="O41" s="38">
        <f t="shared" si="3"/>
        <v>6.4656900000000013</v>
      </c>
      <c r="Q41" s="38">
        <f t="shared" si="4"/>
        <v>15.444000000000001</v>
      </c>
      <c r="S41" s="38">
        <v>1.8599999999999999</v>
      </c>
      <c r="T41" s="38">
        <v>1.2444</v>
      </c>
      <c r="U41" s="38">
        <v>4.72</v>
      </c>
      <c r="V41" s="38">
        <v>5.8779000000000003</v>
      </c>
      <c r="W41" s="38">
        <v>14.04</v>
      </c>
    </row>
    <row r="42" spans="1:23" ht="15.6" outlineLevel="2">
      <c r="A42" s="28" t="s">
        <v>1641</v>
      </c>
      <c r="B42" s="43" t="s">
        <v>1642</v>
      </c>
      <c r="C42" s="40" t="s">
        <v>253</v>
      </c>
      <c r="E42" s="37">
        <f t="shared" si="11"/>
        <v>2.7775000000000003</v>
      </c>
      <c r="F42" s="37">
        <f t="shared" si="12"/>
        <v>10.608114</v>
      </c>
      <c r="G42" s="37">
        <f t="shared" si="13"/>
        <v>24.717000000000002</v>
      </c>
      <c r="I42" s="38">
        <f t="shared" si="0"/>
        <v>2.7775000000000003</v>
      </c>
      <c r="K42" s="38">
        <f t="shared" si="1"/>
        <v>5.9048000000000007</v>
      </c>
      <c r="M42" s="38">
        <f t="shared" si="2"/>
        <v>11.055000000000001</v>
      </c>
      <c r="O42" s="38">
        <f t="shared" si="3"/>
        <v>8.586269999999999</v>
      </c>
      <c r="Q42" s="38">
        <f t="shared" si="4"/>
        <v>24.717000000000002</v>
      </c>
      <c r="S42" s="38">
        <v>2.5249999999999999</v>
      </c>
      <c r="T42" s="38">
        <v>5.3680000000000003</v>
      </c>
      <c r="U42" s="38">
        <v>10.050000000000001</v>
      </c>
      <c r="V42" s="38">
        <v>7.805699999999999</v>
      </c>
      <c r="W42" s="38">
        <v>22.47</v>
      </c>
    </row>
    <row r="43" spans="1:23" ht="15.6" outlineLevel="2">
      <c r="A43" s="28" t="s">
        <v>1643</v>
      </c>
      <c r="B43" s="43" t="s">
        <v>1644</v>
      </c>
      <c r="C43" s="40" t="s">
        <v>253</v>
      </c>
      <c r="E43" s="37">
        <f t="shared" si="11"/>
        <v>3.6739999999999999</v>
      </c>
      <c r="F43" s="37">
        <f t="shared" si="12"/>
        <v>14.265174000000002</v>
      </c>
      <c r="G43" s="37">
        <f t="shared" si="13"/>
        <v>35.508000000000003</v>
      </c>
      <c r="I43" s="38">
        <f t="shared" si="0"/>
        <v>3.6739999999999999</v>
      </c>
      <c r="K43" s="38">
        <f t="shared" si="1"/>
        <v>8.6693200000000008</v>
      </c>
      <c r="M43" s="38">
        <f t="shared" si="2"/>
        <v>12.144</v>
      </c>
      <c r="O43" s="38">
        <f t="shared" si="3"/>
        <v>11.330550000000001</v>
      </c>
      <c r="Q43" s="38">
        <f t="shared" si="4"/>
        <v>35.508000000000003</v>
      </c>
      <c r="S43" s="38">
        <v>3.34</v>
      </c>
      <c r="T43" s="38">
        <v>7.8811999999999998</v>
      </c>
      <c r="U43" s="38">
        <v>11.04</v>
      </c>
      <c r="V43" s="38">
        <v>10.3005</v>
      </c>
      <c r="W43" s="38">
        <v>32.28</v>
      </c>
    </row>
    <row r="44" spans="1:23" ht="15.6" outlineLevel="2">
      <c r="A44" s="45" t="s">
        <v>1645</v>
      </c>
      <c r="B44" s="43" t="s">
        <v>1646</v>
      </c>
      <c r="C44" s="39" t="s">
        <v>253</v>
      </c>
      <c r="E44" s="37">
        <f t="shared" si="11"/>
        <v>3.1955</v>
      </c>
      <c r="F44" s="37">
        <f t="shared" si="12"/>
        <v>9.238328000000001</v>
      </c>
      <c r="G44" s="37">
        <f t="shared" si="13"/>
        <v>20.724</v>
      </c>
      <c r="I44" s="38">
        <f t="shared" si="0"/>
        <v>3.1955</v>
      </c>
      <c r="K44" s="38">
        <f t="shared" si="1"/>
        <v>7.7970199999999998</v>
      </c>
      <c r="M44" s="38">
        <f t="shared" si="2"/>
        <v>7.0738800000000008</v>
      </c>
      <c r="O44" s="38">
        <f t="shared" si="3"/>
        <v>7.4012400000000005</v>
      </c>
      <c r="Q44" s="38">
        <f t="shared" si="4"/>
        <v>20.724</v>
      </c>
      <c r="S44" s="38">
        <v>2.9049999999999998</v>
      </c>
      <c r="T44" s="38">
        <v>7.0881999999999996</v>
      </c>
      <c r="U44" s="38">
        <v>6.4308000000000005</v>
      </c>
      <c r="V44" s="38">
        <v>6.7283999999999997</v>
      </c>
      <c r="W44" s="38">
        <v>18.84</v>
      </c>
    </row>
    <row r="45" spans="1:23" ht="15.6" outlineLevel="2">
      <c r="A45" s="28" t="s">
        <v>1647</v>
      </c>
      <c r="B45" s="43" t="s">
        <v>1648</v>
      </c>
      <c r="C45" s="40" t="s">
        <v>253</v>
      </c>
      <c r="E45" s="37">
        <f t="shared" si="11"/>
        <v>3.8885000000000001</v>
      </c>
      <c r="F45" s="37">
        <f t="shared" si="12"/>
        <v>9.6600020000000004</v>
      </c>
      <c r="G45" s="37">
        <f t="shared" si="13"/>
        <v>20.79</v>
      </c>
      <c r="I45" s="38">
        <f t="shared" si="0"/>
        <v>3.8885000000000001</v>
      </c>
      <c r="K45" s="38">
        <f t="shared" si="1"/>
        <v>8.5216999999999992</v>
      </c>
      <c r="M45" s="38">
        <f t="shared" si="2"/>
        <v>7.8025200000000012</v>
      </c>
      <c r="O45" s="38">
        <f t="shared" si="3"/>
        <v>7.2972900000000003</v>
      </c>
      <c r="Q45" s="38">
        <f t="shared" si="4"/>
        <v>20.79</v>
      </c>
      <c r="S45" s="38">
        <v>3.5349999999999997</v>
      </c>
      <c r="T45" s="38">
        <v>7.746999999999999</v>
      </c>
      <c r="U45" s="38">
        <v>7.0932000000000004</v>
      </c>
      <c r="V45" s="38">
        <v>6.6338999999999997</v>
      </c>
      <c r="W45" s="38">
        <v>18.899999999999999</v>
      </c>
    </row>
    <row r="46" spans="1:23" ht="15.6" outlineLevel="2">
      <c r="A46" s="28" t="s">
        <v>1649</v>
      </c>
      <c r="B46" s="43" t="s">
        <v>1650</v>
      </c>
      <c r="C46" s="39" t="s">
        <v>253</v>
      </c>
      <c r="E46" s="37">
        <f t="shared" si="11"/>
        <v>4.8455000000000004</v>
      </c>
      <c r="F46" s="37">
        <f t="shared" si="12"/>
        <v>11.822711999999999</v>
      </c>
      <c r="G46" s="37">
        <f t="shared" si="13"/>
        <v>26.103000000000002</v>
      </c>
      <c r="I46" s="38">
        <f t="shared" si="0"/>
        <v>4.8455000000000004</v>
      </c>
      <c r="K46" s="38">
        <f t="shared" si="1"/>
        <v>9.5550400000000018</v>
      </c>
      <c r="M46" s="38">
        <f t="shared" si="2"/>
        <v>9.8366399999999992</v>
      </c>
      <c r="O46" s="38">
        <f t="shared" si="3"/>
        <v>8.7733799999999995</v>
      </c>
      <c r="Q46" s="38">
        <f t="shared" si="4"/>
        <v>26.103000000000002</v>
      </c>
      <c r="S46" s="38">
        <v>4.4050000000000002</v>
      </c>
      <c r="T46" s="38">
        <v>8.6864000000000008</v>
      </c>
      <c r="U46" s="38">
        <v>8.9423999999999992</v>
      </c>
      <c r="V46" s="38">
        <v>7.9757999999999996</v>
      </c>
      <c r="W46" s="38">
        <v>23.73</v>
      </c>
    </row>
    <row r="47" spans="1:23" ht="15.6" outlineLevel="2">
      <c r="A47" s="45" t="s">
        <v>1651</v>
      </c>
      <c r="B47" s="43" t="s">
        <v>1652</v>
      </c>
      <c r="C47" s="46" t="s">
        <v>253</v>
      </c>
      <c r="E47" s="37">
        <f t="shared" si="11"/>
        <v>6.7815000000000003</v>
      </c>
      <c r="F47" s="37">
        <f t="shared" si="12"/>
        <v>15.236606</v>
      </c>
      <c r="G47" s="37">
        <f t="shared" si="13"/>
        <v>32.637000000000008</v>
      </c>
      <c r="I47" s="38">
        <f t="shared" si="0"/>
        <v>6.7815000000000003</v>
      </c>
      <c r="K47" s="38">
        <f t="shared" si="1"/>
        <v>11.849860000000001</v>
      </c>
      <c r="M47" s="38">
        <f t="shared" si="2"/>
        <v>13.08516</v>
      </c>
      <c r="O47" s="38">
        <f t="shared" si="3"/>
        <v>11.829510000000001</v>
      </c>
      <c r="Q47" s="38">
        <f t="shared" si="4"/>
        <v>32.637000000000008</v>
      </c>
      <c r="S47" s="38">
        <v>6.165</v>
      </c>
      <c r="T47" s="38">
        <v>10.772600000000001</v>
      </c>
      <c r="U47" s="38">
        <v>11.8956</v>
      </c>
      <c r="V47" s="38">
        <v>10.754099999999999</v>
      </c>
      <c r="W47" s="38">
        <v>29.67</v>
      </c>
    </row>
    <row r="48" spans="1:23" ht="15.6" outlineLevel="2">
      <c r="A48" s="28" t="s">
        <v>1653</v>
      </c>
      <c r="B48" s="43" t="s">
        <v>1654</v>
      </c>
      <c r="C48" s="40" t="s">
        <v>253</v>
      </c>
      <c r="E48" s="37">
        <f t="shared" si="11"/>
        <v>11.880000000000003</v>
      </c>
      <c r="F48" s="37">
        <f t="shared" si="12"/>
        <v>27.644385999999997</v>
      </c>
      <c r="G48" s="37">
        <f t="shared" si="13"/>
        <v>66.396000000000001</v>
      </c>
      <c r="I48" s="38">
        <f t="shared" si="0"/>
        <v>11.880000000000003</v>
      </c>
      <c r="K48" s="38">
        <f t="shared" si="1"/>
        <v>16.667640000000002</v>
      </c>
      <c r="M48" s="38">
        <f t="shared" si="2"/>
        <v>22.467500000000001</v>
      </c>
      <c r="O48" s="38">
        <f t="shared" si="3"/>
        <v>20.810789999999997</v>
      </c>
      <c r="Q48" s="38">
        <f t="shared" si="4"/>
        <v>66.396000000000001</v>
      </c>
      <c r="S48" s="38">
        <v>10.8</v>
      </c>
      <c r="T48" s="38">
        <v>15.1524</v>
      </c>
      <c r="U48" s="38">
        <v>20.425000000000001</v>
      </c>
      <c r="V48" s="38">
        <v>18.918899999999997</v>
      </c>
      <c r="W48" s="38">
        <v>60.36</v>
      </c>
    </row>
    <row r="49" spans="1:23" ht="15.6" outlineLevel="2">
      <c r="A49" s="28" t="s">
        <v>1655</v>
      </c>
      <c r="B49" s="43" t="s">
        <v>1656</v>
      </c>
      <c r="C49" s="40" t="s">
        <v>253</v>
      </c>
      <c r="E49" s="37">
        <f t="shared" si="11"/>
        <v>12.765500000000001</v>
      </c>
      <c r="F49" s="37">
        <f t="shared" si="12"/>
        <v>37.100250000000003</v>
      </c>
      <c r="G49" s="37">
        <f t="shared" si="13"/>
        <v>96.558000000000007</v>
      </c>
      <c r="I49" s="38">
        <f t="shared" si="0"/>
        <v>12.765500000000001</v>
      </c>
      <c r="K49" s="38">
        <f t="shared" si="1"/>
        <v>28.611440000000002</v>
      </c>
      <c r="M49" s="38">
        <f t="shared" si="2"/>
        <v>24.926000000000002</v>
      </c>
      <c r="O49" s="38">
        <f t="shared" si="3"/>
        <v>22.640309999999999</v>
      </c>
      <c r="Q49" s="38">
        <f t="shared" si="4"/>
        <v>96.558000000000007</v>
      </c>
      <c r="S49" s="38">
        <v>11.605</v>
      </c>
      <c r="T49" s="38">
        <v>26.010400000000001</v>
      </c>
      <c r="U49" s="38">
        <v>22.66</v>
      </c>
      <c r="V49" s="38">
        <v>20.582099999999997</v>
      </c>
      <c r="W49" s="38">
        <v>87.78</v>
      </c>
    </row>
    <row r="50" spans="1:23" ht="15.6" outlineLevel="2">
      <c r="A50" s="28" t="s">
        <v>1657</v>
      </c>
      <c r="B50" s="43" t="s">
        <v>1658</v>
      </c>
      <c r="C50" s="40" t="s">
        <v>253</v>
      </c>
      <c r="E50" s="37">
        <f t="shared" si="11"/>
        <v>19.145499999999998</v>
      </c>
      <c r="F50" s="37">
        <f t="shared" si="12"/>
        <v>66.529122000000001</v>
      </c>
      <c r="G50" s="37">
        <f t="shared" si="13"/>
        <v>136.29</v>
      </c>
      <c r="I50" s="38">
        <f t="shared" si="0"/>
        <v>19.145499999999998</v>
      </c>
      <c r="K50" s="38">
        <f t="shared" si="1"/>
        <v>40.219739999999994</v>
      </c>
      <c r="M50" s="38">
        <f t="shared" si="2"/>
        <v>71.439499999999995</v>
      </c>
      <c r="O50" s="38">
        <f t="shared" si="3"/>
        <v>65.550870000000003</v>
      </c>
      <c r="Q50" s="38">
        <f t="shared" si="4"/>
        <v>136.29</v>
      </c>
      <c r="S50" s="38">
        <v>17.404999999999998</v>
      </c>
      <c r="T50" s="38">
        <v>36.563399999999994</v>
      </c>
      <c r="U50" s="38">
        <v>64.944999999999993</v>
      </c>
      <c r="V50" s="38">
        <v>59.591699999999996</v>
      </c>
      <c r="W50" s="38">
        <v>123.89999999999999</v>
      </c>
    </row>
    <row r="51" spans="1:23" ht="15" outlineLevel="1">
      <c r="A51" s="44" t="s">
        <v>1659</v>
      </c>
      <c r="B51" s="32" t="s">
        <v>1660</v>
      </c>
      <c r="C51" s="31"/>
      <c r="I51" t="str">
        <f t="shared" si="0"/>
        <v/>
      </c>
      <c r="K51" t="str">
        <f t="shared" si="1"/>
        <v/>
      </c>
      <c r="M51" t="str">
        <f t="shared" si="2"/>
        <v/>
      </c>
      <c r="O51" t="str">
        <f t="shared" si="3"/>
        <v/>
      </c>
      <c r="Q51" t="str">
        <f t="shared" si="4"/>
        <v/>
      </c>
      <c r="T51"/>
      <c r="U51"/>
      <c r="V51"/>
      <c r="W51"/>
    </row>
    <row r="52" spans="1:23" ht="15.6" outlineLevel="2">
      <c r="A52" s="28" t="s">
        <v>1661</v>
      </c>
      <c r="B52" s="43" t="s">
        <v>1662</v>
      </c>
      <c r="C52" s="46" t="s">
        <v>253</v>
      </c>
      <c r="E52" s="37">
        <f>MIN(I52,K52,M52,O52,Q52)</f>
        <v>4.1965000000000003</v>
      </c>
      <c r="F52" s="37">
        <f>AVERAGE(I52,K52,M52,O52,Q52)</f>
        <v>6.3027360000000003</v>
      </c>
      <c r="G52" s="37">
        <f>MAX(I52,K52,M52,O52,Q52)</f>
        <v>9.2399999999999984</v>
      </c>
      <c r="I52" s="38">
        <f t="shared" si="0"/>
        <v>4.1965000000000003</v>
      </c>
      <c r="K52" s="38">
        <f t="shared" si="1"/>
        <v>4.81778</v>
      </c>
      <c r="M52" s="38">
        <f t="shared" si="2"/>
        <v>7.438200000000001</v>
      </c>
      <c r="O52" s="38">
        <f t="shared" si="3"/>
        <v>5.8212000000000002</v>
      </c>
      <c r="Q52" s="38">
        <f t="shared" si="4"/>
        <v>9.2399999999999984</v>
      </c>
      <c r="S52" s="38">
        <v>3.8149999999999999</v>
      </c>
      <c r="T52" s="38">
        <v>4.3797999999999995</v>
      </c>
      <c r="U52" s="38">
        <v>6.7620000000000005</v>
      </c>
      <c r="V52" s="38">
        <v>5.2919999999999998</v>
      </c>
      <c r="W52" s="38">
        <v>8.3999999999999986</v>
      </c>
    </row>
    <row r="53" spans="1:23" ht="15.6" outlineLevel="2">
      <c r="A53" s="28" t="s">
        <v>1663</v>
      </c>
      <c r="B53" s="43" t="s">
        <v>1664</v>
      </c>
      <c r="C53" s="40" t="s">
        <v>253</v>
      </c>
      <c r="E53" s="37">
        <f>MIN(I53,K53,M53,O53,Q53)</f>
        <v>4.4440000000000008</v>
      </c>
      <c r="F53" s="37">
        <f>AVERAGE(I53,K53,M53,O53,Q53)</f>
        <v>7.5797920000000003</v>
      </c>
      <c r="G53" s="37">
        <f>MAX(I53,K53,M53,O53,Q53)</f>
        <v>11.22</v>
      </c>
      <c r="I53" s="38">
        <f t="shared" si="0"/>
        <v>4.4440000000000008</v>
      </c>
      <c r="K53" s="38">
        <f t="shared" si="1"/>
        <v>6.7368399999999999</v>
      </c>
      <c r="M53" s="38">
        <f t="shared" si="2"/>
        <v>7.6810800000000006</v>
      </c>
      <c r="O53" s="38">
        <f t="shared" si="3"/>
        <v>7.8170399999999995</v>
      </c>
      <c r="Q53" s="38">
        <f t="shared" si="4"/>
        <v>11.22</v>
      </c>
      <c r="S53" s="38">
        <v>4.04</v>
      </c>
      <c r="T53" s="38">
        <v>6.1243999999999996</v>
      </c>
      <c r="U53" s="38">
        <v>6.9828000000000001</v>
      </c>
      <c r="V53" s="38">
        <v>7.1063999999999989</v>
      </c>
      <c r="W53" s="38">
        <v>10.199999999999999</v>
      </c>
    </row>
    <row r="54" spans="1:23" ht="15.6" outlineLevel="2">
      <c r="A54" s="28" t="s">
        <v>1665</v>
      </c>
      <c r="B54" s="43" t="s">
        <v>1666</v>
      </c>
      <c r="C54" s="40" t="s">
        <v>253</v>
      </c>
      <c r="E54" s="37">
        <f>MIN(I54,K54,M54,O54,Q54)</f>
        <v>5.5164999999999997</v>
      </c>
      <c r="F54" s="37">
        <f>AVERAGE(I54,K54,M54,O54,Q54)</f>
        <v>9.9538120000000028</v>
      </c>
      <c r="G54" s="37">
        <f>MAX(I54,K54,M54,O54,Q54)</f>
        <v>15.510000000000003</v>
      </c>
      <c r="I54" s="38">
        <f t="shared" si="0"/>
        <v>5.5164999999999997</v>
      </c>
      <c r="K54" s="38">
        <f t="shared" si="1"/>
        <v>9.3537400000000002</v>
      </c>
      <c r="M54" s="38">
        <f t="shared" si="2"/>
        <v>9.8670000000000009</v>
      </c>
      <c r="O54" s="38">
        <f t="shared" si="3"/>
        <v>9.5218200000000017</v>
      </c>
      <c r="Q54" s="38">
        <f t="shared" si="4"/>
        <v>15.510000000000003</v>
      </c>
      <c r="S54" s="38">
        <v>5.0149999999999997</v>
      </c>
      <c r="T54" s="38">
        <v>8.5033999999999992</v>
      </c>
      <c r="U54" s="38">
        <v>8.9700000000000006</v>
      </c>
      <c r="V54" s="38">
        <v>8.6562000000000001</v>
      </c>
      <c r="W54" s="38">
        <v>14.100000000000001</v>
      </c>
    </row>
    <row r="55" spans="1:23" ht="15.6" outlineLevel="2">
      <c r="A55" s="28" t="s">
        <v>1667</v>
      </c>
      <c r="B55" s="43" t="s">
        <v>1668</v>
      </c>
      <c r="C55" s="40" t="s">
        <v>253</v>
      </c>
      <c r="E55" s="37">
        <f>MIN(I55,K55,M55,O55,Q55)</f>
        <v>6.8035000000000005</v>
      </c>
      <c r="F55" s="37">
        <f>AVERAGE(I55,K55,M55,O55,Q55)</f>
        <v>22.944438000000002</v>
      </c>
      <c r="G55" s="37">
        <f>MAX(I55,K55,M55,O55,Q55)</f>
        <v>56.166000000000004</v>
      </c>
      <c r="I55" s="38">
        <f t="shared" si="0"/>
        <v>6.8035000000000005</v>
      </c>
      <c r="K55" s="38">
        <f t="shared" si="1"/>
        <v>13.79576</v>
      </c>
      <c r="M55" s="38">
        <f t="shared" si="2"/>
        <v>56.166000000000004</v>
      </c>
      <c r="O55" s="38">
        <f t="shared" si="3"/>
        <v>13.86693</v>
      </c>
      <c r="Q55" s="38">
        <f t="shared" si="4"/>
        <v>24.09</v>
      </c>
      <c r="S55" s="38">
        <v>6.1849999999999996</v>
      </c>
      <c r="T55" s="38">
        <v>12.541599999999999</v>
      </c>
      <c r="U55" s="38">
        <v>51.06</v>
      </c>
      <c r="V55" s="38">
        <v>12.606299999999999</v>
      </c>
      <c r="W55" s="38">
        <v>21.9</v>
      </c>
    </row>
    <row r="56" spans="1:23" ht="15" outlineLevel="1">
      <c r="A56" s="44" t="s">
        <v>1669</v>
      </c>
      <c r="B56" s="32" t="s">
        <v>1670</v>
      </c>
      <c r="C56" s="31"/>
      <c r="I56" t="str">
        <f t="shared" si="0"/>
        <v/>
      </c>
      <c r="K56" t="str">
        <f t="shared" si="1"/>
        <v/>
      </c>
      <c r="M56" t="str">
        <f t="shared" si="2"/>
        <v/>
      </c>
      <c r="O56" t="str">
        <f t="shared" si="3"/>
        <v/>
      </c>
      <c r="Q56" t="str">
        <f t="shared" si="4"/>
        <v/>
      </c>
      <c r="T56"/>
      <c r="U56"/>
      <c r="V56"/>
      <c r="W56"/>
    </row>
    <row r="57" spans="1:23" ht="15.6" outlineLevel="2">
      <c r="A57" s="28" t="s">
        <v>1671</v>
      </c>
      <c r="B57" s="43" t="s">
        <v>1672</v>
      </c>
      <c r="C57" s="46" t="s">
        <v>253</v>
      </c>
      <c r="E57" s="37">
        <f>MIN(I57,K57,M57,O57,Q57)</f>
        <v>16.715159999999997</v>
      </c>
      <c r="F57" s="37">
        <f>AVERAGE(I57,K57,M57,O57,Q57)</f>
        <v>77.361283999999998</v>
      </c>
      <c r="G57" s="37">
        <f>MAX(I57,K57,M57,O57,Q57)</f>
        <v>284.625</v>
      </c>
      <c r="I57" s="38">
        <f t="shared" si="0"/>
        <v>18.348000000000003</v>
      </c>
      <c r="K57" s="38">
        <f t="shared" si="1"/>
        <v>21.512260000000001</v>
      </c>
      <c r="M57" s="38">
        <f t="shared" si="2"/>
        <v>284.625</v>
      </c>
      <c r="O57" s="38">
        <f t="shared" si="3"/>
        <v>16.715159999999997</v>
      </c>
      <c r="Q57" s="38">
        <f t="shared" si="4"/>
        <v>45.606000000000002</v>
      </c>
      <c r="S57" s="38">
        <v>16.68</v>
      </c>
      <c r="T57" s="38">
        <v>19.5566</v>
      </c>
      <c r="U57" s="38">
        <v>258.75</v>
      </c>
      <c r="V57" s="38">
        <v>15.195599999999997</v>
      </c>
      <c r="W57" s="38">
        <v>41.46</v>
      </c>
    </row>
    <row r="58" spans="1:23" ht="15.6" outlineLevel="2">
      <c r="A58" s="28" t="s">
        <v>1673</v>
      </c>
      <c r="B58" s="43" t="s">
        <v>1674</v>
      </c>
      <c r="C58" s="40" t="s">
        <v>253</v>
      </c>
      <c r="E58" s="37">
        <f>MIN(I58,K58,M58,O58,Q58)</f>
        <v>4.7575000000000003</v>
      </c>
      <c r="F58" s="37">
        <f>AVERAGE(I58,K58,M58,O58,Q58)</f>
        <v>14.901524</v>
      </c>
      <c r="G58" s="37">
        <f>MAX(I58,K58,M58,O58,Q58)</f>
        <v>32.802</v>
      </c>
      <c r="I58" s="38">
        <f t="shared" si="0"/>
        <v>4.7575000000000003</v>
      </c>
      <c r="K58" s="38">
        <f t="shared" si="1"/>
        <v>8.1861999999999995</v>
      </c>
      <c r="M58" s="38">
        <f t="shared" si="2"/>
        <v>16.121600000000001</v>
      </c>
      <c r="O58" s="38">
        <f t="shared" si="3"/>
        <v>12.640320000000001</v>
      </c>
      <c r="Q58" s="38">
        <f t="shared" si="4"/>
        <v>32.802</v>
      </c>
      <c r="S58" s="38">
        <v>4.3250000000000002</v>
      </c>
      <c r="T58" s="38">
        <v>7.4419999999999993</v>
      </c>
      <c r="U58" s="38">
        <v>14.656000000000001</v>
      </c>
      <c r="V58" s="38">
        <v>11.491199999999999</v>
      </c>
      <c r="W58" s="38">
        <v>29.82</v>
      </c>
    </row>
    <row r="59" spans="1:23" ht="15.6" outlineLevel="2">
      <c r="A59" s="28" t="s">
        <v>1675</v>
      </c>
      <c r="B59" s="43" t="s">
        <v>1676</v>
      </c>
      <c r="C59" s="40" t="s">
        <v>253</v>
      </c>
      <c r="E59" s="37">
        <f>MIN(I59,K59,M59,O59,Q59)</f>
        <v>5.1801200000000005</v>
      </c>
      <c r="F59" s="37">
        <f>AVERAGE(I59,K59,M59,O59,Q59)</f>
        <v>10.569834</v>
      </c>
      <c r="G59" s="37">
        <f>MAX(I59,K59,M59,O59,Q59)</f>
        <v>22.736999999999998</v>
      </c>
      <c r="I59" s="38">
        <f t="shared" si="0"/>
        <v>6.6935000000000002</v>
      </c>
      <c r="K59" s="38">
        <f t="shared" si="1"/>
        <v>5.1801200000000005</v>
      </c>
      <c r="M59" s="38">
        <f t="shared" si="2"/>
        <v>12.417350000000001</v>
      </c>
      <c r="O59" s="38">
        <f t="shared" si="3"/>
        <v>5.8212000000000002</v>
      </c>
      <c r="Q59" s="38">
        <f t="shared" si="4"/>
        <v>22.736999999999998</v>
      </c>
      <c r="S59" s="38">
        <v>6.085</v>
      </c>
      <c r="T59" s="38">
        <v>4.7092000000000001</v>
      </c>
      <c r="U59" s="38">
        <v>11.288499999999999</v>
      </c>
      <c r="V59" s="38">
        <v>5.2919999999999998</v>
      </c>
      <c r="W59" s="38">
        <v>20.669999999999998</v>
      </c>
    </row>
    <row r="60" spans="1:23" ht="15" outlineLevel="1">
      <c r="A60" s="44" t="s">
        <v>1677</v>
      </c>
      <c r="B60" s="32" t="s">
        <v>1678</v>
      </c>
      <c r="C60" s="31"/>
      <c r="I60" t="str">
        <f t="shared" si="0"/>
        <v/>
      </c>
      <c r="K60" t="str">
        <f t="shared" si="1"/>
        <v/>
      </c>
      <c r="M60" t="str">
        <f t="shared" si="2"/>
        <v/>
      </c>
      <c r="O60" t="str">
        <f t="shared" si="3"/>
        <v/>
      </c>
      <c r="Q60" t="str">
        <f t="shared" si="4"/>
        <v/>
      </c>
      <c r="T60"/>
      <c r="U60"/>
      <c r="V60"/>
      <c r="W60"/>
    </row>
    <row r="61" spans="1:23" ht="15.6" outlineLevel="2">
      <c r="A61" s="28" t="s">
        <v>1679</v>
      </c>
      <c r="B61" s="43" t="s">
        <v>1680</v>
      </c>
      <c r="C61" s="46" t="s">
        <v>253</v>
      </c>
      <c r="E61" s="37">
        <f t="shared" ref="E61:E72" si="14">MIN(I61,K61,M61,O61,Q61)</f>
        <v>1.7879400000000001</v>
      </c>
      <c r="F61" s="37">
        <f t="shared" ref="F61:F72" si="15">AVERAGE(I61,K61,M61,O61,Q61)</f>
        <v>2.9962680000000006</v>
      </c>
      <c r="G61" s="37">
        <f t="shared" ref="G61:G72" si="16">MAX(I61,K61,M61,O61,Q61)</f>
        <v>4.4286000000000003</v>
      </c>
      <c r="I61" s="38">
        <f t="shared" si="0"/>
        <v>2.2440000000000002</v>
      </c>
      <c r="K61" s="38">
        <f t="shared" si="1"/>
        <v>4.4286000000000003</v>
      </c>
      <c r="M61" s="38">
        <f t="shared" si="2"/>
        <v>2.4287999999999998</v>
      </c>
      <c r="O61" s="38">
        <f t="shared" si="3"/>
        <v>1.7879400000000001</v>
      </c>
      <c r="Q61" s="38">
        <f t="shared" si="4"/>
        <v>4.0919999999999996</v>
      </c>
      <c r="S61" s="38">
        <v>2.04</v>
      </c>
      <c r="T61" s="38">
        <v>4.0259999999999998</v>
      </c>
      <c r="U61" s="38">
        <v>2.2079999999999997</v>
      </c>
      <c r="V61" s="38">
        <v>1.6254</v>
      </c>
      <c r="W61" s="38">
        <v>3.7199999999999998</v>
      </c>
    </row>
    <row r="62" spans="1:23" ht="15.6" outlineLevel="2">
      <c r="A62" s="28" t="s">
        <v>1681</v>
      </c>
      <c r="B62" s="43" t="s">
        <v>1682</v>
      </c>
      <c r="C62" s="40" t="s">
        <v>253</v>
      </c>
      <c r="E62" s="37">
        <f t="shared" si="14"/>
        <v>2.7005000000000003</v>
      </c>
      <c r="F62" s="37">
        <f t="shared" si="15"/>
        <v>5.4901440000000008</v>
      </c>
      <c r="G62" s="37">
        <f t="shared" si="16"/>
        <v>10.92388</v>
      </c>
      <c r="I62" s="38">
        <f t="shared" si="0"/>
        <v>2.7005000000000003</v>
      </c>
      <c r="K62" s="38">
        <f t="shared" si="1"/>
        <v>10.92388</v>
      </c>
      <c r="M62" s="38">
        <f t="shared" si="2"/>
        <v>3.7950000000000004</v>
      </c>
      <c r="O62" s="38">
        <f t="shared" si="3"/>
        <v>3.0353400000000001</v>
      </c>
      <c r="Q62" s="38">
        <f t="shared" si="4"/>
        <v>6.9960000000000013</v>
      </c>
      <c r="S62" s="38">
        <v>2.4550000000000001</v>
      </c>
      <c r="T62" s="38">
        <v>9.9307999999999996</v>
      </c>
      <c r="U62" s="38">
        <v>3.45</v>
      </c>
      <c r="V62" s="38">
        <v>2.7593999999999999</v>
      </c>
      <c r="W62" s="38">
        <v>6.36</v>
      </c>
    </row>
    <row r="63" spans="1:23" ht="15.6" outlineLevel="2">
      <c r="A63" s="28" t="s">
        <v>1683</v>
      </c>
      <c r="B63" s="43" t="s">
        <v>1684</v>
      </c>
      <c r="C63" s="46" t="s">
        <v>253</v>
      </c>
      <c r="E63" s="37">
        <f t="shared" si="14"/>
        <v>2.9315000000000002</v>
      </c>
      <c r="F63" s="37">
        <f t="shared" si="15"/>
        <v>7.496456000000002</v>
      </c>
      <c r="G63" s="37">
        <f t="shared" si="16"/>
        <v>15.043820000000002</v>
      </c>
      <c r="I63" s="38">
        <f t="shared" si="0"/>
        <v>2.9315000000000002</v>
      </c>
      <c r="K63" s="38">
        <f t="shared" si="1"/>
        <v>15.043820000000002</v>
      </c>
      <c r="M63" s="38">
        <f t="shared" si="2"/>
        <v>5.3130000000000006</v>
      </c>
      <c r="O63" s="38">
        <f t="shared" si="3"/>
        <v>4.6569600000000007</v>
      </c>
      <c r="Q63" s="38">
        <f t="shared" si="4"/>
        <v>9.5370000000000008</v>
      </c>
      <c r="S63" s="38">
        <v>2.665</v>
      </c>
      <c r="T63" s="38">
        <v>13.676200000000001</v>
      </c>
      <c r="U63" s="38">
        <v>4.83</v>
      </c>
      <c r="V63" s="38">
        <v>4.2336</v>
      </c>
      <c r="W63" s="38">
        <v>8.67</v>
      </c>
    </row>
    <row r="64" spans="1:23" ht="15.6" outlineLevel="2">
      <c r="A64" s="28" t="s">
        <v>1685</v>
      </c>
      <c r="B64" s="43" t="s">
        <v>1686</v>
      </c>
      <c r="C64" s="39" t="s">
        <v>253</v>
      </c>
      <c r="E64" s="37">
        <f t="shared" si="14"/>
        <v>3.2725000000000004</v>
      </c>
      <c r="F64" s="37">
        <f t="shared" si="15"/>
        <v>8.8861960000000018</v>
      </c>
      <c r="G64" s="37">
        <f t="shared" si="16"/>
        <v>17.768080000000001</v>
      </c>
      <c r="I64" s="38">
        <f t="shared" si="0"/>
        <v>3.2725000000000004</v>
      </c>
      <c r="K64" s="38">
        <f t="shared" si="1"/>
        <v>17.768080000000001</v>
      </c>
      <c r="M64" s="38">
        <f t="shared" si="2"/>
        <v>6.6792000000000007</v>
      </c>
      <c r="O64" s="38">
        <f t="shared" si="3"/>
        <v>5.8212000000000002</v>
      </c>
      <c r="Q64" s="38">
        <f t="shared" si="4"/>
        <v>10.889999999999999</v>
      </c>
      <c r="S64" s="38">
        <v>2.9750000000000001</v>
      </c>
      <c r="T64" s="38">
        <v>16.152799999999999</v>
      </c>
      <c r="U64" s="38">
        <v>6.0720000000000001</v>
      </c>
      <c r="V64" s="38">
        <v>5.2919999999999998</v>
      </c>
      <c r="W64" s="38">
        <v>9.8999999999999986</v>
      </c>
    </row>
    <row r="65" spans="1:23" ht="15.6" outlineLevel="2">
      <c r="A65" s="28" t="s">
        <v>1687</v>
      </c>
      <c r="B65" s="43" t="s">
        <v>1688</v>
      </c>
      <c r="C65" s="46" t="s">
        <v>253</v>
      </c>
      <c r="E65" s="37">
        <f t="shared" si="14"/>
        <v>4.07</v>
      </c>
      <c r="F65" s="37">
        <f t="shared" si="15"/>
        <v>12.099120000000003</v>
      </c>
      <c r="G65" s="37">
        <f t="shared" si="16"/>
        <v>21.874600000000001</v>
      </c>
      <c r="I65" s="38">
        <f t="shared" si="0"/>
        <v>4.07</v>
      </c>
      <c r="K65" s="38">
        <f t="shared" si="1"/>
        <v>21.874600000000001</v>
      </c>
      <c r="M65" s="38">
        <f t="shared" si="2"/>
        <v>9.7152000000000012</v>
      </c>
      <c r="O65" s="38">
        <f t="shared" si="3"/>
        <v>8.7317999999999998</v>
      </c>
      <c r="Q65" s="38">
        <f t="shared" si="4"/>
        <v>16.104000000000003</v>
      </c>
      <c r="S65" s="38">
        <v>3.6999999999999997</v>
      </c>
      <c r="T65" s="38">
        <v>19.885999999999999</v>
      </c>
      <c r="U65" s="38">
        <v>8.8320000000000007</v>
      </c>
      <c r="V65" s="38">
        <v>7.9379999999999997</v>
      </c>
      <c r="W65" s="38">
        <v>14.64</v>
      </c>
    </row>
    <row r="66" spans="1:23" ht="15.6" outlineLevel="2">
      <c r="A66" s="28" t="s">
        <v>1689</v>
      </c>
      <c r="B66" s="43" t="s">
        <v>1690</v>
      </c>
      <c r="C66" s="40" t="s">
        <v>253</v>
      </c>
      <c r="E66" s="37">
        <f t="shared" si="14"/>
        <v>7.1830000000000007</v>
      </c>
      <c r="F66" s="37">
        <f t="shared" si="15"/>
        <v>22.598224000000005</v>
      </c>
      <c r="G66" s="37">
        <f t="shared" si="16"/>
        <v>37.02600000000001</v>
      </c>
      <c r="I66" s="38">
        <f t="shared" si="0"/>
        <v>7.1830000000000007</v>
      </c>
      <c r="K66" s="38">
        <f t="shared" si="1"/>
        <v>28.195420000000002</v>
      </c>
      <c r="M66" s="38">
        <f t="shared" si="2"/>
        <v>21.252000000000002</v>
      </c>
      <c r="O66" s="38">
        <f t="shared" si="3"/>
        <v>19.334700000000005</v>
      </c>
      <c r="Q66" s="38">
        <f t="shared" si="4"/>
        <v>37.02600000000001</v>
      </c>
      <c r="S66" s="38">
        <v>6.53</v>
      </c>
      <c r="T66" s="38">
        <v>25.632200000000001</v>
      </c>
      <c r="U66" s="38">
        <v>19.32</v>
      </c>
      <c r="V66" s="38">
        <v>17.577000000000002</v>
      </c>
      <c r="W66" s="38">
        <v>33.660000000000004</v>
      </c>
    </row>
    <row r="67" spans="1:23" ht="15.6" outlineLevel="2">
      <c r="A67" s="28" t="s">
        <v>1691</v>
      </c>
      <c r="B67" s="43" t="s">
        <v>1692</v>
      </c>
      <c r="C67" s="39" t="s">
        <v>253</v>
      </c>
      <c r="E67" s="37">
        <f t="shared" si="14"/>
        <v>2.3284800000000003</v>
      </c>
      <c r="F67" s="37">
        <f t="shared" si="15"/>
        <v>3.5750000000000002</v>
      </c>
      <c r="G67" s="37">
        <f t="shared" si="16"/>
        <v>5.1479999999999997</v>
      </c>
      <c r="I67" s="38">
        <f t="shared" si="0"/>
        <v>3.0415000000000001</v>
      </c>
      <c r="K67" s="38">
        <f t="shared" si="1"/>
        <v>4.4420200000000003</v>
      </c>
      <c r="M67" s="38">
        <f t="shared" si="2"/>
        <v>2.915</v>
      </c>
      <c r="O67" s="38">
        <f t="shared" si="3"/>
        <v>2.3284800000000003</v>
      </c>
      <c r="Q67" s="38">
        <f t="shared" si="4"/>
        <v>5.1479999999999997</v>
      </c>
      <c r="S67" s="38">
        <v>2.7649999999999997</v>
      </c>
      <c r="T67" s="38">
        <v>4.0381999999999998</v>
      </c>
      <c r="U67" s="38">
        <v>2.65</v>
      </c>
      <c r="V67" s="38">
        <v>2.1168</v>
      </c>
      <c r="W67" s="38">
        <v>4.68</v>
      </c>
    </row>
    <row r="68" spans="1:23" ht="15.6" outlineLevel="2">
      <c r="A68" s="28" t="s">
        <v>1693</v>
      </c>
      <c r="B68" s="43" t="s">
        <v>1694</v>
      </c>
      <c r="C68" s="39" t="s">
        <v>253</v>
      </c>
      <c r="E68" s="37">
        <f t="shared" si="14"/>
        <v>3.4979999999999998</v>
      </c>
      <c r="F68" s="37">
        <f t="shared" si="15"/>
        <v>6.3647320000000001</v>
      </c>
      <c r="G68" s="37">
        <f t="shared" si="16"/>
        <v>10.97756</v>
      </c>
      <c r="I68" s="38">
        <f t="shared" ref="I68:I131" si="17" xml:space="preserve"> IF(ISBLANK(S68),"",_k_EIFFAGE * S68)</f>
        <v>3.4979999999999998</v>
      </c>
      <c r="K68" s="38">
        <f t="shared" ref="K68:K131" si="18" xml:space="preserve"> IF(ISBLANK(T68),"",_k_ERI * T68)</f>
        <v>10.97756</v>
      </c>
      <c r="M68" s="38">
        <f t="shared" ref="M68:M131" si="19" xml:space="preserve"> IF(ISBLANK(U68),"",_k_INEO * U68)</f>
        <v>4.5540000000000003</v>
      </c>
      <c r="O68" s="38">
        <f t="shared" ref="O68:O131" si="20" xml:space="preserve"> IF(ISBLANK(V68),"",_k_SDEL * V68)</f>
        <v>3.9500999999999999</v>
      </c>
      <c r="Q68" s="38">
        <f t="shared" ref="Q68:Q131" si="21" xml:space="preserve"> IF(ISBLANK(W68),"",_k_SOGETREL * W68)</f>
        <v>8.8440000000000012</v>
      </c>
      <c r="S68" s="38">
        <v>3.1799999999999997</v>
      </c>
      <c r="T68" s="38">
        <v>9.9795999999999996</v>
      </c>
      <c r="U68" s="38">
        <v>4.1399999999999997</v>
      </c>
      <c r="V68" s="38">
        <v>3.5909999999999997</v>
      </c>
      <c r="W68" s="38">
        <v>8.0400000000000009</v>
      </c>
    </row>
    <row r="69" spans="1:23" ht="15.6" outlineLevel="2">
      <c r="A69" s="28" t="s">
        <v>1695</v>
      </c>
      <c r="B69" s="43" t="s">
        <v>1696</v>
      </c>
      <c r="C69" s="46" t="s">
        <v>253</v>
      </c>
      <c r="E69" s="37">
        <f t="shared" si="14"/>
        <v>3.7290000000000001</v>
      </c>
      <c r="F69" s="37">
        <f t="shared" si="15"/>
        <v>8.6620819999999998</v>
      </c>
      <c r="G69" s="37">
        <f t="shared" si="16"/>
        <v>15.11092</v>
      </c>
      <c r="I69" s="38">
        <f t="shared" si="17"/>
        <v>3.7290000000000001</v>
      </c>
      <c r="K69" s="38">
        <f t="shared" si="18"/>
        <v>15.11092</v>
      </c>
      <c r="M69" s="38">
        <f t="shared" si="19"/>
        <v>6.3756000000000004</v>
      </c>
      <c r="O69" s="38">
        <f t="shared" si="20"/>
        <v>6.0498900000000004</v>
      </c>
      <c r="Q69" s="38">
        <f t="shared" si="21"/>
        <v>12.045</v>
      </c>
      <c r="S69" s="38">
        <v>3.3899999999999997</v>
      </c>
      <c r="T69" s="38">
        <v>13.7372</v>
      </c>
      <c r="U69" s="38">
        <v>5.7960000000000003</v>
      </c>
      <c r="V69" s="38">
        <v>5.4999000000000002</v>
      </c>
      <c r="W69" s="38">
        <v>10.95</v>
      </c>
    </row>
    <row r="70" spans="1:23" ht="15.6" outlineLevel="2">
      <c r="A70" s="28" t="s">
        <v>1697</v>
      </c>
      <c r="B70" s="43" t="s">
        <v>1698</v>
      </c>
      <c r="C70" s="40" t="s">
        <v>253</v>
      </c>
      <c r="E70" s="37">
        <f t="shared" si="14"/>
        <v>4.8675000000000006</v>
      </c>
      <c r="F70" s="37">
        <f t="shared" si="15"/>
        <v>10.693056</v>
      </c>
      <c r="G70" s="37">
        <f t="shared" si="16"/>
        <v>17.835180000000001</v>
      </c>
      <c r="I70" s="38">
        <f t="shared" si="17"/>
        <v>4.8675000000000006</v>
      </c>
      <c r="K70" s="38">
        <f t="shared" si="18"/>
        <v>17.835180000000001</v>
      </c>
      <c r="M70" s="38">
        <f t="shared" si="19"/>
        <v>8.0150400000000008</v>
      </c>
      <c r="O70" s="38">
        <f t="shared" si="20"/>
        <v>7.5675600000000003</v>
      </c>
      <c r="Q70" s="38">
        <f t="shared" si="21"/>
        <v>15.18</v>
      </c>
      <c r="S70" s="38">
        <v>4.4249999999999998</v>
      </c>
      <c r="T70" s="38">
        <v>16.213799999999999</v>
      </c>
      <c r="U70" s="38">
        <v>7.2863999999999995</v>
      </c>
      <c r="V70" s="38">
        <v>6.8795999999999999</v>
      </c>
      <c r="W70" s="38">
        <v>13.799999999999999</v>
      </c>
    </row>
    <row r="71" spans="1:23" ht="15.6" outlineLevel="2">
      <c r="A71" s="28" t="s">
        <v>1699</v>
      </c>
      <c r="B71" s="43" t="s">
        <v>1700</v>
      </c>
      <c r="C71" s="40" t="s">
        <v>253</v>
      </c>
      <c r="E71" s="37">
        <f t="shared" si="14"/>
        <v>5.665</v>
      </c>
      <c r="F71" s="37">
        <f t="shared" si="15"/>
        <v>14.616624000000002</v>
      </c>
      <c r="G71" s="37">
        <f t="shared" si="16"/>
        <v>22.44</v>
      </c>
      <c r="I71" s="38">
        <f t="shared" si="17"/>
        <v>5.665</v>
      </c>
      <c r="K71" s="38">
        <f t="shared" si="18"/>
        <v>21.968540000000001</v>
      </c>
      <c r="M71" s="38">
        <f t="shared" si="19"/>
        <v>11.658240000000001</v>
      </c>
      <c r="O71" s="38">
        <f t="shared" si="20"/>
        <v>11.35134</v>
      </c>
      <c r="Q71" s="38">
        <f t="shared" si="21"/>
        <v>22.44</v>
      </c>
      <c r="S71" s="38">
        <v>5.1499999999999995</v>
      </c>
      <c r="T71" s="38">
        <v>19.971399999999999</v>
      </c>
      <c r="U71" s="38">
        <v>10.5984</v>
      </c>
      <c r="V71" s="38">
        <v>10.3194</v>
      </c>
      <c r="W71" s="38">
        <v>20.399999999999999</v>
      </c>
    </row>
    <row r="72" spans="1:23" ht="15.95" outlineLevel="2" thickBot="1">
      <c r="A72" s="28" t="s">
        <v>1701</v>
      </c>
      <c r="B72" s="43" t="s">
        <v>1702</v>
      </c>
      <c r="C72" s="40" t="s">
        <v>253</v>
      </c>
      <c r="E72" s="37">
        <f t="shared" si="14"/>
        <v>8.7780000000000005</v>
      </c>
      <c r="F72" s="37">
        <f t="shared" si="15"/>
        <v>27.533726000000001</v>
      </c>
      <c r="G72" s="37">
        <f t="shared" si="16"/>
        <v>46.827000000000005</v>
      </c>
      <c r="I72" s="38">
        <f t="shared" si="17"/>
        <v>8.7780000000000005</v>
      </c>
      <c r="K72" s="38">
        <f t="shared" si="18"/>
        <v>29.604519999999997</v>
      </c>
      <c r="M72" s="38">
        <f t="shared" si="19"/>
        <v>27.324000000000002</v>
      </c>
      <c r="O72" s="38">
        <f t="shared" si="20"/>
        <v>25.135110000000001</v>
      </c>
      <c r="Q72" s="38">
        <f t="shared" si="21"/>
        <v>46.827000000000005</v>
      </c>
      <c r="S72" s="38">
        <v>7.9799999999999995</v>
      </c>
      <c r="T72" s="38">
        <v>26.913199999999996</v>
      </c>
      <c r="U72" s="38">
        <v>24.84</v>
      </c>
      <c r="V72" s="38">
        <v>22.850099999999998</v>
      </c>
      <c r="W72" s="38">
        <v>42.57</v>
      </c>
    </row>
    <row r="73" spans="1:23" ht="15.6" thickBot="1">
      <c r="A73" s="24" t="s">
        <v>1703</v>
      </c>
      <c r="B73" s="23" t="s">
        <v>1704</v>
      </c>
      <c r="C73" s="24"/>
      <c r="I73" t="str">
        <f t="shared" si="17"/>
        <v/>
      </c>
      <c r="K73" t="str">
        <f t="shared" si="18"/>
        <v/>
      </c>
      <c r="M73" t="str">
        <f t="shared" si="19"/>
        <v/>
      </c>
      <c r="O73" t="str">
        <f t="shared" si="20"/>
        <v/>
      </c>
      <c r="Q73" t="str">
        <f t="shared" si="21"/>
        <v/>
      </c>
      <c r="T73"/>
      <c r="U73"/>
      <c r="V73"/>
      <c r="W73"/>
    </row>
    <row r="74" spans="1:23" ht="15" outlineLevel="1">
      <c r="A74" s="27" t="s">
        <v>1705</v>
      </c>
      <c r="B74" s="26" t="s">
        <v>1706</v>
      </c>
      <c r="C74" s="27"/>
      <c r="I74" t="str">
        <f t="shared" si="17"/>
        <v/>
      </c>
      <c r="K74" t="str">
        <f t="shared" si="18"/>
        <v/>
      </c>
      <c r="M74" t="str">
        <f t="shared" si="19"/>
        <v/>
      </c>
      <c r="O74" t="str">
        <f t="shared" si="20"/>
        <v/>
      </c>
      <c r="Q74" t="str">
        <f t="shared" si="21"/>
        <v/>
      </c>
      <c r="T74"/>
      <c r="U74"/>
      <c r="V74"/>
      <c r="W74"/>
    </row>
    <row r="75" spans="1:23" ht="15.6" outlineLevel="2">
      <c r="A75" s="47" t="s">
        <v>1707</v>
      </c>
      <c r="B75" s="48" t="s">
        <v>1708</v>
      </c>
      <c r="C75" s="47" t="s">
        <v>242</v>
      </c>
      <c r="E75" s="37">
        <f t="shared" ref="E75:E103" si="22">MIN(I75,K75,M75,O75,Q75)</f>
        <v>1178.4190000000003</v>
      </c>
      <c r="F75" s="37">
        <f t="shared" ref="F75:F103" si="23">AVERAGE(I75,K75,M75,O75,Q75)</f>
        <v>3555.0454500000005</v>
      </c>
      <c r="G75" s="37">
        <f t="shared" ref="G75:G103" si="24">MAX(I75,K75,M75,O75,Q75)</f>
        <v>6095.1</v>
      </c>
      <c r="I75" s="38">
        <f t="shared" si="17"/>
        <v>1178.4190000000003</v>
      </c>
      <c r="K75" s="38">
        <f t="shared" si="18"/>
        <v>2323.2703999999999</v>
      </c>
      <c r="M75" s="38">
        <f t="shared" si="19"/>
        <v>4614.72</v>
      </c>
      <c r="O75" s="38">
        <f t="shared" si="20"/>
        <v>3563.7178500000005</v>
      </c>
      <c r="Q75" s="38">
        <f t="shared" si="21"/>
        <v>6095.1</v>
      </c>
      <c r="S75" s="38">
        <v>1071.2900000000002</v>
      </c>
      <c r="T75" s="38">
        <v>2112.0639999999999</v>
      </c>
      <c r="U75" s="38">
        <v>4195.2</v>
      </c>
      <c r="V75" s="38">
        <v>3239.7435</v>
      </c>
      <c r="W75" s="38">
        <v>5541</v>
      </c>
    </row>
    <row r="76" spans="1:23" ht="15.6" outlineLevel="2">
      <c r="A76" s="49" t="s">
        <v>1709</v>
      </c>
      <c r="B76" s="48" t="s">
        <v>1710</v>
      </c>
      <c r="C76" s="49" t="s">
        <v>242</v>
      </c>
      <c r="E76" s="37">
        <f t="shared" si="22"/>
        <v>1297.6975000000002</v>
      </c>
      <c r="F76" s="37">
        <f t="shared" si="23"/>
        <v>3845.4534580000009</v>
      </c>
      <c r="G76" s="37">
        <f t="shared" si="24"/>
        <v>6745.2000000000007</v>
      </c>
      <c r="I76" s="38">
        <f t="shared" si="17"/>
        <v>1297.6975000000002</v>
      </c>
      <c r="K76" s="38">
        <f t="shared" si="18"/>
        <v>2507.4464800000001</v>
      </c>
      <c r="M76" s="38">
        <f t="shared" si="19"/>
        <v>4918.3200000000006</v>
      </c>
      <c r="O76" s="38">
        <f t="shared" si="20"/>
        <v>3758.6033100000004</v>
      </c>
      <c r="Q76" s="38">
        <f t="shared" si="21"/>
        <v>6745.2000000000007</v>
      </c>
      <c r="S76" s="38">
        <v>1179.7250000000001</v>
      </c>
      <c r="T76" s="38">
        <v>2279.4967999999999</v>
      </c>
      <c r="U76" s="38">
        <v>4471.2</v>
      </c>
      <c r="V76" s="38">
        <v>3416.9121</v>
      </c>
      <c r="W76" s="38">
        <v>6132</v>
      </c>
    </row>
    <row r="77" spans="1:23" ht="15.6" outlineLevel="2">
      <c r="A77" s="49" t="s">
        <v>1711</v>
      </c>
      <c r="B77" s="48" t="s">
        <v>1712</v>
      </c>
      <c r="C77" s="49" t="s">
        <v>242</v>
      </c>
      <c r="E77" s="37">
        <f t="shared" si="22"/>
        <v>1366.6070000000002</v>
      </c>
      <c r="F77" s="37">
        <f t="shared" si="23"/>
        <v>4218.3196000000007</v>
      </c>
      <c r="G77" s="37">
        <f t="shared" si="24"/>
        <v>8510.7000000000007</v>
      </c>
      <c r="I77" s="38">
        <f t="shared" si="17"/>
        <v>1366.6070000000002</v>
      </c>
      <c r="K77" s="38">
        <f t="shared" si="18"/>
        <v>2426.0273400000001</v>
      </c>
      <c r="M77" s="38">
        <f t="shared" si="19"/>
        <v>4963.8600000000006</v>
      </c>
      <c r="O77" s="38">
        <f t="shared" si="20"/>
        <v>3824.4036599999999</v>
      </c>
      <c r="Q77" s="38">
        <f t="shared" si="21"/>
        <v>8510.7000000000007</v>
      </c>
      <c r="S77" s="38">
        <v>1242.3700000000001</v>
      </c>
      <c r="T77" s="38">
        <v>2205.4793999999997</v>
      </c>
      <c r="U77" s="38">
        <v>4512.6000000000004</v>
      </c>
      <c r="V77" s="38">
        <v>3476.7305999999999</v>
      </c>
      <c r="W77" s="38">
        <v>7737</v>
      </c>
    </row>
    <row r="78" spans="1:23" ht="15.6" outlineLevel="2">
      <c r="A78" s="49" t="s">
        <v>1713</v>
      </c>
      <c r="B78" s="48" t="s">
        <v>1714</v>
      </c>
      <c r="C78" s="49" t="s">
        <v>242</v>
      </c>
      <c r="E78" s="37">
        <f t="shared" si="22"/>
        <v>1379.1910000000003</v>
      </c>
      <c r="F78" s="37">
        <f t="shared" si="23"/>
        <v>4278.4278240000003</v>
      </c>
      <c r="G78" s="37">
        <f t="shared" si="24"/>
        <v>8593.2000000000007</v>
      </c>
      <c r="I78" s="38">
        <f t="shared" si="17"/>
        <v>1379.1910000000003</v>
      </c>
      <c r="K78" s="38">
        <f t="shared" si="18"/>
        <v>2449.3244600000003</v>
      </c>
      <c r="M78" s="38">
        <f t="shared" si="19"/>
        <v>5146.0200000000004</v>
      </c>
      <c r="O78" s="38">
        <f t="shared" si="20"/>
        <v>3824.4036599999999</v>
      </c>
      <c r="Q78" s="38">
        <f t="shared" si="21"/>
        <v>8593.2000000000007</v>
      </c>
      <c r="S78" s="38">
        <v>1253.8100000000002</v>
      </c>
      <c r="T78" s="38">
        <v>2226.6586000000002</v>
      </c>
      <c r="U78" s="38">
        <v>4678.2</v>
      </c>
      <c r="V78" s="38">
        <v>3476.7305999999999</v>
      </c>
      <c r="W78" s="38">
        <v>7812</v>
      </c>
    </row>
    <row r="79" spans="1:23" ht="15.6" outlineLevel="2">
      <c r="A79" s="49" t="s">
        <v>1715</v>
      </c>
      <c r="B79" s="48" t="s">
        <v>1716</v>
      </c>
      <c r="C79" s="49" t="s">
        <v>242</v>
      </c>
      <c r="E79" s="37">
        <f t="shared" si="22"/>
        <v>1458.8970000000004</v>
      </c>
      <c r="F79" s="37">
        <f t="shared" si="23"/>
        <v>4494.8100340000001</v>
      </c>
      <c r="G79" s="37">
        <f t="shared" si="24"/>
        <v>9111.3000000000011</v>
      </c>
      <c r="I79" s="38">
        <f t="shared" si="17"/>
        <v>1458.8970000000004</v>
      </c>
      <c r="K79" s="38">
        <f t="shared" si="18"/>
        <v>2596.8371000000002</v>
      </c>
      <c r="M79" s="38">
        <f t="shared" si="19"/>
        <v>5252.2800000000007</v>
      </c>
      <c r="O79" s="38">
        <f t="shared" si="20"/>
        <v>4054.7360699999999</v>
      </c>
      <c r="Q79" s="38">
        <f t="shared" si="21"/>
        <v>9111.3000000000011</v>
      </c>
      <c r="S79" s="38">
        <v>1326.2700000000002</v>
      </c>
      <c r="T79" s="38">
        <v>2360.761</v>
      </c>
      <c r="U79" s="38">
        <v>4774.8</v>
      </c>
      <c r="V79" s="38">
        <v>3686.1236999999996</v>
      </c>
      <c r="W79" s="38">
        <v>8283</v>
      </c>
    </row>
    <row r="80" spans="1:23" ht="15.6" outlineLevel="2">
      <c r="A80" s="49" t="s">
        <v>1717</v>
      </c>
      <c r="B80" s="48" t="s">
        <v>1718</v>
      </c>
      <c r="C80" s="49" t="s">
        <v>242</v>
      </c>
      <c r="E80" s="37">
        <f t="shared" si="22"/>
        <v>1297.6975000000002</v>
      </c>
      <c r="F80" s="37">
        <f t="shared" si="23"/>
        <v>4146.7985680000002</v>
      </c>
      <c r="G80" s="37">
        <f t="shared" si="24"/>
        <v>8065.2000000000007</v>
      </c>
      <c r="I80" s="38">
        <f t="shared" si="17"/>
        <v>1297.6975000000002</v>
      </c>
      <c r="K80" s="38">
        <f t="shared" si="18"/>
        <v>2570.1313000000005</v>
      </c>
      <c r="M80" s="38">
        <f t="shared" si="19"/>
        <v>4857.6000000000004</v>
      </c>
      <c r="O80" s="38">
        <f t="shared" si="20"/>
        <v>3943.3640399999999</v>
      </c>
      <c r="Q80" s="38">
        <f t="shared" si="21"/>
        <v>8065.2000000000007</v>
      </c>
      <c r="S80" s="38">
        <v>1179.7250000000001</v>
      </c>
      <c r="T80" s="38">
        <v>2336.4830000000002</v>
      </c>
      <c r="U80" s="38">
        <v>4416</v>
      </c>
      <c r="V80" s="38">
        <v>3584.8763999999996</v>
      </c>
      <c r="W80" s="38">
        <v>7332</v>
      </c>
    </row>
    <row r="81" spans="1:23" ht="15.6" outlineLevel="2">
      <c r="A81" s="49" t="s">
        <v>1719</v>
      </c>
      <c r="B81" s="48" t="s">
        <v>1720</v>
      </c>
      <c r="C81" s="49" t="s">
        <v>242</v>
      </c>
      <c r="E81" s="37">
        <f t="shared" si="22"/>
        <v>1366.6070000000002</v>
      </c>
      <c r="F81" s="37">
        <f t="shared" si="23"/>
        <v>4357.0814760000012</v>
      </c>
      <c r="G81" s="37">
        <f t="shared" si="24"/>
        <v>8510.7000000000007</v>
      </c>
      <c r="I81" s="38">
        <f t="shared" si="17"/>
        <v>1366.6070000000002</v>
      </c>
      <c r="K81" s="38">
        <f t="shared" si="18"/>
        <v>2646.5850399999999</v>
      </c>
      <c r="M81" s="38">
        <f t="shared" si="19"/>
        <v>5100.4800000000005</v>
      </c>
      <c r="O81" s="38">
        <f t="shared" si="20"/>
        <v>4161.0353400000004</v>
      </c>
      <c r="Q81" s="38">
        <f t="shared" si="21"/>
        <v>8510.7000000000007</v>
      </c>
      <c r="S81" s="38">
        <v>1242.3700000000001</v>
      </c>
      <c r="T81" s="38">
        <v>2405.9863999999998</v>
      </c>
      <c r="U81" s="38">
        <v>4636.8</v>
      </c>
      <c r="V81" s="38">
        <v>3782.7593999999999</v>
      </c>
      <c r="W81" s="38">
        <v>7737</v>
      </c>
    </row>
    <row r="82" spans="1:23" ht="15.6" outlineLevel="2">
      <c r="A82" s="49" t="s">
        <v>1721</v>
      </c>
      <c r="B82" s="48" t="s">
        <v>1722</v>
      </c>
      <c r="C82" s="49" t="s">
        <v>242</v>
      </c>
      <c r="E82" s="37">
        <f t="shared" si="22"/>
        <v>1379.1910000000003</v>
      </c>
      <c r="F82" s="37">
        <f t="shared" si="23"/>
        <v>4395.350872</v>
      </c>
      <c r="G82" s="37">
        <f t="shared" si="24"/>
        <v>8593.2000000000007</v>
      </c>
      <c r="I82" s="38">
        <f t="shared" si="17"/>
        <v>1379.1910000000003</v>
      </c>
      <c r="K82" s="38">
        <f t="shared" si="18"/>
        <v>2671.9890999999998</v>
      </c>
      <c r="M82" s="38">
        <f t="shared" si="19"/>
        <v>5130.84</v>
      </c>
      <c r="O82" s="38">
        <f t="shared" si="20"/>
        <v>4201.5342600000004</v>
      </c>
      <c r="Q82" s="38">
        <f t="shared" si="21"/>
        <v>8593.2000000000007</v>
      </c>
      <c r="S82" s="38">
        <v>1253.8100000000002</v>
      </c>
      <c r="T82" s="38">
        <v>2429.0809999999997</v>
      </c>
      <c r="U82" s="38">
        <v>4664.3999999999996</v>
      </c>
      <c r="V82" s="38">
        <v>3819.5765999999999</v>
      </c>
      <c r="W82" s="38">
        <v>7812</v>
      </c>
    </row>
    <row r="83" spans="1:23" ht="15.6" outlineLevel="2">
      <c r="A83" s="49" t="s">
        <v>1723</v>
      </c>
      <c r="B83" s="48" t="s">
        <v>1724</v>
      </c>
      <c r="C83" s="49" t="s">
        <v>242</v>
      </c>
      <c r="E83" s="37">
        <f t="shared" si="22"/>
        <v>1458.8970000000004</v>
      </c>
      <c r="F83" s="37">
        <f t="shared" si="23"/>
        <v>4652.3660920000002</v>
      </c>
      <c r="G83" s="37">
        <f t="shared" si="24"/>
        <v>9111.3000000000011</v>
      </c>
      <c r="I83" s="38">
        <f t="shared" si="17"/>
        <v>1458.8970000000004</v>
      </c>
      <c r="K83" s="38">
        <f t="shared" si="18"/>
        <v>2832.9217399999998</v>
      </c>
      <c r="M83" s="38">
        <f t="shared" si="19"/>
        <v>5404.0800000000008</v>
      </c>
      <c r="O83" s="38">
        <f t="shared" si="20"/>
        <v>4454.6317199999994</v>
      </c>
      <c r="Q83" s="38">
        <f t="shared" si="21"/>
        <v>9111.3000000000011</v>
      </c>
      <c r="S83" s="38">
        <v>1326.2700000000002</v>
      </c>
      <c r="T83" s="38">
        <v>2575.3833999999997</v>
      </c>
      <c r="U83" s="38">
        <v>4912.8</v>
      </c>
      <c r="V83" s="38">
        <v>4049.6651999999995</v>
      </c>
      <c r="W83" s="38">
        <v>8283</v>
      </c>
    </row>
    <row r="84" spans="1:23" ht="15.6" outlineLevel="2">
      <c r="A84" s="49" t="s">
        <v>1725</v>
      </c>
      <c r="B84" s="48" t="s">
        <v>1726</v>
      </c>
      <c r="C84" s="49" t="s">
        <v>242</v>
      </c>
      <c r="E84" s="37">
        <f t="shared" si="22"/>
        <v>1299.2650000000001</v>
      </c>
      <c r="F84" s="37">
        <f t="shared" si="23"/>
        <v>3886.8983999999996</v>
      </c>
      <c r="G84" s="37">
        <f t="shared" si="24"/>
        <v>6755.1</v>
      </c>
      <c r="I84" s="38">
        <f t="shared" si="17"/>
        <v>1299.2650000000001</v>
      </c>
      <c r="K84" s="38">
        <f t="shared" si="18"/>
        <v>2574.0902000000001</v>
      </c>
      <c r="M84" s="38">
        <f t="shared" si="19"/>
        <v>4857.6000000000004</v>
      </c>
      <c r="O84" s="38">
        <f t="shared" si="20"/>
        <v>3948.4367999999999</v>
      </c>
      <c r="Q84" s="38">
        <f t="shared" si="21"/>
        <v>6755.1</v>
      </c>
      <c r="S84" s="38">
        <v>1181.1500000000001</v>
      </c>
      <c r="T84" s="38">
        <v>2340.0819999999999</v>
      </c>
      <c r="U84" s="38">
        <v>4416</v>
      </c>
      <c r="V84" s="38">
        <v>3589.4879999999998</v>
      </c>
      <c r="W84" s="38">
        <v>6141</v>
      </c>
    </row>
    <row r="85" spans="1:23" ht="15.6" outlineLevel="2">
      <c r="A85" s="49" t="s">
        <v>1727</v>
      </c>
      <c r="B85" s="48" t="s">
        <v>1728</v>
      </c>
      <c r="C85" s="49" t="s">
        <v>242</v>
      </c>
      <c r="E85" s="37">
        <f t="shared" si="22"/>
        <v>1355.6730000000002</v>
      </c>
      <c r="F85" s="37">
        <f t="shared" si="23"/>
        <v>4329.5315800000008</v>
      </c>
      <c r="G85" s="37">
        <f t="shared" si="24"/>
        <v>8441.4000000000015</v>
      </c>
      <c r="I85" s="38">
        <f t="shared" si="17"/>
        <v>1355.6730000000002</v>
      </c>
      <c r="K85" s="38">
        <f t="shared" si="18"/>
        <v>2624.4957200000003</v>
      </c>
      <c r="M85" s="38">
        <f t="shared" si="19"/>
        <v>5100.4800000000005</v>
      </c>
      <c r="O85" s="38">
        <f t="shared" si="20"/>
        <v>4125.6091800000004</v>
      </c>
      <c r="Q85" s="38">
        <f t="shared" si="21"/>
        <v>8441.4000000000015</v>
      </c>
      <c r="S85" s="38">
        <v>1232.43</v>
      </c>
      <c r="T85" s="38">
        <v>2385.9052000000001</v>
      </c>
      <c r="U85" s="38">
        <v>4636.8</v>
      </c>
      <c r="V85" s="38">
        <v>3750.5538000000001</v>
      </c>
      <c r="W85" s="38">
        <v>7674</v>
      </c>
    </row>
    <row r="86" spans="1:23" ht="15.6" outlineLevel="2">
      <c r="A86" s="49" t="s">
        <v>1729</v>
      </c>
      <c r="B86" s="48" t="s">
        <v>1730</v>
      </c>
      <c r="C86" s="49" t="s">
        <v>242</v>
      </c>
      <c r="E86" s="37">
        <f t="shared" si="22"/>
        <v>1391.6815000000004</v>
      </c>
      <c r="F86" s="37">
        <f t="shared" si="23"/>
        <v>4426.9847160000008</v>
      </c>
      <c r="G86" s="37">
        <f t="shared" si="24"/>
        <v>8675.7000000000007</v>
      </c>
      <c r="I86" s="38">
        <f t="shared" si="17"/>
        <v>1391.6815000000004</v>
      </c>
      <c r="K86" s="38">
        <f t="shared" si="18"/>
        <v>2697.2052799999997</v>
      </c>
      <c r="M86" s="38">
        <f t="shared" si="19"/>
        <v>5130.84</v>
      </c>
      <c r="O86" s="38">
        <f t="shared" si="20"/>
        <v>4239.4967999999999</v>
      </c>
      <c r="Q86" s="38">
        <f t="shared" si="21"/>
        <v>8675.7000000000007</v>
      </c>
      <c r="S86" s="38">
        <v>1265.1650000000002</v>
      </c>
      <c r="T86" s="38">
        <v>2452.0047999999997</v>
      </c>
      <c r="U86" s="38">
        <v>4664.3999999999996</v>
      </c>
      <c r="V86" s="38">
        <v>3854.0879999999997</v>
      </c>
      <c r="W86" s="38">
        <v>7887</v>
      </c>
    </row>
    <row r="87" spans="1:23" ht="15.6" outlineLevel="2">
      <c r="A87" s="49" t="s">
        <v>1731</v>
      </c>
      <c r="B87" s="48" t="s">
        <v>1732</v>
      </c>
      <c r="C87" s="49" t="s">
        <v>242</v>
      </c>
      <c r="E87" s="37">
        <f t="shared" si="22"/>
        <v>1474.4730000000002</v>
      </c>
      <c r="F87" s="37">
        <f t="shared" si="23"/>
        <v>4500.3853400000007</v>
      </c>
      <c r="G87" s="37">
        <f t="shared" si="24"/>
        <v>8154.3000000000011</v>
      </c>
      <c r="I87" s="38">
        <f t="shared" si="17"/>
        <v>1474.4730000000002</v>
      </c>
      <c r="K87" s="38">
        <f t="shared" si="18"/>
        <v>2935.9739200000008</v>
      </c>
      <c r="M87" s="38">
        <f t="shared" si="19"/>
        <v>5434.44</v>
      </c>
      <c r="O87" s="38">
        <f t="shared" si="20"/>
        <v>4502.7397800000008</v>
      </c>
      <c r="Q87" s="38">
        <f t="shared" si="21"/>
        <v>8154.3000000000011</v>
      </c>
      <c r="S87" s="38">
        <v>1340.43</v>
      </c>
      <c r="T87" s="38">
        <v>2669.0672000000004</v>
      </c>
      <c r="U87" s="38">
        <v>4940.3999999999996</v>
      </c>
      <c r="V87" s="38">
        <v>4093.3998000000001</v>
      </c>
      <c r="W87" s="38">
        <v>7413</v>
      </c>
    </row>
    <row r="88" spans="1:23" ht="15.6" outlineLevel="2">
      <c r="A88" s="49" t="s">
        <v>1733</v>
      </c>
      <c r="B88" s="48" t="s">
        <v>1734</v>
      </c>
      <c r="C88" s="49" t="s">
        <v>242</v>
      </c>
      <c r="E88" s="37">
        <f t="shared" si="22"/>
        <v>1596.6005000000002</v>
      </c>
      <c r="F88" s="37">
        <f t="shared" si="23"/>
        <v>5104.666424</v>
      </c>
      <c r="G88" s="37">
        <f t="shared" si="24"/>
        <v>10005.6</v>
      </c>
      <c r="I88" s="38">
        <f t="shared" si="17"/>
        <v>1596.6005000000002</v>
      </c>
      <c r="K88" s="38">
        <f t="shared" si="18"/>
        <v>3110.9573000000005</v>
      </c>
      <c r="M88" s="38">
        <f t="shared" si="19"/>
        <v>5920.2000000000007</v>
      </c>
      <c r="O88" s="38">
        <f t="shared" si="20"/>
        <v>4889.9743200000003</v>
      </c>
      <c r="Q88" s="38">
        <f t="shared" si="21"/>
        <v>10005.6</v>
      </c>
      <c r="S88" s="38">
        <v>1451.4550000000002</v>
      </c>
      <c r="T88" s="38">
        <v>2828.143</v>
      </c>
      <c r="U88" s="38">
        <v>5382</v>
      </c>
      <c r="V88" s="38">
        <v>4445.4312</v>
      </c>
      <c r="W88" s="38">
        <v>9096</v>
      </c>
    </row>
    <row r="89" spans="1:23" ht="15.6" outlineLevel="2">
      <c r="A89" s="47" t="s">
        <v>1735</v>
      </c>
      <c r="B89" s="48" t="s">
        <v>1736</v>
      </c>
      <c r="C89" s="47" t="s">
        <v>242</v>
      </c>
      <c r="E89" s="37">
        <f t="shared" si="22"/>
        <v>1168.9205000000004</v>
      </c>
      <c r="F89" s="37">
        <f t="shared" si="23"/>
        <v>3462.8028160000003</v>
      </c>
      <c r="G89" s="37">
        <f t="shared" si="24"/>
        <v>6045.6</v>
      </c>
      <c r="I89" s="38">
        <f t="shared" si="17"/>
        <v>1168.9205000000004</v>
      </c>
      <c r="K89" s="38">
        <f t="shared" si="18"/>
        <v>2060.14446</v>
      </c>
      <c r="M89" s="38">
        <f t="shared" si="19"/>
        <v>4311.12</v>
      </c>
      <c r="O89" s="38">
        <f t="shared" si="20"/>
        <v>3728.2291200000004</v>
      </c>
      <c r="Q89" s="38">
        <f t="shared" si="21"/>
        <v>6045.6</v>
      </c>
      <c r="S89" s="38">
        <v>1062.6550000000002</v>
      </c>
      <c r="T89" s="38">
        <v>1872.8586</v>
      </c>
      <c r="U89" s="38">
        <v>3919.2</v>
      </c>
      <c r="V89" s="38">
        <v>3389.2991999999999</v>
      </c>
      <c r="W89" s="38">
        <v>5496</v>
      </c>
    </row>
    <row r="90" spans="1:23" ht="15.6" outlineLevel="2">
      <c r="A90" s="49" t="s">
        <v>1737</v>
      </c>
      <c r="B90" s="48" t="s">
        <v>1738</v>
      </c>
      <c r="C90" s="49" t="s">
        <v>242</v>
      </c>
      <c r="E90" s="37">
        <f t="shared" si="22"/>
        <v>1277.1715000000002</v>
      </c>
      <c r="F90" s="37">
        <f t="shared" si="23"/>
        <v>3705.7646340000006</v>
      </c>
      <c r="G90" s="37">
        <f t="shared" si="24"/>
        <v>6633.0000000000009</v>
      </c>
      <c r="I90" s="38">
        <f t="shared" si="17"/>
        <v>1277.1715000000002</v>
      </c>
      <c r="K90" s="38">
        <f t="shared" si="18"/>
        <v>2260.5050600000004</v>
      </c>
      <c r="M90" s="38">
        <f t="shared" si="19"/>
        <v>4614.72</v>
      </c>
      <c r="O90" s="38">
        <f t="shared" si="20"/>
        <v>3743.42661</v>
      </c>
      <c r="Q90" s="38">
        <f t="shared" si="21"/>
        <v>6633.0000000000009</v>
      </c>
      <c r="S90" s="38">
        <v>1161.0650000000001</v>
      </c>
      <c r="T90" s="38">
        <v>2055.0046000000002</v>
      </c>
      <c r="U90" s="38">
        <v>4195.2</v>
      </c>
      <c r="V90" s="38">
        <v>3403.1150999999995</v>
      </c>
      <c r="W90" s="38">
        <v>6030</v>
      </c>
    </row>
    <row r="91" spans="1:23" ht="15.6" outlineLevel="2">
      <c r="A91" s="49" t="s">
        <v>1739</v>
      </c>
      <c r="B91" s="48" t="s">
        <v>1740</v>
      </c>
      <c r="C91" s="49" t="s">
        <v>242</v>
      </c>
      <c r="E91" s="37">
        <f t="shared" si="22"/>
        <v>1337.9795000000001</v>
      </c>
      <c r="F91" s="37">
        <f t="shared" si="23"/>
        <v>4164.5445820000004</v>
      </c>
      <c r="G91" s="37">
        <f t="shared" si="24"/>
        <v>8325.9000000000015</v>
      </c>
      <c r="I91" s="38">
        <f t="shared" si="17"/>
        <v>1337.9795000000001</v>
      </c>
      <c r="K91" s="38">
        <f t="shared" si="18"/>
        <v>2373.0451800000001</v>
      </c>
      <c r="M91" s="38">
        <f t="shared" si="19"/>
        <v>4812.0600000000004</v>
      </c>
      <c r="O91" s="38">
        <f t="shared" si="20"/>
        <v>3973.7382299999999</v>
      </c>
      <c r="Q91" s="38">
        <f t="shared" si="21"/>
        <v>8325.9000000000015</v>
      </c>
      <c r="S91" s="38">
        <v>1216.345</v>
      </c>
      <c r="T91" s="38">
        <v>2157.3137999999999</v>
      </c>
      <c r="U91" s="38">
        <v>4374.6000000000004</v>
      </c>
      <c r="V91" s="38">
        <v>3612.4892999999997</v>
      </c>
      <c r="W91" s="38">
        <v>7569</v>
      </c>
    </row>
    <row r="92" spans="1:23" ht="15.6" outlineLevel="2">
      <c r="A92" s="49" t="s">
        <v>1741</v>
      </c>
      <c r="B92" s="48" t="s">
        <v>1742</v>
      </c>
      <c r="C92" s="49" t="s">
        <v>242</v>
      </c>
      <c r="E92" s="37">
        <f t="shared" si="22"/>
        <v>1344.1560000000002</v>
      </c>
      <c r="F92" s="37">
        <f t="shared" si="23"/>
        <v>4235.70345</v>
      </c>
      <c r="G92" s="37">
        <f t="shared" si="24"/>
        <v>8365.5</v>
      </c>
      <c r="I92" s="38">
        <f t="shared" si="17"/>
        <v>1344.1560000000002</v>
      </c>
      <c r="K92" s="38">
        <f t="shared" si="18"/>
        <v>2384.4790200000002</v>
      </c>
      <c r="M92" s="38">
        <f t="shared" si="19"/>
        <v>4994.22</v>
      </c>
      <c r="O92" s="38">
        <f t="shared" si="20"/>
        <v>4090.1622299999999</v>
      </c>
      <c r="Q92" s="38">
        <f t="shared" si="21"/>
        <v>8365.5</v>
      </c>
      <c r="S92" s="38">
        <v>1221.96</v>
      </c>
      <c r="T92" s="38">
        <v>2167.7082</v>
      </c>
      <c r="U92" s="38">
        <v>4540.2</v>
      </c>
      <c r="V92" s="38">
        <v>3718.3292999999994</v>
      </c>
      <c r="W92" s="38">
        <v>7605</v>
      </c>
    </row>
    <row r="93" spans="1:23" ht="15.6" outlineLevel="2">
      <c r="A93" s="49" t="s">
        <v>1743</v>
      </c>
      <c r="B93" s="48" t="s">
        <v>1744</v>
      </c>
      <c r="C93" s="49" t="s">
        <v>242</v>
      </c>
      <c r="E93" s="37">
        <f t="shared" si="22"/>
        <v>1423.8400000000001</v>
      </c>
      <c r="F93" s="37">
        <f t="shared" si="23"/>
        <v>4402.3411080000005</v>
      </c>
      <c r="G93" s="37">
        <f t="shared" si="24"/>
        <v>8883.6</v>
      </c>
      <c r="I93" s="38">
        <f t="shared" si="17"/>
        <v>1423.8400000000001</v>
      </c>
      <c r="K93" s="38">
        <f t="shared" si="18"/>
        <v>2260.5050600000004</v>
      </c>
      <c r="M93" s="38">
        <f t="shared" si="19"/>
        <v>5100.4800000000005</v>
      </c>
      <c r="O93" s="38">
        <f t="shared" si="20"/>
        <v>4343.2804799999994</v>
      </c>
      <c r="Q93" s="38">
        <f t="shared" si="21"/>
        <v>8883.6</v>
      </c>
      <c r="S93" s="38">
        <v>1294.4000000000001</v>
      </c>
      <c r="T93" s="38">
        <v>2055.0046000000002</v>
      </c>
      <c r="U93" s="38">
        <v>4636.8</v>
      </c>
      <c r="V93" s="38">
        <v>3948.4367999999995</v>
      </c>
      <c r="W93" s="38">
        <v>8076</v>
      </c>
    </row>
    <row r="94" spans="1:23" ht="15.6" outlineLevel="2">
      <c r="A94" s="49" t="s">
        <v>1745</v>
      </c>
      <c r="B94" s="48" t="s">
        <v>1746</v>
      </c>
      <c r="C94" s="49" t="s">
        <v>242</v>
      </c>
      <c r="E94" s="37">
        <f t="shared" si="22"/>
        <v>1277.1715000000002</v>
      </c>
      <c r="F94" s="37">
        <f t="shared" si="23"/>
        <v>4095.078966</v>
      </c>
      <c r="G94" s="37">
        <f t="shared" si="24"/>
        <v>7929.9000000000005</v>
      </c>
      <c r="I94" s="38">
        <f t="shared" si="17"/>
        <v>1277.1715000000002</v>
      </c>
      <c r="K94" s="38">
        <f t="shared" si="18"/>
        <v>2588.7851000000001</v>
      </c>
      <c r="M94" s="38">
        <f t="shared" si="19"/>
        <v>4705.8</v>
      </c>
      <c r="O94" s="38">
        <f t="shared" si="20"/>
        <v>3973.7382299999999</v>
      </c>
      <c r="Q94" s="38">
        <f t="shared" si="21"/>
        <v>7929.9000000000005</v>
      </c>
      <c r="S94" s="38">
        <v>1161.0650000000001</v>
      </c>
      <c r="T94" s="38">
        <v>2353.4409999999998</v>
      </c>
      <c r="U94" s="38">
        <v>4278</v>
      </c>
      <c r="V94" s="38">
        <v>3612.4892999999997</v>
      </c>
      <c r="W94" s="38">
        <v>7209</v>
      </c>
    </row>
    <row r="95" spans="1:23" ht="15.6" outlineLevel="2">
      <c r="A95" s="49" t="s">
        <v>1747</v>
      </c>
      <c r="B95" s="48" t="s">
        <v>1748</v>
      </c>
      <c r="C95" s="49" t="s">
        <v>242</v>
      </c>
      <c r="E95" s="37">
        <f t="shared" si="22"/>
        <v>2675.9590000000003</v>
      </c>
      <c r="F95" s="37">
        <f t="shared" si="23"/>
        <v>4230.8267539999997</v>
      </c>
      <c r="G95" s="37">
        <f t="shared" si="24"/>
        <v>5550.6</v>
      </c>
      <c r="I95" s="38">
        <f t="shared" si="17"/>
        <v>2675.9590000000003</v>
      </c>
      <c r="K95" s="38">
        <f t="shared" si="18"/>
        <v>3908.982</v>
      </c>
      <c r="M95" s="38">
        <f t="shared" si="19"/>
        <v>4948.68</v>
      </c>
      <c r="O95" s="38">
        <f t="shared" si="20"/>
        <v>4069.9127700000004</v>
      </c>
      <c r="Q95" s="38">
        <f t="shared" si="21"/>
        <v>5550.6</v>
      </c>
      <c r="S95" s="38">
        <v>2432.69</v>
      </c>
      <c r="T95" s="38">
        <v>3553.62</v>
      </c>
      <c r="U95" s="38">
        <v>4498.8</v>
      </c>
      <c r="V95" s="38">
        <v>3699.9207000000001</v>
      </c>
      <c r="W95" s="38">
        <v>5046</v>
      </c>
    </row>
    <row r="96" spans="1:23" ht="15.6" outlineLevel="2">
      <c r="A96" s="49" t="s">
        <v>1749</v>
      </c>
      <c r="B96" s="48" t="s">
        <v>1750</v>
      </c>
      <c r="C96" s="49" t="s">
        <v>242</v>
      </c>
      <c r="E96" s="37">
        <f t="shared" si="22"/>
        <v>1344.1560000000002</v>
      </c>
      <c r="F96" s="37">
        <f t="shared" si="23"/>
        <v>4209.9500740000003</v>
      </c>
      <c r="G96" s="37">
        <f t="shared" si="24"/>
        <v>8365.5</v>
      </c>
      <c r="I96" s="38">
        <f t="shared" si="17"/>
        <v>1344.1560000000002</v>
      </c>
      <c r="K96" s="38">
        <f t="shared" si="18"/>
        <v>2270.8921400000004</v>
      </c>
      <c r="M96" s="38">
        <f t="shared" si="19"/>
        <v>4979.04</v>
      </c>
      <c r="O96" s="38">
        <f t="shared" si="20"/>
        <v>4090.1622299999999</v>
      </c>
      <c r="Q96" s="38">
        <f t="shared" si="21"/>
        <v>8365.5</v>
      </c>
      <c r="S96" s="38">
        <v>1221.96</v>
      </c>
      <c r="T96" s="38">
        <v>2064.4474</v>
      </c>
      <c r="U96" s="38">
        <v>4526.3999999999996</v>
      </c>
      <c r="V96" s="38">
        <v>3718.3292999999994</v>
      </c>
      <c r="W96" s="38">
        <v>7605</v>
      </c>
    </row>
    <row r="97" spans="1:23" ht="15.6" outlineLevel="2">
      <c r="A97" s="49" t="s">
        <v>1751</v>
      </c>
      <c r="B97" s="48" t="s">
        <v>1752</v>
      </c>
      <c r="C97" s="49" t="s">
        <v>242</v>
      </c>
      <c r="E97" s="37">
        <f t="shared" si="22"/>
        <v>1423.8400000000001</v>
      </c>
      <c r="F97" s="37">
        <f t="shared" si="23"/>
        <v>4073.454088</v>
      </c>
      <c r="G97" s="37">
        <f t="shared" si="24"/>
        <v>7428.3</v>
      </c>
      <c r="I97" s="38">
        <f t="shared" si="17"/>
        <v>1423.8400000000001</v>
      </c>
      <c r="K97" s="38">
        <f t="shared" si="18"/>
        <v>1919.5699600000003</v>
      </c>
      <c r="M97" s="38">
        <f t="shared" si="19"/>
        <v>5252.2800000000007</v>
      </c>
      <c r="O97" s="38">
        <f t="shared" si="20"/>
        <v>4343.2804799999994</v>
      </c>
      <c r="Q97" s="38">
        <f t="shared" si="21"/>
        <v>7428.3</v>
      </c>
      <c r="S97" s="38">
        <v>1294.4000000000001</v>
      </c>
      <c r="T97" s="38">
        <v>1745.0636000000002</v>
      </c>
      <c r="U97" s="38">
        <v>4774.8</v>
      </c>
      <c r="V97" s="38">
        <v>3948.4367999999995</v>
      </c>
      <c r="W97" s="38">
        <v>6753</v>
      </c>
    </row>
    <row r="98" spans="1:23" ht="15.6" outlineLevel="2">
      <c r="A98" s="49" t="s">
        <v>1753</v>
      </c>
      <c r="B98" s="48" t="s">
        <v>1754</v>
      </c>
      <c r="C98" s="49" t="s">
        <v>242</v>
      </c>
      <c r="E98" s="37">
        <f t="shared" si="22"/>
        <v>1282.7870000000003</v>
      </c>
      <c r="F98" s="37">
        <f t="shared" si="23"/>
        <v>4024.1911820000009</v>
      </c>
      <c r="G98" s="37">
        <f t="shared" si="24"/>
        <v>7966.2000000000007</v>
      </c>
      <c r="I98" s="38">
        <f t="shared" si="17"/>
        <v>1282.7870000000003</v>
      </c>
      <c r="K98" s="38">
        <f t="shared" si="18"/>
        <v>2270.8921400000004</v>
      </c>
      <c r="M98" s="38">
        <f t="shared" si="19"/>
        <v>4705.8</v>
      </c>
      <c r="O98" s="38">
        <f t="shared" si="20"/>
        <v>3895.2767700000004</v>
      </c>
      <c r="Q98" s="38">
        <f t="shared" si="21"/>
        <v>7966.2000000000007</v>
      </c>
      <c r="S98" s="38">
        <v>1166.17</v>
      </c>
      <c r="T98" s="38">
        <v>2064.4474</v>
      </c>
      <c r="U98" s="38">
        <v>4278</v>
      </c>
      <c r="V98" s="38">
        <v>3541.1606999999999</v>
      </c>
      <c r="W98" s="38">
        <v>7242</v>
      </c>
    </row>
    <row r="99" spans="1:23" ht="15.6" outlineLevel="2">
      <c r="A99" s="49" t="s">
        <v>1755</v>
      </c>
      <c r="B99" s="48" t="s">
        <v>1756</v>
      </c>
      <c r="C99" s="49" t="s">
        <v>242</v>
      </c>
      <c r="E99" s="37">
        <f t="shared" si="22"/>
        <v>1352.2520000000002</v>
      </c>
      <c r="F99" s="37">
        <f t="shared" si="23"/>
        <v>4246.8344379999999</v>
      </c>
      <c r="G99" s="37">
        <f t="shared" si="24"/>
        <v>8418.3000000000011</v>
      </c>
      <c r="I99" s="38">
        <f t="shared" si="17"/>
        <v>1352.2520000000002</v>
      </c>
      <c r="K99" s="38">
        <f t="shared" si="18"/>
        <v>2399.4557399999999</v>
      </c>
      <c r="M99" s="38">
        <f t="shared" si="19"/>
        <v>4948.68</v>
      </c>
      <c r="O99" s="38">
        <f t="shared" si="20"/>
        <v>4115.4844499999999</v>
      </c>
      <c r="Q99" s="38">
        <f t="shared" si="21"/>
        <v>8418.3000000000011</v>
      </c>
      <c r="S99" s="38">
        <v>1229.3200000000002</v>
      </c>
      <c r="T99" s="38">
        <v>2181.3233999999998</v>
      </c>
      <c r="U99" s="38">
        <v>4498.8</v>
      </c>
      <c r="V99" s="38">
        <v>3741.3494999999998</v>
      </c>
      <c r="W99" s="38">
        <v>7653</v>
      </c>
    </row>
    <row r="100" spans="1:23" ht="15.6" outlineLevel="2">
      <c r="A100" s="49" t="s">
        <v>1757</v>
      </c>
      <c r="B100" s="48" t="s">
        <v>1758</v>
      </c>
      <c r="C100" s="49" t="s">
        <v>242</v>
      </c>
      <c r="E100" s="37">
        <f t="shared" si="22"/>
        <v>1358.0985000000003</v>
      </c>
      <c r="F100" s="37">
        <f t="shared" si="23"/>
        <v>4267.704342</v>
      </c>
      <c r="G100" s="37">
        <f t="shared" si="24"/>
        <v>8457.9000000000015</v>
      </c>
      <c r="I100" s="38">
        <f t="shared" si="17"/>
        <v>1358.0985000000003</v>
      </c>
      <c r="K100" s="38">
        <f t="shared" si="18"/>
        <v>2410.28568</v>
      </c>
      <c r="M100" s="38">
        <f t="shared" si="19"/>
        <v>4979.04</v>
      </c>
      <c r="O100" s="38">
        <f t="shared" si="20"/>
        <v>4133.1975299999995</v>
      </c>
      <c r="Q100" s="38">
        <f t="shared" si="21"/>
        <v>8457.9000000000015</v>
      </c>
      <c r="S100" s="38">
        <v>1234.6350000000002</v>
      </c>
      <c r="T100" s="38">
        <v>2191.1687999999999</v>
      </c>
      <c r="U100" s="38">
        <v>4526.3999999999996</v>
      </c>
      <c r="V100" s="38">
        <v>3757.4522999999995</v>
      </c>
      <c r="W100" s="38">
        <v>7689</v>
      </c>
    </row>
    <row r="101" spans="1:23" ht="15.6" outlineLevel="2">
      <c r="A101" s="49" t="s">
        <v>1759</v>
      </c>
      <c r="B101" s="48" t="s">
        <v>1760</v>
      </c>
      <c r="C101" s="49" t="s">
        <v>242</v>
      </c>
      <c r="E101" s="37">
        <f t="shared" si="22"/>
        <v>1443.3760000000002</v>
      </c>
      <c r="F101" s="37">
        <f t="shared" si="23"/>
        <v>4324.8523120000009</v>
      </c>
      <c r="G101" s="37">
        <f t="shared" si="24"/>
        <v>7972.8000000000011</v>
      </c>
      <c r="I101" s="38">
        <f t="shared" si="17"/>
        <v>1443.3760000000002</v>
      </c>
      <c r="K101" s="38">
        <f t="shared" si="18"/>
        <v>2521.4166999999998</v>
      </c>
      <c r="M101" s="38">
        <f t="shared" si="19"/>
        <v>5282.64</v>
      </c>
      <c r="O101" s="38">
        <f t="shared" si="20"/>
        <v>4404.0288600000003</v>
      </c>
      <c r="Q101" s="38">
        <f t="shared" si="21"/>
        <v>7972.8000000000011</v>
      </c>
      <c r="S101" s="38">
        <v>1312.16</v>
      </c>
      <c r="T101" s="38">
        <v>2292.1969999999997</v>
      </c>
      <c r="U101" s="38">
        <v>4802.3999999999996</v>
      </c>
      <c r="V101" s="38">
        <v>4003.6626000000001</v>
      </c>
      <c r="W101" s="38">
        <v>7248</v>
      </c>
    </row>
    <row r="102" spans="1:23" ht="15.6" outlineLevel="2">
      <c r="A102" s="49" t="s">
        <v>1761</v>
      </c>
      <c r="B102" s="48" t="s">
        <v>1762</v>
      </c>
      <c r="C102" s="49" t="s">
        <v>242</v>
      </c>
      <c r="E102" s="37">
        <f t="shared" si="22"/>
        <v>1562.9735000000003</v>
      </c>
      <c r="F102" s="37">
        <f t="shared" si="23"/>
        <v>4938.4632660000007</v>
      </c>
      <c r="G102" s="37">
        <f t="shared" si="24"/>
        <v>9787.8000000000011</v>
      </c>
      <c r="I102" s="38">
        <f t="shared" si="17"/>
        <v>1562.9735000000003</v>
      </c>
      <c r="K102" s="38">
        <f t="shared" si="18"/>
        <v>2789.4677800000004</v>
      </c>
      <c r="M102" s="38">
        <f t="shared" si="19"/>
        <v>5768.4000000000005</v>
      </c>
      <c r="O102" s="38">
        <f t="shared" si="20"/>
        <v>4783.6750499999998</v>
      </c>
      <c r="Q102" s="38">
        <f t="shared" si="21"/>
        <v>9787.8000000000011</v>
      </c>
      <c r="S102" s="38">
        <v>1420.8850000000002</v>
      </c>
      <c r="T102" s="38">
        <v>2535.8798000000002</v>
      </c>
      <c r="U102" s="38">
        <v>5244</v>
      </c>
      <c r="V102" s="38">
        <v>4348.7954999999993</v>
      </c>
      <c r="W102" s="38">
        <v>8898</v>
      </c>
    </row>
    <row r="103" spans="1:23" ht="15.6" outlineLevel="2">
      <c r="A103" s="49" t="s">
        <v>1763</v>
      </c>
      <c r="B103" s="48" t="s">
        <v>1764</v>
      </c>
      <c r="C103" s="49" t="s">
        <v>242</v>
      </c>
      <c r="E103" s="37">
        <f t="shared" si="22"/>
        <v>1621.6255000000003</v>
      </c>
      <c r="F103" s="37">
        <f t="shared" si="23"/>
        <v>5110.0619239999996</v>
      </c>
      <c r="G103" s="37">
        <f t="shared" si="24"/>
        <v>10167.300000000001</v>
      </c>
      <c r="I103" s="38">
        <f t="shared" si="17"/>
        <v>1621.6255000000003</v>
      </c>
      <c r="K103" s="38">
        <f t="shared" si="18"/>
        <v>2898.0355799999998</v>
      </c>
      <c r="M103" s="38">
        <f t="shared" si="19"/>
        <v>5889.84</v>
      </c>
      <c r="O103" s="38">
        <f t="shared" si="20"/>
        <v>4973.5085400000007</v>
      </c>
      <c r="Q103" s="38">
        <f t="shared" si="21"/>
        <v>10167.300000000001</v>
      </c>
      <c r="S103" s="38">
        <v>1474.2050000000002</v>
      </c>
      <c r="T103" s="38">
        <v>2634.5777999999996</v>
      </c>
      <c r="U103" s="38">
        <v>5354.4</v>
      </c>
      <c r="V103" s="38">
        <v>4521.3714</v>
      </c>
      <c r="W103" s="38">
        <v>9243</v>
      </c>
    </row>
    <row r="104" spans="1:23" ht="15" outlineLevel="1">
      <c r="A104" s="31" t="s">
        <v>1765</v>
      </c>
      <c r="B104" s="32" t="s">
        <v>1766</v>
      </c>
      <c r="C104" s="31"/>
      <c r="I104" t="str">
        <f t="shared" si="17"/>
        <v/>
      </c>
      <c r="K104" t="str">
        <f t="shared" si="18"/>
        <v/>
      </c>
      <c r="M104" t="str">
        <f t="shared" si="19"/>
        <v/>
      </c>
      <c r="O104" t="str">
        <f t="shared" si="20"/>
        <v/>
      </c>
      <c r="Q104" t="str">
        <f t="shared" si="21"/>
        <v/>
      </c>
      <c r="T104"/>
      <c r="U104"/>
      <c r="V104"/>
      <c r="W104"/>
    </row>
    <row r="105" spans="1:23" ht="15.6" outlineLevel="2">
      <c r="A105" s="47" t="s">
        <v>1767</v>
      </c>
      <c r="B105" s="50" t="s">
        <v>1768</v>
      </c>
      <c r="C105" s="47" t="s">
        <v>242</v>
      </c>
      <c r="E105" s="37">
        <f>MIN(I105,K105,M105,O105,Q105)</f>
        <v>1361.3820000000001</v>
      </c>
      <c r="F105" s="37">
        <f>AVERAGE(I105,K105,M105,O105,Q105)</f>
        <v>1934.5149560000002</v>
      </c>
      <c r="G105" s="37">
        <f>MAX(I105,K105,M105,O105,Q105)</f>
        <v>2459.1600000000003</v>
      </c>
      <c r="I105" s="38">
        <f t="shared" si="17"/>
        <v>1361.3820000000001</v>
      </c>
      <c r="K105" s="38">
        <f t="shared" si="18"/>
        <v>1555.4660000000001</v>
      </c>
      <c r="M105" s="38">
        <f t="shared" si="19"/>
        <v>2459.1600000000003</v>
      </c>
      <c r="O105" s="38">
        <f t="shared" si="20"/>
        <v>2034.9667800000002</v>
      </c>
      <c r="Q105" s="38">
        <f t="shared" si="21"/>
        <v>2261.6000000000004</v>
      </c>
      <c r="S105" s="38">
        <v>1237.6199999999999</v>
      </c>
      <c r="T105" s="38">
        <v>1414.06</v>
      </c>
      <c r="U105" s="38">
        <v>2235.6</v>
      </c>
      <c r="V105" s="38">
        <v>1849.9698000000001</v>
      </c>
      <c r="W105" s="38">
        <v>2056</v>
      </c>
    </row>
    <row r="106" spans="1:23" ht="15.6" outlineLevel="2">
      <c r="A106" s="51" t="s">
        <v>1769</v>
      </c>
      <c r="B106" s="50" t="s">
        <v>1770</v>
      </c>
      <c r="C106" s="51" t="s">
        <v>242</v>
      </c>
      <c r="E106" s="37">
        <f>MIN(I106,K106,M106,O106,Q106)</f>
        <v>1457.1260000000002</v>
      </c>
      <c r="F106" s="37">
        <f>AVERAGE(I106,K106,M106,O106,Q106)</f>
        <v>2147.058188</v>
      </c>
      <c r="G106" s="37">
        <f>MAX(I106,K106,M106,O106,Q106)</f>
        <v>2610.96</v>
      </c>
      <c r="I106" s="38">
        <f t="shared" si="17"/>
        <v>1457.1260000000002</v>
      </c>
      <c r="K106" s="38">
        <f t="shared" si="18"/>
        <v>2051.5880000000002</v>
      </c>
      <c r="M106" s="38">
        <f t="shared" si="19"/>
        <v>2610.96</v>
      </c>
      <c r="O106" s="38">
        <f t="shared" si="20"/>
        <v>2186.8169399999997</v>
      </c>
      <c r="Q106" s="38">
        <f t="shared" si="21"/>
        <v>2428.8000000000002</v>
      </c>
      <c r="S106" s="38">
        <v>1324.66</v>
      </c>
      <c r="T106" s="38">
        <v>1865.08</v>
      </c>
      <c r="U106" s="38">
        <v>2373.6</v>
      </c>
      <c r="V106" s="38">
        <v>1988.0153999999998</v>
      </c>
      <c r="W106" s="38">
        <v>2208</v>
      </c>
    </row>
    <row r="107" spans="1:23" ht="15.6" outlineLevel="2">
      <c r="A107" s="52" t="s">
        <v>1771</v>
      </c>
      <c r="B107" s="53" t="s">
        <v>1772</v>
      </c>
      <c r="C107" s="52" t="s">
        <v>242</v>
      </c>
      <c r="E107" s="37">
        <f>MIN(I107,K107,M107,O107,Q107)</f>
        <v>1329.0200000000002</v>
      </c>
      <c r="F107" s="37">
        <f>AVERAGE(I107,K107,M107,O107,Q107)</f>
        <v>2012.4474260000002</v>
      </c>
      <c r="G107" s="37">
        <f>MAX(I107,K107,M107,O107,Q107)</f>
        <v>2455.2000000000003</v>
      </c>
      <c r="I107" s="38">
        <f t="shared" si="17"/>
        <v>1329.0200000000002</v>
      </c>
      <c r="K107" s="38">
        <f t="shared" si="18"/>
        <v>1895.2340000000002</v>
      </c>
      <c r="M107" s="38">
        <f t="shared" si="19"/>
        <v>2398.4400000000005</v>
      </c>
      <c r="O107" s="38">
        <f t="shared" si="20"/>
        <v>1984.3431300000002</v>
      </c>
      <c r="Q107" s="38">
        <f t="shared" si="21"/>
        <v>2455.2000000000003</v>
      </c>
      <c r="S107" s="38">
        <v>1208.2</v>
      </c>
      <c r="T107" s="38">
        <v>1722.94</v>
      </c>
      <c r="U107" s="38">
        <v>2180.4</v>
      </c>
      <c r="V107" s="38">
        <v>1803.9483</v>
      </c>
      <c r="W107" s="38">
        <v>2232</v>
      </c>
    </row>
    <row r="108" spans="1:23" ht="15.6" outlineLevel="2">
      <c r="A108" s="52" t="s">
        <v>1773</v>
      </c>
      <c r="B108" s="53" t="s">
        <v>1774</v>
      </c>
      <c r="C108" s="52" t="s">
        <v>242</v>
      </c>
      <c r="E108" s="37">
        <f>MIN(I108,K108,M108,O108,Q108)</f>
        <v>1421.1230000000003</v>
      </c>
      <c r="F108" s="37">
        <f>AVERAGE(I108,K108,M108,O108,Q108)</f>
        <v>2154.5447880000002</v>
      </c>
      <c r="G108" s="37">
        <f>MAX(I108,K108,M108,O108,Q108)</f>
        <v>2637.8</v>
      </c>
      <c r="I108" s="38">
        <f t="shared" si="17"/>
        <v>1421.1230000000003</v>
      </c>
      <c r="K108" s="38">
        <f t="shared" si="18"/>
        <v>2034.9560000000001</v>
      </c>
      <c r="M108" s="38">
        <f t="shared" si="19"/>
        <v>2550.2400000000002</v>
      </c>
      <c r="O108" s="38">
        <f t="shared" si="20"/>
        <v>2128.6049400000002</v>
      </c>
      <c r="Q108" s="38">
        <f t="shared" si="21"/>
        <v>2637.8</v>
      </c>
      <c r="S108" s="38">
        <v>1291.93</v>
      </c>
      <c r="T108" s="38">
        <v>1849.96</v>
      </c>
      <c r="U108" s="38">
        <v>2318.4</v>
      </c>
      <c r="V108" s="38">
        <v>1935.0953999999999</v>
      </c>
      <c r="W108" s="38">
        <v>2398</v>
      </c>
    </row>
    <row r="109" spans="1:23" ht="15" outlineLevel="1">
      <c r="A109" s="31" t="s">
        <v>1775</v>
      </c>
      <c r="B109" s="32" t="s">
        <v>1776</v>
      </c>
      <c r="C109" s="31"/>
      <c r="I109" t="str">
        <f t="shared" si="17"/>
        <v/>
      </c>
      <c r="K109" t="str">
        <f t="shared" si="18"/>
        <v/>
      </c>
      <c r="M109" t="str">
        <f t="shared" si="19"/>
        <v/>
      </c>
      <c r="O109" t="str">
        <f t="shared" si="20"/>
        <v/>
      </c>
      <c r="Q109" t="str">
        <f t="shared" si="21"/>
        <v/>
      </c>
      <c r="T109"/>
      <c r="U109"/>
      <c r="V109"/>
      <c r="W109"/>
    </row>
    <row r="110" spans="1:23" ht="15.6" outlineLevel="2">
      <c r="A110" s="47" t="s">
        <v>1777</v>
      </c>
      <c r="B110" s="50" t="s">
        <v>1778</v>
      </c>
      <c r="C110" s="47" t="s">
        <v>242</v>
      </c>
      <c r="E110" s="37">
        <f>MIN(I110,K110,M110,O110,Q110)</f>
        <v>440.27500000000003</v>
      </c>
      <c r="F110" s="37">
        <f>AVERAGE(I110,K110,M110,O110,Q110)</f>
        <v>1180.5379959999998</v>
      </c>
      <c r="G110" s="37">
        <f>MAX(I110,K110,M110,O110,Q110)</f>
        <v>1944.316</v>
      </c>
      <c r="I110" s="38">
        <f t="shared" si="17"/>
        <v>440.27500000000003</v>
      </c>
      <c r="K110" s="38">
        <f t="shared" si="18"/>
        <v>1944.316</v>
      </c>
      <c r="M110" s="38">
        <f t="shared" si="19"/>
        <v>1851.96</v>
      </c>
      <c r="O110" s="38">
        <f t="shared" si="20"/>
        <v>728.93898000000002</v>
      </c>
      <c r="Q110" s="38">
        <f t="shared" si="21"/>
        <v>937.2</v>
      </c>
      <c r="S110" s="38">
        <v>400.25</v>
      </c>
      <c r="T110" s="38">
        <v>1767.56</v>
      </c>
      <c r="U110" s="38">
        <v>1683.6</v>
      </c>
      <c r="V110" s="38">
        <v>662.67179999999996</v>
      </c>
      <c r="W110" s="38">
        <v>852</v>
      </c>
    </row>
    <row r="111" spans="1:23" ht="15.6" outlineLevel="2">
      <c r="A111" s="52" t="s">
        <v>1779</v>
      </c>
      <c r="B111" s="50" t="s">
        <v>1780</v>
      </c>
      <c r="C111" s="52" t="s">
        <v>242</v>
      </c>
      <c r="E111" s="37">
        <f>MIN(I111,K111,M111,O111,Q111)</f>
        <v>721.01700000000005</v>
      </c>
      <c r="F111" s="37">
        <f>AVERAGE(I111,K111,M111,O111,Q111)</f>
        <v>1482.4921100000001</v>
      </c>
      <c r="G111" s="37">
        <f>MAX(I111,K111,M111,O111,Q111)</f>
        <v>2277</v>
      </c>
      <c r="I111" s="38">
        <f t="shared" si="17"/>
        <v>721.01700000000005</v>
      </c>
      <c r="K111" s="38">
        <f t="shared" si="18"/>
        <v>2089.5819999999999</v>
      </c>
      <c r="M111" s="38">
        <f t="shared" si="19"/>
        <v>2277</v>
      </c>
      <c r="O111" s="38">
        <f t="shared" si="20"/>
        <v>820.06155000000012</v>
      </c>
      <c r="Q111" s="38">
        <f t="shared" si="21"/>
        <v>1504.8000000000002</v>
      </c>
      <c r="S111" s="38">
        <v>655.47</v>
      </c>
      <c r="T111" s="38">
        <v>1899.62</v>
      </c>
      <c r="U111" s="38">
        <v>2070</v>
      </c>
      <c r="V111" s="38">
        <v>745.51050000000009</v>
      </c>
      <c r="W111" s="38">
        <v>1368</v>
      </c>
    </row>
    <row r="112" spans="1:23" ht="15" outlineLevel="1">
      <c r="A112" s="54" t="s">
        <v>1781</v>
      </c>
      <c r="B112" s="32" t="s">
        <v>1782</v>
      </c>
      <c r="C112" s="54"/>
      <c r="I112" t="str">
        <f t="shared" si="17"/>
        <v/>
      </c>
      <c r="K112" t="str">
        <f t="shared" si="18"/>
        <v/>
      </c>
      <c r="M112" t="str">
        <f t="shared" si="19"/>
        <v/>
      </c>
      <c r="O112" t="str">
        <f t="shared" si="20"/>
        <v/>
      </c>
      <c r="Q112" t="str">
        <f t="shared" si="21"/>
        <v/>
      </c>
      <c r="T112"/>
      <c r="U112"/>
      <c r="V112"/>
      <c r="W112"/>
    </row>
    <row r="113" spans="1:23" ht="15.6" outlineLevel="2">
      <c r="A113" s="55" t="s">
        <v>1783</v>
      </c>
      <c r="B113" s="56" t="s">
        <v>1784</v>
      </c>
      <c r="C113" s="55" t="s">
        <v>242</v>
      </c>
      <c r="E113" s="37">
        <f t="shared" ref="E113:E143" si="25">MIN(I113,K113,M113,O113,Q113)</f>
        <v>55.654829999999997</v>
      </c>
      <c r="F113" s="37">
        <f t="shared" ref="F113:F143" si="26">AVERAGE(I113,K113,M113,O113,Q113)</f>
        <v>123.465166</v>
      </c>
      <c r="G113" s="37">
        <f t="shared" ref="G113:G143" si="27">MAX(I113,K113,M113,O113,Q113)</f>
        <v>215.55599999999998</v>
      </c>
      <c r="I113" s="38">
        <f t="shared" si="17"/>
        <v>76.571000000000012</v>
      </c>
      <c r="K113" s="38">
        <f t="shared" si="18"/>
        <v>174.19600000000003</v>
      </c>
      <c r="M113" s="38">
        <f t="shared" si="19"/>
        <v>215.55599999999998</v>
      </c>
      <c r="O113" s="38">
        <f t="shared" si="20"/>
        <v>55.654829999999997</v>
      </c>
      <c r="Q113" s="38">
        <f t="shared" si="21"/>
        <v>95.348000000000013</v>
      </c>
      <c r="S113" s="38">
        <v>69.61</v>
      </c>
      <c r="T113" s="38">
        <v>158.36000000000001</v>
      </c>
      <c r="U113" s="38">
        <v>195.95999999999998</v>
      </c>
      <c r="V113" s="38">
        <v>50.595299999999995</v>
      </c>
      <c r="W113" s="38">
        <v>86.68</v>
      </c>
    </row>
    <row r="114" spans="1:23" ht="15.6" outlineLevel="2">
      <c r="A114" s="55" t="s">
        <v>1785</v>
      </c>
      <c r="B114" s="56" t="s">
        <v>1786</v>
      </c>
      <c r="C114" s="55" t="s">
        <v>242</v>
      </c>
      <c r="E114" s="37">
        <f t="shared" si="25"/>
        <v>55.654829999999997</v>
      </c>
      <c r="F114" s="37">
        <f t="shared" si="26"/>
        <v>131.86036599999997</v>
      </c>
      <c r="G114" s="37">
        <f t="shared" si="27"/>
        <v>215.55599999999998</v>
      </c>
      <c r="I114" s="38">
        <f t="shared" si="17"/>
        <v>113.42100000000001</v>
      </c>
      <c r="K114" s="38">
        <f t="shared" si="18"/>
        <v>168.16800000000001</v>
      </c>
      <c r="M114" s="38">
        <f t="shared" si="19"/>
        <v>215.55599999999998</v>
      </c>
      <c r="O114" s="38">
        <f t="shared" si="20"/>
        <v>55.654829999999997</v>
      </c>
      <c r="Q114" s="38">
        <f t="shared" si="21"/>
        <v>106.502</v>
      </c>
      <c r="S114" s="38">
        <v>103.11</v>
      </c>
      <c r="T114" s="38">
        <v>152.88</v>
      </c>
      <c r="U114" s="38">
        <v>195.95999999999998</v>
      </c>
      <c r="V114" s="38">
        <v>50.595299999999995</v>
      </c>
      <c r="W114" s="38">
        <v>96.82</v>
      </c>
    </row>
    <row r="115" spans="1:23" ht="15.6" outlineLevel="2">
      <c r="A115" s="55" t="s">
        <v>1787</v>
      </c>
      <c r="B115" s="56" t="s">
        <v>1788</v>
      </c>
      <c r="C115" s="55" t="s">
        <v>242</v>
      </c>
      <c r="E115" s="37">
        <f t="shared" si="25"/>
        <v>1.3640000000000001</v>
      </c>
      <c r="F115" s="37">
        <f t="shared" si="26"/>
        <v>3.9519260000000003</v>
      </c>
      <c r="G115" s="37">
        <f t="shared" si="27"/>
        <v>6.5904300000000005</v>
      </c>
      <c r="I115" s="38">
        <f t="shared" si="17"/>
        <v>1.3640000000000001</v>
      </c>
      <c r="K115" s="38">
        <f t="shared" si="18"/>
        <v>5.9620000000000006</v>
      </c>
      <c r="M115" s="38">
        <f t="shared" si="19"/>
        <v>3.6432000000000002</v>
      </c>
      <c r="O115" s="38">
        <f t="shared" si="20"/>
        <v>6.5904300000000005</v>
      </c>
      <c r="Q115" s="38">
        <f t="shared" si="21"/>
        <v>2.2000000000000002</v>
      </c>
      <c r="S115" s="38">
        <v>1.24</v>
      </c>
      <c r="T115" s="38">
        <v>5.42</v>
      </c>
      <c r="U115" s="38">
        <v>3.3119999999999998</v>
      </c>
      <c r="V115" s="38">
        <v>5.9912999999999998</v>
      </c>
      <c r="W115" s="38">
        <v>2</v>
      </c>
    </row>
    <row r="116" spans="1:23" ht="15.6" outlineLevel="2">
      <c r="A116" s="55" t="s">
        <v>1789</v>
      </c>
      <c r="B116" s="56" t="s">
        <v>1790</v>
      </c>
      <c r="C116" s="55" t="s">
        <v>242</v>
      </c>
      <c r="E116" s="37">
        <f t="shared" si="25"/>
        <v>13.728000000000002</v>
      </c>
      <c r="F116" s="37">
        <f t="shared" si="26"/>
        <v>26.182816000000003</v>
      </c>
      <c r="G116" s="37">
        <f t="shared" si="27"/>
        <v>60.720000000000006</v>
      </c>
      <c r="I116" s="38">
        <f t="shared" si="17"/>
        <v>13.728000000000002</v>
      </c>
      <c r="K116" s="38">
        <f t="shared" si="18"/>
        <v>19.734000000000002</v>
      </c>
      <c r="M116" s="38">
        <f t="shared" si="19"/>
        <v>60.720000000000006</v>
      </c>
      <c r="O116" s="38">
        <f t="shared" si="20"/>
        <v>19.792080000000002</v>
      </c>
      <c r="Q116" s="38">
        <f t="shared" si="21"/>
        <v>16.940000000000001</v>
      </c>
      <c r="S116" s="38">
        <v>12.48</v>
      </c>
      <c r="T116" s="38">
        <v>17.940000000000001</v>
      </c>
      <c r="U116" s="38">
        <v>55.2</v>
      </c>
      <c r="V116" s="38">
        <v>17.992799999999999</v>
      </c>
      <c r="W116" s="38">
        <v>15.4</v>
      </c>
    </row>
    <row r="117" spans="1:23" ht="15.6" outlineLevel="2">
      <c r="A117" s="55" t="s">
        <v>1791</v>
      </c>
      <c r="B117" s="56" t="s">
        <v>1792</v>
      </c>
      <c r="C117" s="55" t="s">
        <v>242</v>
      </c>
      <c r="E117" s="37">
        <f t="shared" si="25"/>
        <v>17.556000000000001</v>
      </c>
      <c r="F117" s="37">
        <f t="shared" si="26"/>
        <v>31.848212</v>
      </c>
      <c r="G117" s="37">
        <f t="shared" si="27"/>
        <v>60.720000000000006</v>
      </c>
      <c r="I117" s="38">
        <f t="shared" si="17"/>
        <v>17.556000000000001</v>
      </c>
      <c r="K117" s="38">
        <f t="shared" si="18"/>
        <v>25.167999999999999</v>
      </c>
      <c r="M117" s="38">
        <f t="shared" si="19"/>
        <v>60.720000000000006</v>
      </c>
      <c r="O117" s="38">
        <f t="shared" si="20"/>
        <v>25.239060000000002</v>
      </c>
      <c r="Q117" s="38">
        <f t="shared" si="21"/>
        <v>30.558000000000003</v>
      </c>
      <c r="S117" s="38">
        <v>15.959999999999999</v>
      </c>
      <c r="T117" s="38">
        <v>22.88</v>
      </c>
      <c r="U117" s="38">
        <v>55.2</v>
      </c>
      <c r="V117" s="38">
        <v>22.944600000000001</v>
      </c>
      <c r="W117" s="38">
        <v>27.78</v>
      </c>
    </row>
    <row r="118" spans="1:23" ht="15.6" outlineLevel="2">
      <c r="A118" s="57" t="s">
        <v>1793</v>
      </c>
      <c r="B118" s="58" t="s">
        <v>1794</v>
      </c>
      <c r="C118" s="57" t="s">
        <v>242</v>
      </c>
      <c r="E118" s="37">
        <f t="shared" si="25"/>
        <v>35.101000000000006</v>
      </c>
      <c r="F118" s="37">
        <f t="shared" si="26"/>
        <v>50.51481600000001</v>
      </c>
      <c r="G118" s="37">
        <f t="shared" si="27"/>
        <v>60.720000000000006</v>
      </c>
      <c r="I118" s="38">
        <f t="shared" si="17"/>
        <v>35.101000000000006</v>
      </c>
      <c r="K118" s="38">
        <f t="shared" si="18"/>
        <v>51.546000000000006</v>
      </c>
      <c r="M118" s="38">
        <f t="shared" si="19"/>
        <v>60.720000000000006</v>
      </c>
      <c r="O118" s="38">
        <f t="shared" si="20"/>
        <v>55.135080000000002</v>
      </c>
      <c r="Q118" s="38">
        <f t="shared" si="21"/>
        <v>50.07200000000001</v>
      </c>
      <c r="S118" s="38">
        <v>31.91</v>
      </c>
      <c r="T118" s="38">
        <v>46.86</v>
      </c>
      <c r="U118" s="38">
        <v>55.2</v>
      </c>
      <c r="V118" s="38">
        <v>50.122799999999998</v>
      </c>
      <c r="W118" s="38">
        <v>45.52</v>
      </c>
    </row>
    <row r="119" spans="1:23" ht="15.6" outlineLevel="2">
      <c r="A119" s="57" t="s">
        <v>1795</v>
      </c>
      <c r="B119" s="58" t="s">
        <v>1796</v>
      </c>
      <c r="C119" s="57" t="s">
        <v>242</v>
      </c>
      <c r="E119" s="37">
        <f t="shared" si="25"/>
        <v>50.061</v>
      </c>
      <c r="F119" s="37">
        <f t="shared" si="26"/>
        <v>85.194164000000015</v>
      </c>
      <c r="G119" s="37">
        <f t="shared" si="27"/>
        <v>142.3895</v>
      </c>
      <c r="I119" s="38">
        <f t="shared" si="17"/>
        <v>50.061</v>
      </c>
      <c r="K119" s="38">
        <f t="shared" si="18"/>
        <v>59.092000000000006</v>
      </c>
      <c r="M119" s="38">
        <f t="shared" si="19"/>
        <v>142.3895</v>
      </c>
      <c r="O119" s="38">
        <f t="shared" si="20"/>
        <v>99.958320000000001</v>
      </c>
      <c r="Q119" s="38">
        <f t="shared" si="21"/>
        <v>74.470000000000013</v>
      </c>
      <c r="S119" s="38">
        <v>45.51</v>
      </c>
      <c r="T119" s="38">
        <v>53.72</v>
      </c>
      <c r="U119" s="38">
        <v>129.44499999999999</v>
      </c>
      <c r="V119" s="38">
        <v>90.871199999999988</v>
      </c>
      <c r="W119" s="38">
        <v>67.7</v>
      </c>
    </row>
    <row r="120" spans="1:23" ht="15.6" outlineLevel="2">
      <c r="A120" s="57" t="s">
        <v>1797</v>
      </c>
      <c r="B120" s="58" t="s">
        <v>1798</v>
      </c>
      <c r="C120" s="57" t="s">
        <v>242</v>
      </c>
      <c r="E120" s="37">
        <f t="shared" si="25"/>
        <v>53.283999999999999</v>
      </c>
      <c r="F120" s="37">
        <f t="shared" si="26"/>
        <v>97.117108000000016</v>
      </c>
      <c r="G120" s="37">
        <f t="shared" si="27"/>
        <v>221.32440000000003</v>
      </c>
      <c r="I120" s="38">
        <f t="shared" si="17"/>
        <v>53.283999999999999</v>
      </c>
      <c r="K120" s="38">
        <f t="shared" si="18"/>
        <v>55.77000000000001</v>
      </c>
      <c r="M120" s="38">
        <f t="shared" si="19"/>
        <v>221.32440000000003</v>
      </c>
      <c r="O120" s="38">
        <f t="shared" si="20"/>
        <v>82.453140000000005</v>
      </c>
      <c r="Q120" s="38">
        <f t="shared" si="21"/>
        <v>72.754000000000005</v>
      </c>
      <c r="S120" s="38">
        <v>48.44</v>
      </c>
      <c r="T120" s="38">
        <v>50.7</v>
      </c>
      <c r="U120" s="38">
        <v>201.20400000000001</v>
      </c>
      <c r="V120" s="38">
        <v>74.957399999999993</v>
      </c>
      <c r="W120" s="38">
        <v>66.14</v>
      </c>
    </row>
    <row r="121" spans="1:23" ht="15.6" outlineLevel="2">
      <c r="A121" s="57" t="s">
        <v>1799</v>
      </c>
      <c r="B121" s="58" t="s">
        <v>1800</v>
      </c>
      <c r="C121" s="57" t="s">
        <v>242</v>
      </c>
      <c r="E121" s="37">
        <f t="shared" si="25"/>
        <v>42.273000000000003</v>
      </c>
      <c r="F121" s="37">
        <f t="shared" si="26"/>
        <v>130.12392800000003</v>
      </c>
      <c r="G121" s="37">
        <f t="shared" si="27"/>
        <v>242.88000000000002</v>
      </c>
      <c r="I121" s="38">
        <f t="shared" si="17"/>
        <v>42.273000000000003</v>
      </c>
      <c r="K121" s="38">
        <f t="shared" si="18"/>
        <v>67.144000000000005</v>
      </c>
      <c r="M121" s="38">
        <f t="shared" si="19"/>
        <v>242.88000000000002</v>
      </c>
      <c r="O121" s="38">
        <f t="shared" si="20"/>
        <v>199.91664</v>
      </c>
      <c r="Q121" s="38">
        <f t="shared" si="21"/>
        <v>98.406000000000006</v>
      </c>
      <c r="S121" s="38">
        <v>38.43</v>
      </c>
      <c r="T121" s="38">
        <v>61.04</v>
      </c>
      <c r="U121" s="38">
        <v>220.8</v>
      </c>
      <c r="V121" s="38">
        <v>181.74239999999998</v>
      </c>
      <c r="W121" s="38">
        <v>89.46</v>
      </c>
    </row>
    <row r="122" spans="1:23" ht="15.6" outlineLevel="2">
      <c r="A122" s="57" t="s">
        <v>1801</v>
      </c>
      <c r="B122" s="58" t="s">
        <v>1802</v>
      </c>
      <c r="C122" s="57" t="s">
        <v>242</v>
      </c>
      <c r="E122" s="37">
        <f t="shared" si="25"/>
        <v>7.9860000000000007</v>
      </c>
      <c r="F122" s="37">
        <f t="shared" si="26"/>
        <v>12.726010000000002</v>
      </c>
      <c r="G122" s="37">
        <f t="shared" si="27"/>
        <v>23.377200000000006</v>
      </c>
      <c r="I122" s="38">
        <f t="shared" si="17"/>
        <v>7.9860000000000007</v>
      </c>
      <c r="K122" s="38">
        <f t="shared" si="18"/>
        <v>10.340000000000002</v>
      </c>
      <c r="M122" s="38">
        <f t="shared" si="19"/>
        <v>23.377200000000006</v>
      </c>
      <c r="O122" s="38">
        <f t="shared" si="20"/>
        <v>10.706849999999999</v>
      </c>
      <c r="Q122" s="38">
        <f t="shared" si="21"/>
        <v>11.22</v>
      </c>
      <c r="S122" s="38">
        <v>7.26</v>
      </c>
      <c r="T122" s="38">
        <v>9.4</v>
      </c>
      <c r="U122" s="38">
        <v>21.252000000000002</v>
      </c>
      <c r="V122" s="38">
        <v>9.7334999999999994</v>
      </c>
      <c r="W122" s="38">
        <v>10.199999999999999</v>
      </c>
    </row>
    <row r="123" spans="1:23" ht="15.6" outlineLevel="2">
      <c r="A123" s="57" t="s">
        <v>1803</v>
      </c>
      <c r="B123" s="58" t="s">
        <v>1804</v>
      </c>
      <c r="C123" s="57" t="s">
        <v>242</v>
      </c>
      <c r="E123" s="37">
        <f t="shared" si="25"/>
        <v>177.672</v>
      </c>
      <c r="F123" s="37">
        <f t="shared" si="26"/>
        <v>287.25030400000003</v>
      </c>
      <c r="G123" s="37">
        <f t="shared" si="27"/>
        <v>516.42360000000008</v>
      </c>
      <c r="I123" s="38">
        <f t="shared" si="17"/>
        <v>177.672</v>
      </c>
      <c r="K123" s="38">
        <f t="shared" si="18"/>
        <v>224.48800000000003</v>
      </c>
      <c r="M123" s="38">
        <f t="shared" si="19"/>
        <v>516.42360000000008</v>
      </c>
      <c r="O123" s="38">
        <f t="shared" si="20"/>
        <v>271.26792000000006</v>
      </c>
      <c r="Q123" s="38">
        <f t="shared" si="21"/>
        <v>246.40000000000003</v>
      </c>
      <c r="S123" s="38">
        <v>161.51999999999998</v>
      </c>
      <c r="T123" s="38">
        <v>204.08</v>
      </c>
      <c r="U123" s="38">
        <v>469.476</v>
      </c>
      <c r="V123" s="38">
        <v>246.60720000000003</v>
      </c>
      <c r="W123" s="38">
        <v>224</v>
      </c>
    </row>
    <row r="124" spans="1:23" ht="15.6" outlineLevel="2">
      <c r="A124" s="57" t="s">
        <v>1805</v>
      </c>
      <c r="B124" s="58" t="s">
        <v>1806</v>
      </c>
      <c r="C124" s="57" t="s">
        <v>242</v>
      </c>
      <c r="E124" s="37">
        <f t="shared" si="25"/>
        <v>244.70599999999999</v>
      </c>
      <c r="F124" s="37">
        <f t="shared" si="26"/>
        <v>402.27294799999999</v>
      </c>
      <c r="G124" s="37">
        <f t="shared" si="27"/>
        <v>782.37720000000002</v>
      </c>
      <c r="I124" s="38">
        <f t="shared" si="17"/>
        <v>244.70599999999999</v>
      </c>
      <c r="K124" s="38">
        <f t="shared" si="18"/>
        <v>303.86400000000003</v>
      </c>
      <c r="M124" s="38">
        <f t="shared" si="19"/>
        <v>782.37720000000002</v>
      </c>
      <c r="O124" s="38">
        <f t="shared" si="20"/>
        <v>339.41754000000003</v>
      </c>
      <c r="Q124" s="38">
        <f t="shared" si="21"/>
        <v>341</v>
      </c>
      <c r="S124" s="38">
        <v>222.45999999999998</v>
      </c>
      <c r="T124" s="38">
        <v>276.24</v>
      </c>
      <c r="U124" s="38">
        <v>711.25199999999995</v>
      </c>
      <c r="V124" s="38">
        <v>308.56139999999999</v>
      </c>
      <c r="W124" s="38">
        <v>310</v>
      </c>
    </row>
    <row r="125" spans="1:23" ht="15.6" outlineLevel="2">
      <c r="A125" s="57" t="s">
        <v>1807</v>
      </c>
      <c r="B125" s="58" t="s">
        <v>1808</v>
      </c>
      <c r="C125" s="57" t="s">
        <v>242</v>
      </c>
      <c r="E125" s="37">
        <f t="shared" si="25"/>
        <v>297.50600000000003</v>
      </c>
      <c r="F125" s="37">
        <f t="shared" si="26"/>
        <v>593.51423999999997</v>
      </c>
      <c r="G125" s="37">
        <f t="shared" si="27"/>
        <v>990.95039999999995</v>
      </c>
      <c r="I125" s="38">
        <f t="shared" si="17"/>
        <v>297.50600000000003</v>
      </c>
      <c r="K125" s="38">
        <f t="shared" si="18"/>
        <v>390.10400000000004</v>
      </c>
      <c r="M125" s="38">
        <f t="shared" si="19"/>
        <v>990.95039999999995</v>
      </c>
      <c r="O125" s="38">
        <f t="shared" si="20"/>
        <v>842.41080000000011</v>
      </c>
      <c r="Q125" s="38">
        <f t="shared" si="21"/>
        <v>446.6</v>
      </c>
      <c r="S125" s="38">
        <v>270.45999999999998</v>
      </c>
      <c r="T125" s="38">
        <v>354.64</v>
      </c>
      <c r="U125" s="38">
        <v>900.86399999999992</v>
      </c>
      <c r="V125" s="38">
        <v>765.82800000000009</v>
      </c>
      <c r="W125" s="38">
        <v>406</v>
      </c>
    </row>
    <row r="126" spans="1:23" ht="15.6" outlineLevel="2">
      <c r="A126" s="57" t="s">
        <v>1809</v>
      </c>
      <c r="B126" s="58" t="s">
        <v>1810</v>
      </c>
      <c r="C126" s="57" t="s">
        <v>242</v>
      </c>
      <c r="E126" s="37">
        <f t="shared" si="25"/>
        <v>127.62200000000003</v>
      </c>
      <c r="F126" s="37">
        <f t="shared" si="26"/>
        <v>281.46756000000005</v>
      </c>
      <c r="G126" s="37">
        <f t="shared" si="27"/>
        <v>405.90000000000003</v>
      </c>
      <c r="I126" s="38">
        <f t="shared" si="17"/>
        <v>127.62200000000003</v>
      </c>
      <c r="K126" s="38">
        <f t="shared" si="18"/>
        <v>405.90000000000003</v>
      </c>
      <c r="M126" s="38">
        <f t="shared" si="19"/>
        <v>320.90850000000006</v>
      </c>
      <c r="O126" s="38">
        <f t="shared" si="20"/>
        <v>392.3073</v>
      </c>
      <c r="Q126" s="38">
        <f t="shared" si="21"/>
        <v>160.60000000000002</v>
      </c>
      <c r="S126" s="38">
        <v>116.02000000000001</v>
      </c>
      <c r="T126" s="38">
        <v>369</v>
      </c>
      <c r="U126" s="38">
        <v>291.73500000000001</v>
      </c>
      <c r="V126" s="38">
        <v>356.64299999999997</v>
      </c>
      <c r="W126" s="38">
        <v>146</v>
      </c>
    </row>
    <row r="127" spans="1:23" ht="15.6" outlineLevel="2">
      <c r="A127" s="57" t="s">
        <v>1811</v>
      </c>
      <c r="B127" s="58" t="s">
        <v>1812</v>
      </c>
      <c r="C127" s="57" t="s">
        <v>242</v>
      </c>
      <c r="E127" s="37">
        <f t="shared" si="25"/>
        <v>104.97300000000001</v>
      </c>
      <c r="F127" s="37">
        <f t="shared" si="26"/>
        <v>169.93988000000002</v>
      </c>
      <c r="G127" s="37">
        <f t="shared" si="27"/>
        <v>200.20000000000002</v>
      </c>
      <c r="I127" s="38">
        <f t="shared" si="17"/>
        <v>104.97300000000001</v>
      </c>
      <c r="K127" s="38">
        <f t="shared" si="18"/>
        <v>177.89200000000002</v>
      </c>
      <c r="M127" s="38">
        <f t="shared" si="19"/>
        <v>199.58675000000002</v>
      </c>
      <c r="O127" s="38">
        <f t="shared" si="20"/>
        <v>167.04764999999998</v>
      </c>
      <c r="Q127" s="38">
        <f t="shared" si="21"/>
        <v>200.20000000000002</v>
      </c>
      <c r="S127" s="38">
        <v>95.43</v>
      </c>
      <c r="T127" s="38">
        <v>161.72</v>
      </c>
      <c r="U127" s="38">
        <v>181.4425</v>
      </c>
      <c r="V127" s="38">
        <v>151.86149999999998</v>
      </c>
      <c r="W127" s="38">
        <v>182</v>
      </c>
    </row>
    <row r="128" spans="1:23" ht="15.6" outlineLevel="2">
      <c r="A128" s="57" t="s">
        <v>1813</v>
      </c>
      <c r="B128" s="58" t="s">
        <v>1814</v>
      </c>
      <c r="C128" s="57" t="s">
        <v>242</v>
      </c>
      <c r="E128" s="37">
        <f t="shared" si="25"/>
        <v>117.88700000000001</v>
      </c>
      <c r="F128" s="37">
        <f t="shared" si="26"/>
        <v>197.45239800000002</v>
      </c>
      <c r="G128" s="37">
        <f t="shared" si="27"/>
        <v>255.20000000000002</v>
      </c>
      <c r="I128" s="38">
        <f t="shared" si="17"/>
        <v>117.88700000000001</v>
      </c>
      <c r="K128" s="38">
        <f t="shared" si="18"/>
        <v>199.98000000000002</v>
      </c>
      <c r="M128" s="38">
        <f t="shared" si="19"/>
        <v>224.36150000000004</v>
      </c>
      <c r="O128" s="38">
        <f t="shared" si="20"/>
        <v>189.83349000000001</v>
      </c>
      <c r="Q128" s="38">
        <f t="shared" si="21"/>
        <v>255.20000000000002</v>
      </c>
      <c r="S128" s="38">
        <v>107.17</v>
      </c>
      <c r="T128" s="38">
        <v>181.8</v>
      </c>
      <c r="U128" s="38">
        <v>203.965</v>
      </c>
      <c r="V128" s="38">
        <v>172.57589999999999</v>
      </c>
      <c r="W128" s="38">
        <v>232</v>
      </c>
    </row>
    <row r="129" spans="1:23" ht="15.6" outlineLevel="2">
      <c r="A129" s="57" t="s">
        <v>1815</v>
      </c>
      <c r="B129" s="58" t="s">
        <v>1816</v>
      </c>
      <c r="C129" s="57" t="s">
        <v>242</v>
      </c>
      <c r="E129" s="37">
        <f t="shared" si="25"/>
        <v>104.97300000000001</v>
      </c>
      <c r="F129" s="37">
        <f t="shared" si="26"/>
        <v>174.35363000000001</v>
      </c>
      <c r="G129" s="37">
        <f t="shared" si="27"/>
        <v>226.60000000000002</v>
      </c>
      <c r="I129" s="38">
        <f t="shared" si="17"/>
        <v>104.97300000000001</v>
      </c>
      <c r="K129" s="38">
        <f t="shared" si="18"/>
        <v>173.55800000000002</v>
      </c>
      <c r="M129" s="38">
        <f t="shared" si="19"/>
        <v>199.58950000000002</v>
      </c>
      <c r="O129" s="38">
        <f t="shared" si="20"/>
        <v>167.04764999999998</v>
      </c>
      <c r="Q129" s="38">
        <f t="shared" si="21"/>
        <v>226.60000000000002</v>
      </c>
      <c r="S129" s="38">
        <v>95.43</v>
      </c>
      <c r="T129" s="38">
        <v>157.78</v>
      </c>
      <c r="U129" s="38">
        <v>181.44499999999999</v>
      </c>
      <c r="V129" s="38">
        <v>151.86149999999998</v>
      </c>
      <c r="W129" s="38">
        <v>206</v>
      </c>
    </row>
    <row r="130" spans="1:23" ht="15.6" outlineLevel="2">
      <c r="A130" s="57" t="s">
        <v>1817</v>
      </c>
      <c r="B130" s="58" t="s">
        <v>1818</v>
      </c>
      <c r="C130" s="57" t="s">
        <v>242</v>
      </c>
      <c r="E130" s="37">
        <f t="shared" si="25"/>
        <v>117.88700000000001</v>
      </c>
      <c r="F130" s="37">
        <f t="shared" si="26"/>
        <v>190.24810200000002</v>
      </c>
      <c r="G130" s="37">
        <f t="shared" si="27"/>
        <v>226.60000000000002</v>
      </c>
      <c r="I130" s="38">
        <f t="shared" si="17"/>
        <v>117.88700000000001</v>
      </c>
      <c r="K130" s="38">
        <f t="shared" si="18"/>
        <v>195.09600000000003</v>
      </c>
      <c r="M130" s="38">
        <f t="shared" si="19"/>
        <v>224.36040000000003</v>
      </c>
      <c r="O130" s="38">
        <f t="shared" si="20"/>
        <v>187.29711</v>
      </c>
      <c r="Q130" s="38">
        <f t="shared" si="21"/>
        <v>226.60000000000002</v>
      </c>
      <c r="S130" s="38">
        <v>107.17</v>
      </c>
      <c r="T130" s="38">
        <v>177.36</v>
      </c>
      <c r="U130" s="38">
        <v>203.964</v>
      </c>
      <c r="V130" s="38">
        <v>170.27009999999999</v>
      </c>
      <c r="W130" s="38">
        <v>206</v>
      </c>
    </row>
    <row r="131" spans="1:23" ht="15.6" outlineLevel="2">
      <c r="A131" s="57" t="s">
        <v>1819</v>
      </c>
      <c r="B131" s="58" t="s">
        <v>1820</v>
      </c>
      <c r="C131" s="57" t="s">
        <v>242</v>
      </c>
      <c r="E131" s="37">
        <f t="shared" si="25"/>
        <v>107.04100000000001</v>
      </c>
      <c r="F131" s="37">
        <f t="shared" si="26"/>
        <v>178.205082</v>
      </c>
      <c r="G131" s="37">
        <f t="shared" si="27"/>
        <v>231.00000000000003</v>
      </c>
      <c r="I131" s="38">
        <f t="shared" si="17"/>
        <v>107.04100000000001</v>
      </c>
      <c r="K131" s="38">
        <f t="shared" si="18"/>
        <v>177.14400000000001</v>
      </c>
      <c r="M131" s="38">
        <f t="shared" si="19"/>
        <v>203.72</v>
      </c>
      <c r="O131" s="38">
        <f t="shared" si="20"/>
        <v>172.12041000000002</v>
      </c>
      <c r="Q131" s="38">
        <f t="shared" si="21"/>
        <v>231.00000000000003</v>
      </c>
      <c r="S131" s="38">
        <v>97.31</v>
      </c>
      <c r="T131" s="38">
        <v>161.04</v>
      </c>
      <c r="U131" s="38">
        <v>185.2</v>
      </c>
      <c r="V131" s="38">
        <v>156.47310000000002</v>
      </c>
      <c r="W131" s="38">
        <v>210</v>
      </c>
    </row>
    <row r="132" spans="1:23" ht="15.6" outlineLevel="2">
      <c r="A132" s="57" t="s">
        <v>1821</v>
      </c>
      <c r="B132" s="58" t="s">
        <v>1822</v>
      </c>
      <c r="C132" s="57" t="s">
        <v>242</v>
      </c>
      <c r="E132" s="37">
        <f t="shared" si="25"/>
        <v>214.87400000000002</v>
      </c>
      <c r="F132" s="37">
        <f t="shared" si="26"/>
        <v>348.23428200000001</v>
      </c>
      <c r="G132" s="37">
        <f t="shared" si="27"/>
        <v>411.40000000000003</v>
      </c>
      <c r="I132" s="38">
        <f t="shared" ref="I132:I195" si="28" xml:space="preserve"> IF(ISBLANK(S132),"",_k_EIFFAGE * S132)</f>
        <v>214.87400000000002</v>
      </c>
      <c r="K132" s="38">
        <f t="shared" ref="K132:K195" si="29" xml:space="preserve"> IF(ISBLANK(T132),"",_k_ERI * T132)</f>
        <v>364.38600000000002</v>
      </c>
      <c r="M132" s="38">
        <f t="shared" ref="M132:M195" si="30" xml:space="preserve"> IF(ISBLANK(U132),"",_k_INEO * U132)</f>
        <v>408.82776000000007</v>
      </c>
      <c r="O132" s="38">
        <f t="shared" ref="O132:O195" si="31" xml:space="preserve"> IF(ISBLANK(V132),"",_k_SDEL * V132)</f>
        <v>341.68365</v>
      </c>
      <c r="Q132" s="38">
        <f t="shared" ref="Q132:Q195" si="32" xml:space="preserve"> IF(ISBLANK(W132),"",_k_SOGETREL * W132)</f>
        <v>411.40000000000003</v>
      </c>
      <c r="S132" s="38">
        <v>195.34</v>
      </c>
      <c r="T132" s="38">
        <v>331.26</v>
      </c>
      <c r="U132" s="38">
        <v>371.66160000000002</v>
      </c>
      <c r="V132" s="38">
        <v>310.62149999999997</v>
      </c>
      <c r="W132" s="38">
        <v>374</v>
      </c>
    </row>
    <row r="133" spans="1:23" ht="15.6" outlineLevel="2">
      <c r="A133" s="57" t="s">
        <v>1823</v>
      </c>
      <c r="B133" s="58" t="s">
        <v>1824</v>
      </c>
      <c r="C133" s="57" t="s">
        <v>242</v>
      </c>
      <c r="E133" s="37">
        <f t="shared" si="25"/>
        <v>254.74900000000002</v>
      </c>
      <c r="F133" s="37">
        <f t="shared" si="26"/>
        <v>423.67558200000002</v>
      </c>
      <c r="G133" s="37">
        <f t="shared" si="27"/>
        <v>552.20000000000005</v>
      </c>
      <c r="I133" s="38">
        <f t="shared" si="28"/>
        <v>254.74900000000002</v>
      </c>
      <c r="K133" s="38">
        <f t="shared" si="29"/>
        <v>421.608</v>
      </c>
      <c r="M133" s="38">
        <f t="shared" si="30"/>
        <v>484.85250000000002</v>
      </c>
      <c r="O133" s="38">
        <f t="shared" si="31"/>
        <v>404.96840999999995</v>
      </c>
      <c r="Q133" s="38">
        <f t="shared" si="32"/>
        <v>552.20000000000005</v>
      </c>
      <c r="S133" s="38">
        <v>231.59</v>
      </c>
      <c r="T133" s="38">
        <v>383.28</v>
      </c>
      <c r="U133" s="38">
        <v>440.77499999999998</v>
      </c>
      <c r="V133" s="38">
        <v>368.15309999999994</v>
      </c>
      <c r="W133" s="38">
        <v>502</v>
      </c>
    </row>
    <row r="134" spans="1:23" ht="15.6" outlineLevel="2">
      <c r="A134" s="57" t="s">
        <v>1825</v>
      </c>
      <c r="B134" s="58" t="s">
        <v>1826</v>
      </c>
      <c r="C134" s="57" t="s">
        <v>242</v>
      </c>
      <c r="E134" s="37">
        <f t="shared" si="25"/>
        <v>214.87400000000002</v>
      </c>
      <c r="F134" s="37">
        <f t="shared" si="26"/>
        <v>357.01742999999999</v>
      </c>
      <c r="G134" s="37">
        <f t="shared" si="27"/>
        <v>464.20000000000005</v>
      </c>
      <c r="I134" s="38">
        <f t="shared" si="28"/>
        <v>214.87400000000002</v>
      </c>
      <c r="K134" s="38">
        <f t="shared" si="29"/>
        <v>355.49800000000005</v>
      </c>
      <c r="M134" s="38">
        <f t="shared" si="30"/>
        <v>408.83150000000006</v>
      </c>
      <c r="O134" s="38">
        <f t="shared" si="31"/>
        <v>341.68365</v>
      </c>
      <c r="Q134" s="38">
        <f t="shared" si="32"/>
        <v>464.20000000000005</v>
      </c>
      <c r="S134" s="38">
        <v>195.34</v>
      </c>
      <c r="T134" s="38">
        <v>323.18</v>
      </c>
      <c r="U134" s="38">
        <v>371.66500000000002</v>
      </c>
      <c r="V134" s="38">
        <v>310.62149999999997</v>
      </c>
      <c r="W134" s="38">
        <v>422</v>
      </c>
    </row>
    <row r="135" spans="1:23" ht="15.6" outlineLevel="2">
      <c r="A135" s="57" t="s">
        <v>1827</v>
      </c>
      <c r="B135" s="58" t="s">
        <v>1828</v>
      </c>
      <c r="C135" s="57" t="s">
        <v>242</v>
      </c>
      <c r="E135" s="37">
        <f t="shared" si="25"/>
        <v>254.74900000000002</v>
      </c>
      <c r="F135" s="37">
        <f t="shared" si="26"/>
        <v>413.02252200000004</v>
      </c>
      <c r="G135" s="37">
        <f t="shared" si="27"/>
        <v>488.40000000000003</v>
      </c>
      <c r="I135" s="38">
        <f t="shared" si="28"/>
        <v>254.74900000000002</v>
      </c>
      <c r="K135" s="38">
        <f t="shared" si="29"/>
        <v>432.14600000000007</v>
      </c>
      <c r="M135" s="38">
        <f t="shared" si="30"/>
        <v>484.84920000000005</v>
      </c>
      <c r="O135" s="38">
        <f t="shared" si="31"/>
        <v>404.96840999999995</v>
      </c>
      <c r="Q135" s="38">
        <f t="shared" si="32"/>
        <v>488.40000000000003</v>
      </c>
      <c r="S135" s="38">
        <v>231.59</v>
      </c>
      <c r="T135" s="38">
        <v>392.86</v>
      </c>
      <c r="U135" s="38">
        <v>440.77199999999999</v>
      </c>
      <c r="V135" s="38">
        <v>368.15309999999994</v>
      </c>
      <c r="W135" s="38">
        <v>444</v>
      </c>
    </row>
    <row r="136" spans="1:23" ht="15.6" outlineLevel="2">
      <c r="A136" s="57" t="s">
        <v>1829</v>
      </c>
      <c r="B136" s="58" t="s">
        <v>1830</v>
      </c>
      <c r="C136" s="57" t="s">
        <v>242</v>
      </c>
      <c r="E136" s="37">
        <f t="shared" si="25"/>
        <v>280.28000000000003</v>
      </c>
      <c r="F136" s="37">
        <f t="shared" si="26"/>
        <v>468.36356599999999</v>
      </c>
      <c r="G136" s="37">
        <f t="shared" si="27"/>
        <v>607.20000000000005</v>
      </c>
      <c r="I136" s="38">
        <f t="shared" si="28"/>
        <v>280.28000000000003</v>
      </c>
      <c r="K136" s="38">
        <f t="shared" si="29"/>
        <v>475.44200000000006</v>
      </c>
      <c r="M136" s="38">
        <f t="shared" si="30"/>
        <v>533.4285000000001</v>
      </c>
      <c r="O136" s="38">
        <f t="shared" si="31"/>
        <v>445.46733000000006</v>
      </c>
      <c r="Q136" s="38">
        <f t="shared" si="32"/>
        <v>607.20000000000005</v>
      </c>
      <c r="S136" s="38">
        <v>254.79999999999998</v>
      </c>
      <c r="T136" s="38">
        <v>432.22</v>
      </c>
      <c r="U136" s="38">
        <v>484.935</v>
      </c>
      <c r="V136" s="38">
        <v>404.97030000000001</v>
      </c>
      <c r="W136" s="38">
        <v>552</v>
      </c>
    </row>
    <row r="137" spans="1:23" ht="15.6" outlineLevel="2">
      <c r="A137" s="57" t="s">
        <v>1831</v>
      </c>
      <c r="B137" s="58" t="s">
        <v>1832</v>
      </c>
      <c r="C137" s="57" t="s">
        <v>242</v>
      </c>
      <c r="E137" s="37">
        <f t="shared" si="25"/>
        <v>105.51200000000001</v>
      </c>
      <c r="F137" s="37">
        <f t="shared" si="26"/>
        <v>176.734206</v>
      </c>
      <c r="G137" s="37">
        <f t="shared" si="27"/>
        <v>228.8</v>
      </c>
      <c r="I137" s="38">
        <f t="shared" si="28"/>
        <v>105.51200000000001</v>
      </c>
      <c r="K137" s="38">
        <f t="shared" si="29"/>
        <v>178.97</v>
      </c>
      <c r="M137" s="38">
        <f t="shared" si="30"/>
        <v>200.80500000000001</v>
      </c>
      <c r="O137" s="38">
        <f t="shared" si="31"/>
        <v>169.58402999999998</v>
      </c>
      <c r="Q137" s="38">
        <f t="shared" si="32"/>
        <v>228.8</v>
      </c>
      <c r="S137" s="38">
        <v>95.92</v>
      </c>
      <c r="T137" s="38">
        <v>162.69999999999999</v>
      </c>
      <c r="U137" s="38">
        <v>182.54999999999998</v>
      </c>
      <c r="V137" s="38">
        <v>154.16729999999998</v>
      </c>
      <c r="W137" s="38">
        <v>208</v>
      </c>
    </row>
    <row r="138" spans="1:23" ht="15.6" outlineLevel="2">
      <c r="A138" s="57" t="s">
        <v>1833</v>
      </c>
      <c r="B138" s="58" t="s">
        <v>1834</v>
      </c>
      <c r="C138" s="57" t="s">
        <v>242</v>
      </c>
      <c r="E138" s="37">
        <f t="shared" si="25"/>
        <v>127.62200000000003</v>
      </c>
      <c r="F138" s="37">
        <f t="shared" si="26"/>
        <v>213.94183800000002</v>
      </c>
      <c r="G138" s="37">
        <f t="shared" si="27"/>
        <v>277.20000000000005</v>
      </c>
      <c r="I138" s="38">
        <f t="shared" si="28"/>
        <v>127.62200000000003</v>
      </c>
      <c r="K138" s="38">
        <f t="shared" si="29"/>
        <v>216.72200000000004</v>
      </c>
      <c r="M138" s="38">
        <f t="shared" si="30"/>
        <v>243.155</v>
      </c>
      <c r="O138" s="38">
        <f t="shared" si="31"/>
        <v>205.01018999999999</v>
      </c>
      <c r="Q138" s="38">
        <f t="shared" si="32"/>
        <v>277.20000000000005</v>
      </c>
      <c r="S138" s="38">
        <v>116.02000000000001</v>
      </c>
      <c r="T138" s="38">
        <v>197.02</v>
      </c>
      <c r="U138" s="38">
        <v>221.04999999999998</v>
      </c>
      <c r="V138" s="38">
        <v>186.37289999999999</v>
      </c>
      <c r="W138" s="38">
        <v>252</v>
      </c>
    </row>
    <row r="139" spans="1:23" ht="15.6" outlineLevel="2">
      <c r="A139" s="57" t="s">
        <v>1835</v>
      </c>
      <c r="B139" s="58" t="s">
        <v>1836</v>
      </c>
      <c r="C139" s="57" t="s">
        <v>242</v>
      </c>
      <c r="E139" s="37">
        <f t="shared" si="25"/>
        <v>127.62200000000003</v>
      </c>
      <c r="F139" s="37">
        <f t="shared" si="26"/>
        <v>213.94183800000002</v>
      </c>
      <c r="G139" s="37">
        <f t="shared" si="27"/>
        <v>277.20000000000005</v>
      </c>
      <c r="I139" s="38">
        <f t="shared" si="28"/>
        <v>127.62200000000003</v>
      </c>
      <c r="K139" s="38">
        <f t="shared" si="29"/>
        <v>216.72200000000004</v>
      </c>
      <c r="M139" s="38">
        <f t="shared" si="30"/>
        <v>243.155</v>
      </c>
      <c r="O139" s="38">
        <f t="shared" si="31"/>
        <v>205.01018999999999</v>
      </c>
      <c r="Q139" s="38">
        <f t="shared" si="32"/>
        <v>277.20000000000005</v>
      </c>
      <c r="S139" s="38">
        <v>116.02000000000001</v>
      </c>
      <c r="T139" s="38">
        <v>197.02</v>
      </c>
      <c r="U139" s="38">
        <v>221.04999999999998</v>
      </c>
      <c r="V139" s="38">
        <v>186.37289999999999</v>
      </c>
      <c r="W139" s="38">
        <v>252</v>
      </c>
    </row>
    <row r="140" spans="1:23" ht="15.6" outlineLevel="2">
      <c r="A140" s="57" t="s">
        <v>1837</v>
      </c>
      <c r="B140" s="58" t="s">
        <v>1838</v>
      </c>
      <c r="C140" s="57" t="s">
        <v>242</v>
      </c>
      <c r="E140" s="37">
        <f t="shared" si="25"/>
        <v>146.047</v>
      </c>
      <c r="F140" s="37">
        <f t="shared" si="26"/>
        <v>244.27699999999999</v>
      </c>
      <c r="G140" s="37">
        <f t="shared" si="27"/>
        <v>316.8</v>
      </c>
      <c r="I140" s="38">
        <f t="shared" si="28"/>
        <v>146.047</v>
      </c>
      <c r="K140" s="38">
        <f t="shared" si="29"/>
        <v>247.74200000000002</v>
      </c>
      <c r="M140" s="38">
        <f t="shared" si="30"/>
        <v>277.94800000000004</v>
      </c>
      <c r="O140" s="38">
        <f t="shared" si="31"/>
        <v>232.84799999999998</v>
      </c>
      <c r="Q140" s="38">
        <f t="shared" si="32"/>
        <v>316.8</v>
      </c>
      <c r="S140" s="38">
        <v>132.76999999999998</v>
      </c>
      <c r="T140" s="38">
        <v>225.22</v>
      </c>
      <c r="U140" s="38">
        <v>252.68</v>
      </c>
      <c r="V140" s="38">
        <v>211.67999999999998</v>
      </c>
      <c r="W140" s="38">
        <v>288</v>
      </c>
    </row>
    <row r="141" spans="1:23" ht="15.6" outlineLevel="2">
      <c r="A141" s="57" t="s">
        <v>1839</v>
      </c>
      <c r="B141" s="58" t="s">
        <v>1840</v>
      </c>
      <c r="C141" s="57" t="s">
        <v>242</v>
      </c>
      <c r="E141" s="37">
        <f t="shared" si="25"/>
        <v>256.971</v>
      </c>
      <c r="F141" s="37">
        <f t="shared" si="26"/>
        <v>429.71407600000003</v>
      </c>
      <c r="G141" s="37">
        <f t="shared" si="27"/>
        <v>556.6</v>
      </c>
      <c r="I141" s="38">
        <f t="shared" si="28"/>
        <v>256.971</v>
      </c>
      <c r="K141" s="38">
        <f t="shared" si="29"/>
        <v>435.90800000000002</v>
      </c>
      <c r="M141" s="38">
        <f t="shared" si="30"/>
        <v>489.07100000000003</v>
      </c>
      <c r="O141" s="38">
        <f t="shared" si="31"/>
        <v>410.02037999999999</v>
      </c>
      <c r="Q141" s="38">
        <f t="shared" si="32"/>
        <v>556.6</v>
      </c>
      <c r="S141" s="38">
        <v>233.60999999999999</v>
      </c>
      <c r="T141" s="38">
        <v>396.28</v>
      </c>
      <c r="U141" s="38">
        <v>444.61</v>
      </c>
      <c r="V141" s="38">
        <v>372.74579999999997</v>
      </c>
      <c r="W141" s="38">
        <v>506</v>
      </c>
    </row>
    <row r="142" spans="1:23" ht="15.6" outlineLevel="2">
      <c r="A142" s="57" t="s">
        <v>1841</v>
      </c>
      <c r="B142" s="58" t="s">
        <v>1842</v>
      </c>
      <c r="C142" s="57" t="s">
        <v>242</v>
      </c>
      <c r="E142" s="37">
        <f t="shared" si="25"/>
        <v>201.33300000000003</v>
      </c>
      <c r="F142" s="37">
        <f t="shared" si="26"/>
        <v>336.46806600000002</v>
      </c>
      <c r="G142" s="37">
        <f t="shared" si="27"/>
        <v>435.6</v>
      </c>
      <c r="I142" s="38">
        <f t="shared" si="28"/>
        <v>201.33300000000003</v>
      </c>
      <c r="K142" s="38">
        <f t="shared" si="29"/>
        <v>333.19</v>
      </c>
      <c r="M142" s="38">
        <f t="shared" si="30"/>
        <v>383.17399999999998</v>
      </c>
      <c r="O142" s="38">
        <f t="shared" si="31"/>
        <v>329.04333000000003</v>
      </c>
      <c r="Q142" s="38">
        <f t="shared" si="32"/>
        <v>435.6</v>
      </c>
      <c r="S142" s="38">
        <v>183.03</v>
      </c>
      <c r="T142" s="38">
        <v>302.89999999999998</v>
      </c>
      <c r="U142" s="38">
        <v>348.34</v>
      </c>
      <c r="V142" s="38">
        <v>299.13029999999998</v>
      </c>
      <c r="W142" s="38">
        <v>396</v>
      </c>
    </row>
    <row r="143" spans="1:23" ht="15.6" outlineLevel="2">
      <c r="A143" s="57" t="s">
        <v>1843</v>
      </c>
      <c r="B143" s="58" t="s">
        <v>1844</v>
      </c>
      <c r="C143" s="57" t="s">
        <v>242</v>
      </c>
      <c r="E143" s="37">
        <f t="shared" si="25"/>
        <v>287.50700000000001</v>
      </c>
      <c r="F143" s="37">
        <f t="shared" si="26"/>
        <v>449.72078799999997</v>
      </c>
      <c r="G143" s="37">
        <f t="shared" si="27"/>
        <v>622.6</v>
      </c>
      <c r="I143" s="38">
        <f t="shared" si="28"/>
        <v>287.50700000000001</v>
      </c>
      <c r="K143" s="38">
        <f t="shared" si="29"/>
        <v>333.19</v>
      </c>
      <c r="M143" s="38">
        <f t="shared" si="30"/>
        <v>547.1785000000001</v>
      </c>
      <c r="O143" s="38">
        <f t="shared" si="31"/>
        <v>458.12844000000007</v>
      </c>
      <c r="Q143" s="38">
        <f t="shared" si="32"/>
        <v>622.6</v>
      </c>
      <c r="S143" s="38">
        <v>261.37</v>
      </c>
      <c r="T143" s="38">
        <v>302.89999999999998</v>
      </c>
      <c r="U143" s="38">
        <v>497.435</v>
      </c>
      <c r="V143" s="38">
        <v>416.48040000000003</v>
      </c>
      <c r="W143" s="38">
        <v>566</v>
      </c>
    </row>
    <row r="144" spans="1:23" ht="15" outlineLevel="1">
      <c r="A144" s="31" t="s">
        <v>1845</v>
      </c>
      <c r="B144" s="59" t="s">
        <v>1846</v>
      </c>
      <c r="C144" s="31"/>
      <c r="I144" t="str">
        <f t="shared" si="28"/>
        <v/>
      </c>
      <c r="K144" t="str">
        <f t="shared" si="29"/>
        <v/>
      </c>
      <c r="M144" t="str">
        <f t="shared" si="30"/>
        <v/>
      </c>
      <c r="O144" t="str">
        <f t="shared" si="31"/>
        <v/>
      </c>
      <c r="Q144" t="str">
        <f t="shared" si="32"/>
        <v/>
      </c>
      <c r="T144"/>
      <c r="U144"/>
      <c r="V144"/>
      <c r="W144"/>
    </row>
    <row r="145" spans="1:23" ht="15.6" outlineLevel="2">
      <c r="A145" s="60" t="s">
        <v>1847</v>
      </c>
      <c r="B145" s="61" t="s">
        <v>1848</v>
      </c>
      <c r="C145" s="60" t="s">
        <v>242</v>
      </c>
      <c r="E145" s="37">
        <f t="shared" ref="E145:E154" si="33">MIN(I145,K145,M145,O145,Q145)</f>
        <v>213.85100000000003</v>
      </c>
      <c r="F145" s="37">
        <f t="shared" ref="F145:F154" si="34">AVERAGE(I145,K145,M145,O145,Q145)</f>
        <v>347.97780599999999</v>
      </c>
      <c r="G145" s="37">
        <f t="shared" ref="G145:G154" si="35">MAX(I145,K145,M145,O145,Q145)</f>
        <v>409.86000000000007</v>
      </c>
      <c r="I145" s="38">
        <f t="shared" si="28"/>
        <v>213.85100000000003</v>
      </c>
      <c r="K145" s="38">
        <f t="shared" si="29"/>
        <v>362.75799999999998</v>
      </c>
      <c r="M145" s="38">
        <f t="shared" si="30"/>
        <v>409.86000000000007</v>
      </c>
      <c r="O145" s="38">
        <f t="shared" si="31"/>
        <v>344.22002999999995</v>
      </c>
      <c r="Q145" s="38">
        <f t="shared" si="32"/>
        <v>409.20000000000005</v>
      </c>
      <c r="S145" s="38">
        <v>194.41</v>
      </c>
      <c r="T145" s="38">
        <v>329.78</v>
      </c>
      <c r="U145" s="38">
        <v>372.6</v>
      </c>
      <c r="V145" s="38">
        <v>312.92729999999995</v>
      </c>
      <c r="W145" s="38">
        <v>372</v>
      </c>
    </row>
    <row r="146" spans="1:23" ht="15.6" outlineLevel="2">
      <c r="A146" s="60" t="s">
        <v>1849</v>
      </c>
      <c r="B146" s="61" t="s">
        <v>1850</v>
      </c>
      <c r="C146" s="60" t="s">
        <v>242</v>
      </c>
      <c r="E146" s="37">
        <f t="shared" si="33"/>
        <v>231.22</v>
      </c>
      <c r="F146" s="37">
        <f t="shared" si="34"/>
        <v>375.08404999999999</v>
      </c>
      <c r="G146" s="37">
        <f t="shared" si="35"/>
        <v>442.20000000000005</v>
      </c>
      <c r="I146" s="38">
        <f t="shared" si="28"/>
        <v>231.22</v>
      </c>
      <c r="K146" s="38">
        <f t="shared" si="29"/>
        <v>392.238</v>
      </c>
      <c r="M146" s="38">
        <f t="shared" si="30"/>
        <v>440.22</v>
      </c>
      <c r="O146" s="38">
        <f t="shared" si="31"/>
        <v>369.54225000000002</v>
      </c>
      <c r="Q146" s="38">
        <f t="shared" si="32"/>
        <v>442.20000000000005</v>
      </c>
      <c r="S146" s="38">
        <v>210.2</v>
      </c>
      <c r="T146" s="38">
        <v>356.58</v>
      </c>
      <c r="U146" s="38">
        <v>400.2</v>
      </c>
      <c r="V146" s="38">
        <v>335.94749999999999</v>
      </c>
      <c r="W146" s="38">
        <v>402</v>
      </c>
    </row>
    <row r="147" spans="1:23" ht="15.6" outlineLevel="2">
      <c r="A147" s="60" t="s">
        <v>1851</v>
      </c>
      <c r="B147" s="61" t="s">
        <v>1852</v>
      </c>
      <c r="C147" s="60" t="s">
        <v>242</v>
      </c>
      <c r="E147" s="37">
        <f t="shared" si="33"/>
        <v>228.65700000000001</v>
      </c>
      <c r="F147" s="37">
        <f t="shared" si="34"/>
        <v>369.80961600000006</v>
      </c>
      <c r="G147" s="37">
        <f t="shared" si="35"/>
        <v>437.8</v>
      </c>
      <c r="I147" s="38">
        <f t="shared" si="28"/>
        <v>228.65700000000001</v>
      </c>
      <c r="K147" s="38">
        <f t="shared" si="29"/>
        <v>378.42200000000003</v>
      </c>
      <c r="M147" s="38">
        <f t="shared" si="30"/>
        <v>437.18400000000003</v>
      </c>
      <c r="O147" s="38">
        <f t="shared" si="31"/>
        <v>366.98508000000004</v>
      </c>
      <c r="Q147" s="38">
        <f t="shared" si="32"/>
        <v>437.8</v>
      </c>
      <c r="S147" s="38">
        <v>207.87</v>
      </c>
      <c r="T147" s="38">
        <v>344.02</v>
      </c>
      <c r="U147" s="38">
        <v>397.44</v>
      </c>
      <c r="V147" s="38">
        <v>333.62279999999998</v>
      </c>
      <c r="W147" s="38">
        <v>398</v>
      </c>
    </row>
    <row r="148" spans="1:23" ht="15.6" outlineLevel="2">
      <c r="A148" s="60" t="s">
        <v>1853</v>
      </c>
      <c r="B148" s="61" t="s">
        <v>1854</v>
      </c>
      <c r="C148" s="60" t="s">
        <v>242</v>
      </c>
      <c r="E148" s="37">
        <f t="shared" si="33"/>
        <v>246.02600000000001</v>
      </c>
      <c r="F148" s="37">
        <f t="shared" si="34"/>
        <v>400.62505999999996</v>
      </c>
      <c r="G148" s="37">
        <f t="shared" si="35"/>
        <v>476.65200000000004</v>
      </c>
      <c r="I148" s="38">
        <f t="shared" si="28"/>
        <v>246.02600000000001</v>
      </c>
      <c r="K148" s="38">
        <f t="shared" si="29"/>
        <v>417.34000000000003</v>
      </c>
      <c r="M148" s="38">
        <f t="shared" si="30"/>
        <v>476.65200000000004</v>
      </c>
      <c r="O148" s="38">
        <f t="shared" si="31"/>
        <v>392.30730000000005</v>
      </c>
      <c r="Q148" s="38">
        <f t="shared" si="32"/>
        <v>470.8</v>
      </c>
      <c r="S148" s="38">
        <v>223.66</v>
      </c>
      <c r="T148" s="38">
        <v>379.4</v>
      </c>
      <c r="U148" s="38">
        <v>433.32</v>
      </c>
      <c r="V148" s="38">
        <v>356.64300000000003</v>
      </c>
      <c r="W148" s="38">
        <v>428</v>
      </c>
    </row>
    <row r="149" spans="1:23" ht="15.6" outlineLevel="2">
      <c r="A149" s="60" t="s">
        <v>1855</v>
      </c>
      <c r="B149" s="61" t="s">
        <v>1856</v>
      </c>
      <c r="C149" s="60" t="s">
        <v>242</v>
      </c>
      <c r="E149" s="37">
        <f t="shared" si="33"/>
        <v>280.17</v>
      </c>
      <c r="F149" s="37">
        <f t="shared" si="34"/>
        <v>467.27938400000005</v>
      </c>
      <c r="G149" s="37">
        <f t="shared" si="35"/>
        <v>607.20000000000005</v>
      </c>
      <c r="I149" s="38">
        <f t="shared" si="28"/>
        <v>280.17</v>
      </c>
      <c r="K149" s="38">
        <f t="shared" si="29"/>
        <v>463.67200000000003</v>
      </c>
      <c r="M149" s="38">
        <f t="shared" si="30"/>
        <v>537.37200000000007</v>
      </c>
      <c r="O149" s="38">
        <f t="shared" si="31"/>
        <v>447.98292000000004</v>
      </c>
      <c r="Q149" s="38">
        <f t="shared" si="32"/>
        <v>607.20000000000005</v>
      </c>
      <c r="S149" s="38">
        <v>254.7</v>
      </c>
      <c r="T149" s="38">
        <v>421.52</v>
      </c>
      <c r="U149" s="38">
        <v>488.52</v>
      </c>
      <c r="V149" s="38">
        <v>407.25720000000001</v>
      </c>
      <c r="W149" s="38">
        <v>552</v>
      </c>
    </row>
    <row r="150" spans="1:23" ht="15.6" outlineLevel="2">
      <c r="A150" s="60" t="s">
        <v>1857</v>
      </c>
      <c r="B150" s="61" t="s">
        <v>1858</v>
      </c>
      <c r="C150" s="60" t="s">
        <v>242</v>
      </c>
      <c r="E150" s="37">
        <f t="shared" si="33"/>
        <v>544.17825000000005</v>
      </c>
      <c r="F150" s="37">
        <f t="shared" si="34"/>
        <v>644.78997000000004</v>
      </c>
      <c r="G150" s="37">
        <f t="shared" si="35"/>
        <v>716.04060000000004</v>
      </c>
      <c r="I150" s="38">
        <f t="shared" si="28"/>
        <v>623.71100000000001</v>
      </c>
      <c r="K150" s="38">
        <f t="shared" si="29"/>
        <v>638.22000000000014</v>
      </c>
      <c r="M150" s="38">
        <f t="shared" si="30"/>
        <v>716.04060000000004</v>
      </c>
      <c r="O150" s="38">
        <f t="shared" si="31"/>
        <v>544.17825000000005</v>
      </c>
      <c r="Q150" s="38">
        <f t="shared" si="32"/>
        <v>701.80000000000007</v>
      </c>
      <c r="S150" s="38">
        <v>567.01</v>
      </c>
      <c r="T150" s="38">
        <v>580.20000000000005</v>
      </c>
      <c r="U150" s="38">
        <v>650.94600000000003</v>
      </c>
      <c r="V150" s="38">
        <v>494.70749999999998</v>
      </c>
      <c r="W150" s="38">
        <v>638</v>
      </c>
    </row>
    <row r="151" spans="1:23" ht="15.6" outlineLevel="2">
      <c r="A151" s="60" t="s">
        <v>1859</v>
      </c>
      <c r="B151" s="61" t="s">
        <v>1860</v>
      </c>
      <c r="C151" s="60" t="s">
        <v>242</v>
      </c>
      <c r="E151" s="37">
        <f t="shared" si="33"/>
        <v>597.31749000000002</v>
      </c>
      <c r="F151" s="37">
        <f t="shared" si="34"/>
        <v>683.60289799999998</v>
      </c>
      <c r="G151" s="37">
        <f t="shared" si="35"/>
        <v>814.00000000000011</v>
      </c>
      <c r="I151" s="38">
        <f t="shared" si="28"/>
        <v>652.43200000000002</v>
      </c>
      <c r="K151" s="38">
        <f t="shared" si="29"/>
        <v>638.22000000000014</v>
      </c>
      <c r="M151" s="38">
        <f t="shared" si="30"/>
        <v>716.04500000000007</v>
      </c>
      <c r="O151" s="38">
        <f t="shared" si="31"/>
        <v>597.31749000000002</v>
      </c>
      <c r="Q151" s="38">
        <f t="shared" si="32"/>
        <v>814.00000000000011</v>
      </c>
      <c r="S151" s="38">
        <v>593.12</v>
      </c>
      <c r="T151" s="38">
        <v>580.20000000000005</v>
      </c>
      <c r="U151" s="38">
        <v>650.95000000000005</v>
      </c>
      <c r="V151" s="38">
        <v>543.01589999999999</v>
      </c>
      <c r="W151" s="38">
        <v>740</v>
      </c>
    </row>
    <row r="152" spans="1:23" ht="15.6" outlineLevel="2">
      <c r="A152" s="60" t="s">
        <v>1861</v>
      </c>
      <c r="B152" s="61" t="s">
        <v>1862</v>
      </c>
      <c r="C152" s="60" t="s">
        <v>242</v>
      </c>
      <c r="E152" s="37">
        <f t="shared" si="33"/>
        <v>597.31749000000002</v>
      </c>
      <c r="F152" s="37">
        <f t="shared" si="34"/>
        <v>680.48769800000002</v>
      </c>
      <c r="G152" s="37">
        <f t="shared" si="35"/>
        <v>814.00000000000011</v>
      </c>
      <c r="I152" s="38">
        <f t="shared" si="28"/>
        <v>652.43200000000002</v>
      </c>
      <c r="K152" s="38">
        <f t="shared" si="29"/>
        <v>622.64400000000001</v>
      </c>
      <c r="M152" s="38">
        <f t="shared" si="30"/>
        <v>716.04500000000007</v>
      </c>
      <c r="O152" s="38">
        <f t="shared" si="31"/>
        <v>597.31749000000002</v>
      </c>
      <c r="Q152" s="38">
        <f t="shared" si="32"/>
        <v>814.00000000000011</v>
      </c>
      <c r="S152" s="38">
        <v>593.12</v>
      </c>
      <c r="T152" s="38">
        <v>566.04</v>
      </c>
      <c r="U152" s="38">
        <v>650.95000000000005</v>
      </c>
      <c r="V152" s="38">
        <v>543.01589999999999</v>
      </c>
      <c r="W152" s="38">
        <v>740</v>
      </c>
    </row>
    <row r="153" spans="1:23" ht="15.6" outlineLevel="2">
      <c r="A153" s="60" t="s">
        <v>1863</v>
      </c>
      <c r="B153" s="61" t="s">
        <v>1864</v>
      </c>
      <c r="C153" s="60" t="s">
        <v>242</v>
      </c>
      <c r="E153" s="37">
        <f t="shared" si="33"/>
        <v>647.94114000000013</v>
      </c>
      <c r="F153" s="37">
        <f t="shared" si="34"/>
        <v>713.86097200000006</v>
      </c>
      <c r="G153" s="37">
        <f t="shared" si="35"/>
        <v>781.00000000000011</v>
      </c>
      <c r="I153" s="38">
        <f t="shared" si="28"/>
        <v>673.16700000000003</v>
      </c>
      <c r="K153" s="38">
        <f t="shared" si="29"/>
        <v>691.4380000000001</v>
      </c>
      <c r="M153" s="38">
        <f t="shared" si="30"/>
        <v>775.75872000000015</v>
      </c>
      <c r="O153" s="38">
        <f t="shared" si="31"/>
        <v>647.94114000000013</v>
      </c>
      <c r="Q153" s="38">
        <f t="shared" si="32"/>
        <v>781.00000000000011</v>
      </c>
      <c r="S153" s="38">
        <v>611.97</v>
      </c>
      <c r="T153" s="38">
        <v>628.58000000000004</v>
      </c>
      <c r="U153" s="38">
        <v>705.23520000000008</v>
      </c>
      <c r="V153" s="38">
        <v>589.03740000000005</v>
      </c>
      <c r="W153" s="38">
        <v>710</v>
      </c>
    </row>
    <row r="154" spans="1:23" ht="15.6" outlineLevel="2">
      <c r="A154" s="60" t="s">
        <v>1865</v>
      </c>
      <c r="B154" s="61" t="s">
        <v>1866</v>
      </c>
      <c r="C154" s="60" t="s">
        <v>242</v>
      </c>
      <c r="E154" s="37">
        <f t="shared" si="33"/>
        <v>685.90368000000012</v>
      </c>
      <c r="F154" s="37">
        <f t="shared" si="34"/>
        <v>770.68833600000016</v>
      </c>
      <c r="G154" s="37">
        <f t="shared" si="35"/>
        <v>932.80000000000007</v>
      </c>
      <c r="I154" s="38">
        <f t="shared" si="28"/>
        <v>701.87699999999995</v>
      </c>
      <c r="K154" s="38">
        <f t="shared" si="29"/>
        <v>712.95400000000006</v>
      </c>
      <c r="M154" s="38">
        <f t="shared" si="30"/>
        <v>819.90700000000004</v>
      </c>
      <c r="O154" s="38">
        <f t="shared" si="31"/>
        <v>685.90368000000012</v>
      </c>
      <c r="Q154" s="38">
        <f t="shared" si="32"/>
        <v>932.80000000000007</v>
      </c>
      <c r="S154" s="38">
        <v>638.06999999999994</v>
      </c>
      <c r="T154" s="38">
        <v>648.14</v>
      </c>
      <c r="U154" s="38">
        <v>745.37</v>
      </c>
      <c r="V154" s="38">
        <v>623.54880000000003</v>
      </c>
      <c r="W154" s="38">
        <v>848</v>
      </c>
    </row>
    <row r="155" spans="1:23" ht="15" outlineLevel="1">
      <c r="A155" s="54" t="s">
        <v>1867</v>
      </c>
      <c r="B155" s="32" t="s">
        <v>1868</v>
      </c>
      <c r="C155" s="54"/>
      <c r="I155" t="str">
        <f t="shared" si="28"/>
        <v/>
      </c>
      <c r="K155" t="str">
        <f t="shared" si="29"/>
        <v/>
      </c>
      <c r="M155" t="str">
        <f t="shared" si="30"/>
        <v/>
      </c>
      <c r="O155" t="str">
        <f t="shared" si="31"/>
        <v/>
      </c>
      <c r="Q155" t="str">
        <f t="shared" si="32"/>
        <v/>
      </c>
      <c r="T155"/>
      <c r="U155"/>
      <c r="V155"/>
      <c r="W155"/>
    </row>
    <row r="156" spans="1:23" ht="15.6" outlineLevel="2">
      <c r="A156" s="62" t="s">
        <v>1869</v>
      </c>
      <c r="B156" s="63" t="s">
        <v>1870</v>
      </c>
      <c r="C156" s="62" t="s">
        <v>242</v>
      </c>
      <c r="E156" s="37">
        <f>MIN(I156,K156,M156,O156,Q156)</f>
        <v>1036.8600000000001</v>
      </c>
      <c r="F156" s="37">
        <f>AVERAGE(I156,K156,M156,O156,Q156)</f>
        <v>2573.4809760000003</v>
      </c>
      <c r="G156" s="37">
        <f>MAX(I156,K156,M156,O156,Q156)</f>
        <v>6388.8</v>
      </c>
      <c r="I156" s="38">
        <f t="shared" si="28"/>
        <v>1036.8600000000001</v>
      </c>
      <c r="K156" s="38">
        <f t="shared" si="29"/>
        <v>1803.3840000000002</v>
      </c>
      <c r="M156" s="38">
        <f t="shared" si="30"/>
        <v>1848.924</v>
      </c>
      <c r="O156" s="38">
        <f t="shared" si="31"/>
        <v>1789.4368800000002</v>
      </c>
      <c r="Q156" s="38">
        <f t="shared" si="32"/>
        <v>6388.8</v>
      </c>
      <c r="S156" s="38">
        <v>942.6</v>
      </c>
      <c r="T156" s="38">
        <v>1639.44</v>
      </c>
      <c r="U156" s="38">
        <v>1680.84</v>
      </c>
      <c r="V156" s="38">
        <v>1626.7608</v>
      </c>
      <c r="W156" s="38">
        <v>5808</v>
      </c>
    </row>
    <row r="157" spans="1:23" ht="15.95" outlineLevel="2" thickBot="1">
      <c r="A157" s="62" t="s">
        <v>1871</v>
      </c>
      <c r="B157" s="63" t="s">
        <v>1872</v>
      </c>
      <c r="C157" s="62" t="s">
        <v>242</v>
      </c>
      <c r="E157" s="37">
        <f>MIN(I157,K157,M157,O157,Q157)</f>
        <v>2129.556</v>
      </c>
      <c r="F157" s="37">
        <f>AVERAGE(I157,K157,M157,O157,Q157)</f>
        <v>3260.6480280000001</v>
      </c>
      <c r="G157" s="37">
        <f>MAX(I157,K157,M157,O157,Q157)</f>
        <v>3920.9940000000001</v>
      </c>
      <c r="I157" s="38">
        <f t="shared" si="28"/>
        <v>2129.556</v>
      </c>
      <c r="K157" s="38">
        <f t="shared" si="29"/>
        <v>3872.0000000000005</v>
      </c>
      <c r="M157" s="38">
        <f t="shared" si="30"/>
        <v>3920.9940000000001</v>
      </c>
      <c r="O157" s="38">
        <f t="shared" si="31"/>
        <v>2999.2901399999996</v>
      </c>
      <c r="Q157" s="38">
        <f t="shared" si="32"/>
        <v>3381.4</v>
      </c>
      <c r="S157" s="38">
        <v>1935.96</v>
      </c>
      <c r="T157" s="38">
        <v>3520</v>
      </c>
      <c r="U157" s="38">
        <v>3564.54</v>
      </c>
      <c r="V157" s="38">
        <v>2726.6273999999994</v>
      </c>
      <c r="W157" s="38">
        <v>3074</v>
      </c>
    </row>
    <row r="158" spans="1:23" ht="15.6" thickBot="1">
      <c r="A158" s="24" t="s">
        <v>1873</v>
      </c>
      <c r="B158" s="23" t="s">
        <v>807</v>
      </c>
      <c r="C158" s="24"/>
      <c r="I158" t="str">
        <f t="shared" si="28"/>
        <v/>
      </c>
      <c r="K158" t="str">
        <f t="shared" si="29"/>
        <v/>
      </c>
      <c r="M158" t="str">
        <f t="shared" si="30"/>
        <v/>
      </c>
      <c r="O158" t="str">
        <f t="shared" si="31"/>
        <v/>
      </c>
      <c r="Q158" t="str">
        <f t="shared" si="32"/>
        <v/>
      </c>
      <c r="T158"/>
      <c r="U158"/>
      <c r="V158"/>
      <c r="W158"/>
    </row>
    <row r="159" spans="1:23" ht="15" outlineLevel="1">
      <c r="A159" s="27" t="s">
        <v>1874</v>
      </c>
      <c r="B159" s="64" t="s">
        <v>1875</v>
      </c>
      <c r="C159" s="27"/>
      <c r="I159" t="str">
        <f t="shared" si="28"/>
        <v/>
      </c>
      <c r="K159" t="str">
        <f t="shared" si="29"/>
        <v/>
      </c>
      <c r="M159" t="str">
        <f t="shared" si="30"/>
        <v/>
      </c>
      <c r="O159" t="str">
        <f t="shared" si="31"/>
        <v/>
      </c>
      <c r="Q159" t="str">
        <f t="shared" si="32"/>
        <v/>
      </c>
      <c r="T159"/>
      <c r="U159"/>
      <c r="V159"/>
      <c r="W159"/>
    </row>
    <row r="160" spans="1:23" ht="15.6" outlineLevel="2">
      <c r="A160" s="55" t="s">
        <v>1876</v>
      </c>
      <c r="B160" s="65" t="s">
        <v>1877</v>
      </c>
      <c r="C160" s="55" t="s">
        <v>242</v>
      </c>
      <c r="E160" s="37">
        <f>MIN(I160,K160,M160,O160,Q160)</f>
        <v>1276.143</v>
      </c>
      <c r="F160" s="37">
        <f>AVERAGE(I160,K160,M160,O160,Q160)</f>
        <v>2815.0096480000002</v>
      </c>
      <c r="G160" s="37">
        <f>MAX(I160,K160,M160,O160,Q160)</f>
        <v>4402.3760000000002</v>
      </c>
      <c r="I160" s="38">
        <f t="shared" si="28"/>
        <v>1276.143</v>
      </c>
      <c r="K160" s="38">
        <f t="shared" si="29"/>
        <v>4402.3760000000002</v>
      </c>
      <c r="M160" s="38">
        <f t="shared" si="30"/>
        <v>3157.4400000000005</v>
      </c>
      <c r="O160" s="38">
        <f t="shared" si="31"/>
        <v>2651.88924</v>
      </c>
      <c r="Q160" s="38">
        <f t="shared" si="32"/>
        <v>2587.2000000000003</v>
      </c>
      <c r="S160" s="38">
        <v>1160.1299999999999</v>
      </c>
      <c r="T160" s="38">
        <v>4002.16</v>
      </c>
      <c r="U160" s="38">
        <v>2870.4</v>
      </c>
      <c r="V160" s="38">
        <v>2410.8083999999999</v>
      </c>
      <c r="W160" s="38">
        <v>2352</v>
      </c>
    </row>
    <row r="161" spans="1:23" ht="15.6" outlineLevel="2">
      <c r="A161" s="55" t="s">
        <v>1878</v>
      </c>
      <c r="B161" s="65" t="s">
        <v>1879</v>
      </c>
      <c r="C161" s="55" t="s">
        <v>242</v>
      </c>
      <c r="E161" s="37">
        <f>MIN(I161,K161,M161,O161,Q161)</f>
        <v>2552.2750000000001</v>
      </c>
      <c r="F161" s="37">
        <f>AVERAGE(I161,K161,M161,O161,Q161)</f>
        <v>5619.622096000001</v>
      </c>
      <c r="G161" s="37">
        <f>MAX(I161,K161,M161,O161,Q161)</f>
        <v>8804.7520000000004</v>
      </c>
      <c r="I161" s="38">
        <f t="shared" si="28"/>
        <v>2552.2750000000001</v>
      </c>
      <c r="K161" s="38">
        <f t="shared" si="29"/>
        <v>8804.7520000000004</v>
      </c>
      <c r="M161" s="38">
        <f t="shared" si="30"/>
        <v>6314.880000000001</v>
      </c>
      <c r="O161" s="38">
        <f t="shared" si="31"/>
        <v>5251.8034800000005</v>
      </c>
      <c r="Q161" s="38">
        <f t="shared" si="32"/>
        <v>5174.4000000000005</v>
      </c>
      <c r="S161" s="38">
        <v>2320.25</v>
      </c>
      <c r="T161" s="38">
        <v>8004.32</v>
      </c>
      <c r="U161" s="38">
        <v>5740.8</v>
      </c>
      <c r="V161" s="38">
        <v>4774.3667999999998</v>
      </c>
      <c r="W161" s="38">
        <v>4704</v>
      </c>
    </row>
    <row r="162" spans="1:23" ht="15.6" outlineLevel="2">
      <c r="A162" s="55" t="s">
        <v>1880</v>
      </c>
      <c r="B162" s="65" t="s">
        <v>1881</v>
      </c>
      <c r="C162" s="55" t="s">
        <v>242</v>
      </c>
      <c r="E162" s="37">
        <f>MIN(I162,K162,M162,O162,Q162)</f>
        <v>3828.4070000000006</v>
      </c>
      <c r="F162" s="37">
        <f>AVERAGE(I162,K162,M162,O162,Q162)</f>
        <v>8448.0598840000002</v>
      </c>
      <c r="G162" s="37">
        <f>MAX(I162,K162,M162,O162,Q162)</f>
        <v>13207.128000000001</v>
      </c>
      <c r="I162" s="38">
        <f t="shared" si="28"/>
        <v>3828.4070000000006</v>
      </c>
      <c r="K162" s="38">
        <f t="shared" si="29"/>
        <v>13207.128000000001</v>
      </c>
      <c r="M162" s="38">
        <f t="shared" si="30"/>
        <v>9472.3200000000015</v>
      </c>
      <c r="O162" s="38">
        <f t="shared" si="31"/>
        <v>7970.8444199999994</v>
      </c>
      <c r="Q162" s="38">
        <f t="shared" si="32"/>
        <v>7761.6</v>
      </c>
      <c r="S162" s="38">
        <v>3480.3700000000003</v>
      </c>
      <c r="T162" s="38">
        <v>12006.48</v>
      </c>
      <c r="U162" s="38">
        <v>8611.2000000000007</v>
      </c>
      <c r="V162" s="38">
        <v>7246.2221999999992</v>
      </c>
      <c r="W162" s="38">
        <v>7056</v>
      </c>
    </row>
    <row r="163" spans="1:23" ht="15" outlineLevel="1">
      <c r="A163" s="31" t="s">
        <v>1882</v>
      </c>
      <c r="B163" s="66" t="s">
        <v>1883</v>
      </c>
      <c r="C163" s="31"/>
      <c r="I163" t="str">
        <f t="shared" si="28"/>
        <v/>
      </c>
      <c r="K163" t="str">
        <f t="shared" si="29"/>
        <v/>
      </c>
      <c r="M163" t="str">
        <f t="shared" si="30"/>
        <v/>
      </c>
      <c r="O163" t="str">
        <f t="shared" si="31"/>
        <v/>
      </c>
      <c r="Q163" t="str">
        <f t="shared" si="32"/>
        <v/>
      </c>
      <c r="T163"/>
      <c r="U163"/>
      <c r="V163"/>
      <c r="W163"/>
    </row>
    <row r="164" spans="1:23" ht="15.6" outlineLevel="2">
      <c r="A164" s="67" t="s">
        <v>1884</v>
      </c>
      <c r="B164" s="65" t="s">
        <v>1885</v>
      </c>
      <c r="C164" s="67" t="s">
        <v>242</v>
      </c>
      <c r="E164" s="37">
        <f>MIN(I164,K164,M164,O164,Q164)</f>
        <v>1276.143</v>
      </c>
      <c r="F164" s="37">
        <f>AVERAGE(I164,K164,M164,O164,Q164)</f>
        <v>2899.1692840000005</v>
      </c>
      <c r="G164" s="37">
        <f>MAX(I164,K164,M164,O164,Q164)</f>
        <v>4402.2000000000007</v>
      </c>
      <c r="I164" s="38">
        <f t="shared" si="28"/>
        <v>1276.143</v>
      </c>
      <c r="K164" s="38">
        <f t="shared" si="29"/>
        <v>3820.7840000000006</v>
      </c>
      <c r="M164" s="38">
        <f t="shared" si="30"/>
        <v>4402.2000000000007</v>
      </c>
      <c r="O164" s="38">
        <f t="shared" si="31"/>
        <v>2409.5194200000001</v>
      </c>
      <c r="Q164" s="38">
        <f t="shared" si="32"/>
        <v>2587.2000000000003</v>
      </c>
      <c r="S164" s="38">
        <v>1160.1299999999999</v>
      </c>
      <c r="T164" s="38">
        <v>3473.44</v>
      </c>
      <c r="U164" s="38">
        <v>4002</v>
      </c>
      <c r="V164" s="38">
        <v>2190.4721999999997</v>
      </c>
      <c r="W164" s="38">
        <v>2352</v>
      </c>
    </row>
    <row r="165" spans="1:23" ht="15.6" outlineLevel="2">
      <c r="A165" s="67" t="s">
        <v>1886</v>
      </c>
      <c r="B165" s="65" t="s">
        <v>1887</v>
      </c>
      <c r="C165" s="67" t="s">
        <v>242</v>
      </c>
      <c r="E165" s="37">
        <f>MIN(I165,K165,M165,O165,Q165)</f>
        <v>2552.2750000000001</v>
      </c>
      <c r="F165" s="37">
        <f>AVERAGE(I165,K165,M165,O165,Q165)</f>
        <v>5918.6963879999994</v>
      </c>
      <c r="G165" s="37">
        <f>MAX(I165,K165,M165,O165,Q165)</f>
        <v>8804.4000000000015</v>
      </c>
      <c r="I165" s="38">
        <f t="shared" si="28"/>
        <v>2552.2750000000001</v>
      </c>
      <c r="K165" s="38">
        <f t="shared" si="29"/>
        <v>8335.0519999999997</v>
      </c>
      <c r="M165" s="38">
        <f t="shared" si="30"/>
        <v>8804.4000000000015</v>
      </c>
      <c r="O165" s="38">
        <f t="shared" si="31"/>
        <v>4727.3549399999993</v>
      </c>
      <c r="Q165" s="38">
        <f t="shared" si="32"/>
        <v>5174.4000000000005</v>
      </c>
      <c r="S165" s="38">
        <v>2320.25</v>
      </c>
      <c r="T165" s="38">
        <v>7577.32</v>
      </c>
      <c r="U165" s="38">
        <v>8004</v>
      </c>
      <c r="V165" s="38">
        <v>4297.5953999999992</v>
      </c>
      <c r="W165" s="38">
        <v>4704</v>
      </c>
    </row>
    <row r="166" spans="1:23" ht="15.6" outlineLevel="2">
      <c r="A166" s="67" t="s">
        <v>1888</v>
      </c>
      <c r="B166" s="65" t="s">
        <v>1889</v>
      </c>
      <c r="C166" s="67" t="s">
        <v>242</v>
      </c>
      <c r="E166" s="37">
        <f>MIN(I166,K166,M166,O166,Q166)</f>
        <v>3828.4070000000006</v>
      </c>
      <c r="F166" s="37">
        <f>AVERAGE(I166,K166,M166,O166,Q166)</f>
        <v>8868.8750920000002</v>
      </c>
      <c r="G166" s="37">
        <f>MAX(I166,K166,M166,O166,Q166)</f>
        <v>13206.6</v>
      </c>
      <c r="I166" s="38">
        <f t="shared" si="28"/>
        <v>3828.4070000000006</v>
      </c>
      <c r="K166" s="38">
        <f t="shared" si="29"/>
        <v>12502.578000000001</v>
      </c>
      <c r="M166" s="38">
        <f t="shared" si="30"/>
        <v>13206.6</v>
      </c>
      <c r="O166" s="38">
        <f t="shared" si="31"/>
        <v>7045.1904600000007</v>
      </c>
      <c r="Q166" s="38">
        <f t="shared" si="32"/>
        <v>7761.6</v>
      </c>
      <c r="S166" s="38">
        <v>3480.3700000000003</v>
      </c>
      <c r="T166" s="38">
        <v>11365.98</v>
      </c>
      <c r="U166" s="38">
        <v>12006</v>
      </c>
      <c r="V166" s="38">
        <v>6404.7186000000002</v>
      </c>
      <c r="W166" s="38">
        <v>7056</v>
      </c>
    </row>
    <row r="167" spans="1:23" ht="15" outlineLevel="1">
      <c r="A167" s="31" t="s">
        <v>1890</v>
      </c>
      <c r="B167" s="66" t="s">
        <v>1891</v>
      </c>
      <c r="C167" s="31"/>
      <c r="I167" t="str">
        <f t="shared" si="28"/>
        <v/>
      </c>
      <c r="K167" t="str">
        <f t="shared" si="29"/>
        <v/>
      </c>
      <c r="M167" t="str">
        <f t="shared" si="30"/>
        <v/>
      </c>
      <c r="O167" t="str">
        <f t="shared" si="31"/>
        <v/>
      </c>
      <c r="Q167" t="str">
        <f t="shared" si="32"/>
        <v/>
      </c>
      <c r="T167"/>
      <c r="U167"/>
      <c r="V167"/>
      <c r="W167"/>
    </row>
    <row r="168" spans="1:23" ht="15.6" outlineLevel="2">
      <c r="A168" s="67" t="s">
        <v>1892</v>
      </c>
      <c r="B168" s="65" t="s">
        <v>1893</v>
      </c>
      <c r="C168" s="67" t="s">
        <v>242</v>
      </c>
      <c r="E168" s="37">
        <f>MIN(I168,K168,M168,O168,Q168)</f>
        <v>1515.4150000000002</v>
      </c>
      <c r="F168" s="37">
        <f>AVERAGE(I168,K168,M168,O168,Q168)</f>
        <v>3717.1165900000001</v>
      </c>
      <c r="G168" s="37">
        <f>MAX(I168,K168,M168,O168,Q168)</f>
        <v>6891.72</v>
      </c>
      <c r="I168" s="38">
        <f t="shared" si="28"/>
        <v>1515.4150000000002</v>
      </c>
      <c r="K168" s="38">
        <f t="shared" si="29"/>
        <v>4749.1180000000004</v>
      </c>
      <c r="M168" s="38">
        <f t="shared" si="30"/>
        <v>6891.72</v>
      </c>
      <c r="O168" s="38">
        <f t="shared" si="31"/>
        <v>2690.3299500000003</v>
      </c>
      <c r="Q168" s="38">
        <f t="shared" si="32"/>
        <v>2739</v>
      </c>
      <c r="S168" s="38">
        <v>1377.65</v>
      </c>
      <c r="T168" s="38">
        <v>4317.38</v>
      </c>
      <c r="U168" s="38">
        <v>6265.2</v>
      </c>
      <c r="V168" s="38">
        <v>2445.7545</v>
      </c>
      <c r="W168" s="38">
        <v>2490</v>
      </c>
    </row>
    <row r="169" spans="1:23" ht="15" outlineLevel="1">
      <c r="A169" s="31" t="s">
        <v>1894</v>
      </c>
      <c r="B169" s="66" t="s">
        <v>1895</v>
      </c>
      <c r="C169" s="31"/>
      <c r="I169" t="str">
        <f t="shared" si="28"/>
        <v/>
      </c>
      <c r="K169" t="str">
        <f t="shared" si="29"/>
        <v/>
      </c>
      <c r="M169" t="str">
        <f t="shared" si="30"/>
        <v/>
      </c>
      <c r="O169" t="str">
        <f t="shared" si="31"/>
        <v/>
      </c>
      <c r="Q169" t="str">
        <f t="shared" si="32"/>
        <v/>
      </c>
      <c r="T169"/>
      <c r="U169"/>
      <c r="V169"/>
      <c r="W169"/>
    </row>
    <row r="170" spans="1:23" ht="15.6" outlineLevel="2">
      <c r="A170" s="55" t="s">
        <v>1896</v>
      </c>
      <c r="B170" s="61" t="s">
        <v>1897</v>
      </c>
      <c r="C170" s="55" t="s">
        <v>242</v>
      </c>
      <c r="I170" s="38">
        <f t="shared" si="28"/>
        <v>13.563000000000001</v>
      </c>
      <c r="K170" s="38">
        <f t="shared" si="29"/>
        <v>29.282000000000004</v>
      </c>
      <c r="M170" s="38">
        <f t="shared" si="30"/>
        <v>4.8620000000000001</v>
      </c>
      <c r="O170" s="38">
        <f t="shared" si="31"/>
        <v>9.5010300000000001</v>
      </c>
      <c r="Q170" s="38">
        <f t="shared" si="32"/>
        <v>15.884</v>
      </c>
      <c r="S170" s="38">
        <v>12.33</v>
      </c>
      <c r="T170" s="38">
        <v>26.62</v>
      </c>
      <c r="U170" s="38">
        <v>4.42</v>
      </c>
      <c r="V170" s="38">
        <v>8.6372999999999998</v>
      </c>
      <c r="W170" s="38">
        <v>14.44</v>
      </c>
    </row>
    <row r="171" spans="1:23" ht="15.6" outlineLevel="2">
      <c r="A171" s="55" t="s">
        <v>1898</v>
      </c>
      <c r="B171" s="68" t="s">
        <v>1899</v>
      </c>
      <c r="C171" s="55" t="s">
        <v>242</v>
      </c>
      <c r="E171" s="37">
        <f t="shared" ref="E171:E180" si="36">MIN(I171,K171,M171,O171,Q171)</f>
        <v>5.4648000000000003</v>
      </c>
      <c r="F171" s="37">
        <f t="shared" ref="F171:F180" si="37">AVERAGE(I171,K171,M171,O171,Q171)</f>
        <v>12.321496000000002</v>
      </c>
      <c r="G171" s="37">
        <f t="shared" ref="G171:G180" si="38">MAX(I171,K171,M171,O171,Q171)</f>
        <v>29.326000000000004</v>
      </c>
      <c r="I171" s="38">
        <f t="shared" si="28"/>
        <v>14.366000000000001</v>
      </c>
      <c r="K171" s="38">
        <f t="shared" si="29"/>
        <v>29.326000000000004</v>
      </c>
      <c r="M171" s="38">
        <f t="shared" si="30"/>
        <v>5.4648000000000003</v>
      </c>
      <c r="O171" s="38">
        <f t="shared" si="31"/>
        <v>6.0706800000000003</v>
      </c>
      <c r="Q171" s="38">
        <f t="shared" si="32"/>
        <v>6.38</v>
      </c>
      <c r="S171" s="38">
        <v>13.06</v>
      </c>
      <c r="T171" s="38">
        <v>26.66</v>
      </c>
      <c r="U171" s="38">
        <v>4.968</v>
      </c>
      <c r="V171" s="38">
        <v>5.5187999999999997</v>
      </c>
      <c r="W171" s="38">
        <v>5.8</v>
      </c>
    </row>
    <row r="172" spans="1:23" ht="15.6" outlineLevel="2">
      <c r="A172" s="55" t="s">
        <v>1900</v>
      </c>
      <c r="B172" s="63" t="s">
        <v>1901</v>
      </c>
      <c r="C172" s="55" t="s">
        <v>242</v>
      </c>
      <c r="E172" s="37">
        <f t="shared" si="36"/>
        <v>10.6029</v>
      </c>
      <c r="F172" s="37">
        <f t="shared" si="37"/>
        <v>18.331500000000005</v>
      </c>
      <c r="G172" s="37">
        <f t="shared" si="38"/>
        <v>29.326000000000004</v>
      </c>
      <c r="I172" s="38">
        <f t="shared" si="28"/>
        <v>28.721000000000007</v>
      </c>
      <c r="K172" s="38">
        <f t="shared" si="29"/>
        <v>29.326000000000004</v>
      </c>
      <c r="M172" s="38">
        <f t="shared" si="30"/>
        <v>10.929600000000001</v>
      </c>
      <c r="O172" s="38">
        <f t="shared" si="31"/>
        <v>10.6029</v>
      </c>
      <c r="Q172" s="38">
        <f t="shared" si="32"/>
        <v>12.078000000000001</v>
      </c>
      <c r="S172" s="38">
        <v>26.110000000000003</v>
      </c>
      <c r="T172" s="38">
        <v>26.66</v>
      </c>
      <c r="U172" s="38">
        <v>9.9359999999999999</v>
      </c>
      <c r="V172" s="38">
        <v>9.6389999999999993</v>
      </c>
      <c r="W172" s="38">
        <v>10.98</v>
      </c>
    </row>
    <row r="173" spans="1:23" ht="15.6" outlineLevel="2">
      <c r="A173" s="55" t="s">
        <v>1902</v>
      </c>
      <c r="B173" s="63" t="s">
        <v>1903</v>
      </c>
      <c r="C173" s="55" t="s">
        <v>242</v>
      </c>
      <c r="E173" s="37">
        <f t="shared" si="36"/>
        <v>0</v>
      </c>
      <c r="F173" s="37">
        <f t="shared" si="37"/>
        <v>27.537400000000002</v>
      </c>
      <c r="G173" s="37">
        <f t="shared" si="38"/>
        <v>51.788000000000004</v>
      </c>
      <c r="I173" s="38">
        <f t="shared" si="28"/>
        <v>31.911000000000005</v>
      </c>
      <c r="K173" s="38">
        <f t="shared" si="29"/>
        <v>5.4119999999999999</v>
      </c>
      <c r="M173" s="38">
        <f t="shared" si="30"/>
        <v>48.576000000000008</v>
      </c>
      <c r="O173" s="38">
        <f t="shared" si="31"/>
        <v>0</v>
      </c>
      <c r="Q173" s="38">
        <f t="shared" si="32"/>
        <v>51.788000000000004</v>
      </c>
      <c r="S173" s="38">
        <v>29.01</v>
      </c>
      <c r="T173" s="38">
        <v>4.92</v>
      </c>
      <c r="U173" s="38">
        <v>44.160000000000004</v>
      </c>
      <c r="V173" s="38">
        <v>0</v>
      </c>
      <c r="W173" s="38">
        <v>47.08</v>
      </c>
    </row>
    <row r="174" spans="1:23" ht="15.6" outlineLevel="2">
      <c r="A174" s="55" t="s">
        <v>1904</v>
      </c>
      <c r="B174" s="63" t="s">
        <v>1905</v>
      </c>
      <c r="C174" s="55" t="s">
        <v>242</v>
      </c>
      <c r="E174" s="37">
        <f t="shared" si="36"/>
        <v>15.961</v>
      </c>
      <c r="F174" s="37">
        <f t="shared" si="37"/>
        <v>104.38758000000003</v>
      </c>
      <c r="G174" s="37">
        <f t="shared" si="38"/>
        <v>320.584</v>
      </c>
      <c r="I174" s="38">
        <f t="shared" si="28"/>
        <v>15.961</v>
      </c>
      <c r="K174" s="38">
        <f t="shared" si="29"/>
        <v>320.584</v>
      </c>
      <c r="M174" s="38">
        <f t="shared" si="30"/>
        <v>57.684000000000005</v>
      </c>
      <c r="O174" s="38">
        <f t="shared" si="31"/>
        <v>39.708900000000007</v>
      </c>
      <c r="Q174" s="38">
        <f t="shared" si="32"/>
        <v>88</v>
      </c>
      <c r="S174" s="38">
        <v>14.51</v>
      </c>
      <c r="T174" s="38">
        <v>291.44</v>
      </c>
      <c r="U174" s="38">
        <v>52.44</v>
      </c>
      <c r="V174" s="38">
        <v>36.099000000000004</v>
      </c>
      <c r="W174" s="38">
        <v>80</v>
      </c>
    </row>
    <row r="175" spans="1:23" ht="15.6" outlineLevel="2">
      <c r="A175" s="55" t="s">
        <v>1906</v>
      </c>
      <c r="B175" s="56" t="s">
        <v>1907</v>
      </c>
      <c r="C175" s="55" t="s">
        <v>242</v>
      </c>
      <c r="E175" s="37">
        <f t="shared" si="36"/>
        <v>0</v>
      </c>
      <c r="F175" s="37">
        <f t="shared" si="37"/>
        <v>94.188600000000022</v>
      </c>
      <c r="G175" s="37">
        <f t="shared" si="38"/>
        <v>338.29400000000004</v>
      </c>
      <c r="I175" s="38">
        <f t="shared" si="28"/>
        <v>15.961</v>
      </c>
      <c r="K175" s="38">
        <f t="shared" si="29"/>
        <v>338.29400000000004</v>
      </c>
      <c r="M175" s="38">
        <f t="shared" si="30"/>
        <v>30.360000000000003</v>
      </c>
      <c r="O175" s="38">
        <f t="shared" si="31"/>
        <v>0</v>
      </c>
      <c r="Q175" s="38">
        <f t="shared" si="32"/>
        <v>86.328000000000017</v>
      </c>
      <c r="S175" s="38">
        <v>14.51</v>
      </c>
      <c r="T175" s="38">
        <v>307.54000000000002</v>
      </c>
      <c r="U175" s="38">
        <v>27.6</v>
      </c>
      <c r="V175" s="38">
        <v>0</v>
      </c>
      <c r="W175" s="38">
        <v>78.48</v>
      </c>
    </row>
    <row r="176" spans="1:23" ht="15.6" outlineLevel="2">
      <c r="A176" s="55" t="s">
        <v>1908</v>
      </c>
      <c r="B176" s="56" t="s">
        <v>1909</v>
      </c>
      <c r="C176" s="55" t="s">
        <v>242</v>
      </c>
      <c r="E176" s="37">
        <f t="shared" si="36"/>
        <v>23.035319999999999</v>
      </c>
      <c r="F176" s="37">
        <f t="shared" si="37"/>
        <v>91.621464000000017</v>
      </c>
      <c r="G176" s="37">
        <f t="shared" si="38"/>
        <v>346.74200000000008</v>
      </c>
      <c r="I176" s="38">
        <f t="shared" si="28"/>
        <v>23.936000000000003</v>
      </c>
      <c r="K176" s="38">
        <f t="shared" si="29"/>
        <v>346.74200000000008</v>
      </c>
      <c r="M176" s="38">
        <f t="shared" si="30"/>
        <v>30.360000000000003</v>
      </c>
      <c r="O176" s="38">
        <f t="shared" si="31"/>
        <v>23.035319999999999</v>
      </c>
      <c r="Q176" s="38">
        <f t="shared" si="32"/>
        <v>34.034000000000006</v>
      </c>
      <c r="S176" s="38">
        <v>21.76</v>
      </c>
      <c r="T176" s="38">
        <v>315.22000000000003</v>
      </c>
      <c r="U176" s="38">
        <v>27.6</v>
      </c>
      <c r="V176" s="38">
        <v>20.941199999999998</v>
      </c>
      <c r="W176" s="38">
        <v>30.94</v>
      </c>
    </row>
    <row r="177" spans="1:23" ht="15.6" outlineLevel="2">
      <c r="A177" s="55" t="s">
        <v>1910</v>
      </c>
      <c r="B177" s="56" t="s">
        <v>1911</v>
      </c>
      <c r="C177" s="55" t="s">
        <v>242</v>
      </c>
      <c r="E177" s="37">
        <f t="shared" si="36"/>
        <v>1037.7328499999999</v>
      </c>
      <c r="F177" s="37">
        <f t="shared" si="37"/>
        <v>1258.2885699999999</v>
      </c>
      <c r="G177" s="37">
        <f t="shared" si="38"/>
        <v>1497.5620000000001</v>
      </c>
      <c r="I177" s="38">
        <f t="shared" si="28"/>
        <v>1127.808</v>
      </c>
      <c r="K177" s="38">
        <f t="shared" si="29"/>
        <v>1497.5620000000001</v>
      </c>
      <c r="M177" s="38">
        <f t="shared" si="30"/>
        <v>1259.9400000000003</v>
      </c>
      <c r="O177" s="38">
        <f t="shared" si="31"/>
        <v>1037.7328499999999</v>
      </c>
      <c r="Q177" s="38">
        <f t="shared" si="32"/>
        <v>1368.4</v>
      </c>
      <c r="S177" s="38">
        <v>1025.28</v>
      </c>
      <c r="T177" s="38">
        <v>1361.42</v>
      </c>
      <c r="U177" s="38">
        <v>1145.4000000000001</v>
      </c>
      <c r="V177" s="38">
        <v>943.3934999999999</v>
      </c>
      <c r="W177" s="38">
        <v>1244</v>
      </c>
    </row>
    <row r="178" spans="1:23" ht="15.6" outlineLevel="2">
      <c r="A178" s="55" t="s">
        <v>1912</v>
      </c>
      <c r="B178" s="56" t="s">
        <v>1913</v>
      </c>
      <c r="C178" s="55" t="s">
        <v>242</v>
      </c>
      <c r="E178" s="37">
        <f t="shared" si="36"/>
        <v>1196.3820000000001</v>
      </c>
      <c r="F178" s="37">
        <f t="shared" si="37"/>
        <v>1822.4019220000002</v>
      </c>
      <c r="G178" s="37">
        <f t="shared" si="38"/>
        <v>2352.2620000000002</v>
      </c>
      <c r="I178" s="38">
        <f t="shared" si="28"/>
        <v>1196.3820000000001</v>
      </c>
      <c r="K178" s="38">
        <f t="shared" si="29"/>
        <v>2352.2620000000002</v>
      </c>
      <c r="M178" s="38">
        <f t="shared" si="30"/>
        <v>2094.84</v>
      </c>
      <c r="O178" s="38">
        <f t="shared" si="31"/>
        <v>1209.1256100000001</v>
      </c>
      <c r="Q178" s="38">
        <f t="shared" si="32"/>
        <v>2259.4</v>
      </c>
      <c r="S178" s="38">
        <v>1087.6199999999999</v>
      </c>
      <c r="T178" s="38">
        <v>2138.42</v>
      </c>
      <c r="U178" s="38">
        <v>1904.4</v>
      </c>
      <c r="V178" s="38">
        <v>1099.2050999999999</v>
      </c>
      <c r="W178" s="38">
        <v>2054</v>
      </c>
    </row>
    <row r="179" spans="1:23" ht="15.6" outlineLevel="2">
      <c r="A179" s="55" t="s">
        <v>1914</v>
      </c>
      <c r="B179" s="56" t="s">
        <v>1915</v>
      </c>
      <c r="C179" s="55" t="s">
        <v>242</v>
      </c>
      <c r="E179" s="37">
        <f t="shared" si="36"/>
        <v>237.68799999999999</v>
      </c>
      <c r="F179" s="37">
        <f t="shared" si="37"/>
        <v>295.97836399999994</v>
      </c>
      <c r="G179" s="37">
        <f t="shared" si="38"/>
        <v>358.6</v>
      </c>
      <c r="I179" s="38">
        <f t="shared" si="28"/>
        <v>237.68799999999999</v>
      </c>
      <c r="K179" s="38">
        <f t="shared" si="29"/>
        <v>346.74200000000008</v>
      </c>
      <c r="M179" s="38">
        <f t="shared" si="30"/>
        <v>294.49200000000002</v>
      </c>
      <c r="O179" s="38">
        <f t="shared" si="31"/>
        <v>242.36982</v>
      </c>
      <c r="Q179" s="38">
        <f t="shared" si="32"/>
        <v>358.6</v>
      </c>
      <c r="S179" s="38">
        <v>216.07999999999998</v>
      </c>
      <c r="T179" s="38">
        <v>315.22000000000003</v>
      </c>
      <c r="U179" s="38">
        <v>267.71999999999997</v>
      </c>
      <c r="V179" s="38">
        <v>220.33619999999999</v>
      </c>
      <c r="W179" s="38">
        <v>326</v>
      </c>
    </row>
    <row r="180" spans="1:23" ht="15.95" outlineLevel="2" thickBot="1">
      <c r="A180" s="55" t="s">
        <v>1916</v>
      </c>
      <c r="B180" s="56" t="s">
        <v>1917</v>
      </c>
      <c r="C180" s="55" t="s">
        <v>242</v>
      </c>
      <c r="E180" s="37">
        <f t="shared" si="36"/>
        <v>11.66</v>
      </c>
      <c r="F180" s="37">
        <f t="shared" si="37"/>
        <v>38.788134000000007</v>
      </c>
      <c r="G180" s="37">
        <f t="shared" si="38"/>
        <v>87.736000000000018</v>
      </c>
      <c r="I180" s="38">
        <f t="shared" si="28"/>
        <v>87.736000000000018</v>
      </c>
      <c r="K180" s="38">
        <f t="shared" si="29"/>
        <v>40.590000000000003</v>
      </c>
      <c r="M180" s="38">
        <f t="shared" si="30"/>
        <v>21.252000000000002</v>
      </c>
      <c r="O180" s="38">
        <f t="shared" si="31"/>
        <v>32.702669999999998</v>
      </c>
      <c r="Q180" s="38">
        <f t="shared" si="32"/>
        <v>11.66</v>
      </c>
      <c r="S180" s="38">
        <v>79.760000000000005</v>
      </c>
      <c r="T180" s="38">
        <v>36.9</v>
      </c>
      <c r="U180" s="38">
        <v>19.32</v>
      </c>
      <c r="V180" s="38">
        <v>29.729699999999998</v>
      </c>
      <c r="W180" s="38">
        <v>10.6</v>
      </c>
    </row>
    <row r="181" spans="1:23" ht="15.6" thickBot="1">
      <c r="A181" s="24" t="s">
        <v>1918</v>
      </c>
      <c r="B181" s="23" t="s">
        <v>1919</v>
      </c>
      <c r="C181" s="24"/>
      <c r="I181" t="str">
        <f t="shared" si="28"/>
        <v/>
      </c>
      <c r="K181" t="str">
        <f t="shared" si="29"/>
        <v/>
      </c>
      <c r="M181" t="str">
        <f t="shared" si="30"/>
        <v/>
      </c>
      <c r="O181" t="str">
        <f t="shared" si="31"/>
        <v/>
      </c>
      <c r="Q181" t="str">
        <f t="shared" si="32"/>
        <v/>
      </c>
      <c r="T181"/>
      <c r="U181"/>
      <c r="V181"/>
      <c r="W181"/>
    </row>
    <row r="182" spans="1:23" ht="15" outlineLevel="1">
      <c r="A182" s="33" t="s">
        <v>1920</v>
      </c>
      <c r="B182" s="69" t="s">
        <v>1921</v>
      </c>
      <c r="C182" s="33"/>
      <c r="I182" t="str">
        <f t="shared" si="28"/>
        <v/>
      </c>
      <c r="K182" t="str">
        <f t="shared" si="29"/>
        <v/>
      </c>
      <c r="M182" t="str">
        <f t="shared" si="30"/>
        <v/>
      </c>
      <c r="O182" t="str">
        <f t="shared" si="31"/>
        <v/>
      </c>
      <c r="Q182" t="str">
        <f t="shared" si="32"/>
        <v/>
      </c>
      <c r="T182"/>
      <c r="U182"/>
      <c r="V182"/>
      <c r="W182"/>
    </row>
    <row r="183" spans="1:23" ht="15.6" outlineLevel="2">
      <c r="A183" s="52" t="s">
        <v>1922</v>
      </c>
      <c r="B183" s="70" t="s">
        <v>1923</v>
      </c>
      <c r="C183" s="52" t="s">
        <v>242</v>
      </c>
      <c r="E183" s="37">
        <f>MIN(I183,K183,M183,O183,Q183)</f>
        <v>67.001000000000005</v>
      </c>
      <c r="F183" s="37">
        <f>AVERAGE(I183,K183,M183,O183,Q183)</f>
        <v>220.940236</v>
      </c>
      <c r="G183" s="37">
        <f>MAX(I183,K183,M183,O183,Q183)</f>
        <v>338.69</v>
      </c>
      <c r="I183" s="38">
        <f t="shared" si="28"/>
        <v>67.001000000000005</v>
      </c>
      <c r="K183" s="38">
        <f t="shared" si="29"/>
        <v>338.69</v>
      </c>
      <c r="M183" s="38">
        <f t="shared" si="30"/>
        <v>165.76560000000001</v>
      </c>
      <c r="O183" s="38">
        <f t="shared" si="31"/>
        <v>326.44457999999997</v>
      </c>
      <c r="Q183" s="38">
        <f t="shared" si="32"/>
        <v>206.8</v>
      </c>
      <c r="S183" s="38">
        <v>60.91</v>
      </c>
      <c r="T183" s="38">
        <v>307.89999999999998</v>
      </c>
      <c r="U183" s="38">
        <v>150.696</v>
      </c>
      <c r="V183" s="38">
        <v>296.76779999999997</v>
      </c>
      <c r="W183" s="38">
        <v>188</v>
      </c>
    </row>
    <row r="184" spans="1:23" ht="15.6" outlineLevel="2">
      <c r="A184" s="52" t="s">
        <v>1924</v>
      </c>
      <c r="B184" s="70" t="s">
        <v>1925</v>
      </c>
      <c r="C184" s="52" t="s">
        <v>242</v>
      </c>
      <c r="E184" s="37">
        <f>MIN(I184,K184,M184,O184,Q184)</f>
        <v>74.976000000000013</v>
      </c>
      <c r="F184" s="37">
        <f>AVERAGE(I184,K184,M184,O184,Q184)</f>
        <v>276.86467600000003</v>
      </c>
      <c r="G184" s="37">
        <f>MAX(I184,K184,M184,O184,Q184)</f>
        <v>564.96</v>
      </c>
      <c r="I184" s="38">
        <f t="shared" si="28"/>
        <v>74.976000000000013</v>
      </c>
      <c r="K184" s="38">
        <f t="shared" si="29"/>
        <v>564.96</v>
      </c>
      <c r="M184" s="38">
        <f t="shared" si="30"/>
        <v>189.14279999999999</v>
      </c>
      <c r="O184" s="38">
        <f t="shared" si="31"/>
        <v>326.44457999999997</v>
      </c>
      <c r="Q184" s="38">
        <f t="shared" si="32"/>
        <v>228.8</v>
      </c>
      <c r="S184" s="38">
        <v>68.160000000000011</v>
      </c>
      <c r="T184" s="38">
        <v>513.6</v>
      </c>
      <c r="U184" s="38">
        <v>171.94799999999998</v>
      </c>
      <c r="V184" s="38">
        <v>296.76779999999997</v>
      </c>
      <c r="W184" s="38">
        <v>208</v>
      </c>
    </row>
    <row r="185" spans="1:23" ht="15" outlineLevel="1">
      <c r="A185" s="31" t="s">
        <v>1926</v>
      </c>
      <c r="B185" s="71" t="s">
        <v>1927</v>
      </c>
      <c r="C185" s="31"/>
      <c r="I185" t="str">
        <f t="shared" si="28"/>
        <v/>
      </c>
      <c r="K185" t="str">
        <f t="shared" si="29"/>
        <v/>
      </c>
      <c r="M185" t="str">
        <f t="shared" si="30"/>
        <v/>
      </c>
      <c r="O185" t="str">
        <f t="shared" si="31"/>
        <v/>
      </c>
      <c r="Q185" t="str">
        <f t="shared" si="32"/>
        <v/>
      </c>
      <c r="T185"/>
      <c r="U185"/>
      <c r="V185"/>
      <c r="W185"/>
    </row>
    <row r="186" spans="1:23" ht="30.95" outlineLevel="2">
      <c r="A186" s="52" t="s">
        <v>1928</v>
      </c>
      <c r="B186" s="70" t="s">
        <v>1929</v>
      </c>
      <c r="C186" s="52" t="s">
        <v>242</v>
      </c>
      <c r="E186" s="37">
        <f t="shared" ref="E186:E195" si="39">MIN(I186,K186,M186,O186,Q186)</f>
        <v>43.867999999999995</v>
      </c>
      <c r="F186" s="37">
        <f t="shared" ref="F186:F195" si="40">AVERAGE(I186,K186,M186,O186,Q186)</f>
        <v>71.707680000000011</v>
      </c>
      <c r="G186" s="37">
        <f t="shared" ref="G186:G195" si="41">MAX(I186,K186,M186,O186,Q186)</f>
        <v>128.06640000000002</v>
      </c>
      <c r="I186" s="38">
        <f t="shared" si="28"/>
        <v>43.867999999999995</v>
      </c>
      <c r="K186" s="38">
        <f t="shared" si="29"/>
        <v>54.956000000000003</v>
      </c>
      <c r="M186" s="38">
        <f t="shared" si="30"/>
        <v>54.648000000000003</v>
      </c>
      <c r="O186" s="38">
        <f t="shared" si="31"/>
        <v>128.06640000000002</v>
      </c>
      <c r="Q186" s="38">
        <f t="shared" si="32"/>
        <v>77</v>
      </c>
      <c r="S186" s="38">
        <v>39.879999999999995</v>
      </c>
      <c r="T186" s="38">
        <v>49.96</v>
      </c>
      <c r="U186" s="38">
        <v>49.68</v>
      </c>
      <c r="V186" s="38">
        <v>116.42399999999999</v>
      </c>
      <c r="W186" s="38">
        <v>70</v>
      </c>
    </row>
    <row r="187" spans="1:23" ht="15.6" outlineLevel="2">
      <c r="A187" s="52" t="s">
        <v>1930</v>
      </c>
      <c r="B187" s="70" t="s">
        <v>1931</v>
      </c>
      <c r="C187" s="52" t="s">
        <v>242</v>
      </c>
      <c r="E187" s="37">
        <f t="shared" si="39"/>
        <v>66.363</v>
      </c>
      <c r="F187" s="37">
        <f t="shared" si="40"/>
        <v>119.09502000000001</v>
      </c>
      <c r="G187" s="37">
        <f t="shared" si="41"/>
        <v>186.90210000000002</v>
      </c>
      <c r="I187" s="38">
        <f t="shared" si="28"/>
        <v>66.363</v>
      </c>
      <c r="K187" s="38">
        <f t="shared" si="29"/>
        <v>88.858000000000004</v>
      </c>
      <c r="M187" s="38">
        <f t="shared" si="30"/>
        <v>97.152000000000001</v>
      </c>
      <c r="O187" s="38">
        <f t="shared" si="31"/>
        <v>186.90210000000002</v>
      </c>
      <c r="Q187" s="38">
        <f t="shared" si="32"/>
        <v>156.20000000000002</v>
      </c>
      <c r="S187" s="38">
        <v>60.33</v>
      </c>
      <c r="T187" s="38">
        <v>80.78</v>
      </c>
      <c r="U187" s="38">
        <v>88.32</v>
      </c>
      <c r="V187" s="38">
        <v>169.911</v>
      </c>
      <c r="W187" s="38">
        <v>142</v>
      </c>
    </row>
    <row r="188" spans="1:23" ht="15.6" outlineLevel="2">
      <c r="A188" s="52" t="s">
        <v>1932</v>
      </c>
      <c r="B188" s="70" t="s">
        <v>1933</v>
      </c>
      <c r="C188" s="52" t="s">
        <v>242</v>
      </c>
      <c r="E188" s="37">
        <f t="shared" si="39"/>
        <v>61.38</v>
      </c>
      <c r="F188" s="37">
        <f t="shared" si="40"/>
        <v>90.598200000000006</v>
      </c>
      <c r="G188" s="37">
        <f t="shared" si="41"/>
        <v>116.60000000000001</v>
      </c>
      <c r="I188" s="38">
        <f t="shared" si="28"/>
        <v>88.858000000000004</v>
      </c>
      <c r="K188" s="38">
        <f t="shared" si="29"/>
        <v>61.38</v>
      </c>
      <c r="M188" s="38">
        <f t="shared" si="30"/>
        <v>69.828000000000003</v>
      </c>
      <c r="O188" s="38">
        <f t="shared" si="31"/>
        <v>116.32500000000003</v>
      </c>
      <c r="Q188" s="38">
        <f t="shared" si="32"/>
        <v>116.60000000000001</v>
      </c>
      <c r="S188" s="38">
        <v>80.78</v>
      </c>
      <c r="T188" s="38">
        <v>55.8</v>
      </c>
      <c r="U188" s="38">
        <v>63.48</v>
      </c>
      <c r="V188" s="38">
        <v>105.75000000000001</v>
      </c>
      <c r="W188" s="38">
        <v>106</v>
      </c>
    </row>
    <row r="189" spans="1:23" ht="15.6" outlineLevel="2">
      <c r="A189" s="52" t="s">
        <v>1934</v>
      </c>
      <c r="B189" s="70" t="s">
        <v>1935</v>
      </c>
      <c r="C189" s="52" t="s">
        <v>242</v>
      </c>
      <c r="E189" s="37">
        <f t="shared" si="39"/>
        <v>78.331000000000003</v>
      </c>
      <c r="F189" s="37">
        <f t="shared" si="40"/>
        <v>114.1448</v>
      </c>
      <c r="G189" s="37">
        <f t="shared" si="41"/>
        <v>156.20000000000002</v>
      </c>
      <c r="I189" s="38">
        <f t="shared" si="28"/>
        <v>111.35300000000001</v>
      </c>
      <c r="K189" s="38">
        <f t="shared" si="29"/>
        <v>78.331000000000003</v>
      </c>
      <c r="M189" s="38">
        <f t="shared" si="30"/>
        <v>91.08</v>
      </c>
      <c r="O189" s="38">
        <f t="shared" si="31"/>
        <v>133.76000000000002</v>
      </c>
      <c r="Q189" s="38">
        <f t="shared" si="32"/>
        <v>156.20000000000002</v>
      </c>
      <c r="S189" s="38">
        <v>101.23</v>
      </c>
      <c r="T189" s="38">
        <v>71.209999999999994</v>
      </c>
      <c r="U189" s="38">
        <v>82.8</v>
      </c>
      <c r="V189" s="38">
        <v>121.60000000000001</v>
      </c>
      <c r="W189" s="38">
        <v>142</v>
      </c>
    </row>
    <row r="190" spans="1:23" ht="15.6" outlineLevel="2">
      <c r="A190" s="52" t="s">
        <v>1936</v>
      </c>
      <c r="B190" s="70" t="s">
        <v>1937</v>
      </c>
      <c r="C190" s="52" t="s">
        <v>242</v>
      </c>
      <c r="E190" s="37">
        <f t="shared" si="39"/>
        <v>129.17300000000003</v>
      </c>
      <c r="F190" s="37">
        <f t="shared" si="40"/>
        <v>192.0402</v>
      </c>
      <c r="G190" s="37">
        <f t="shared" si="41"/>
        <v>311.3</v>
      </c>
      <c r="I190" s="38">
        <f t="shared" si="28"/>
        <v>178.827</v>
      </c>
      <c r="K190" s="38">
        <f t="shared" si="29"/>
        <v>129.17300000000003</v>
      </c>
      <c r="M190" s="38">
        <f t="shared" si="30"/>
        <v>154.83600000000001</v>
      </c>
      <c r="O190" s="38">
        <f t="shared" si="31"/>
        <v>186.06500000000003</v>
      </c>
      <c r="Q190" s="38">
        <f t="shared" si="32"/>
        <v>311.3</v>
      </c>
      <c r="S190" s="38">
        <v>162.57</v>
      </c>
      <c r="T190" s="38">
        <v>117.43</v>
      </c>
      <c r="U190" s="38">
        <v>140.76</v>
      </c>
      <c r="V190" s="38">
        <v>169.15</v>
      </c>
      <c r="W190" s="38">
        <v>283</v>
      </c>
    </row>
    <row r="191" spans="1:23" ht="15.6" outlineLevel="2">
      <c r="A191" s="52" t="s">
        <v>1938</v>
      </c>
      <c r="B191" s="70" t="s">
        <v>1939</v>
      </c>
      <c r="C191" s="52" t="s">
        <v>242</v>
      </c>
      <c r="E191" s="37">
        <f t="shared" si="39"/>
        <v>161.42500000000001</v>
      </c>
      <c r="F191" s="37">
        <f t="shared" si="40"/>
        <v>300.27976000000001</v>
      </c>
      <c r="G191" s="37">
        <f t="shared" si="41"/>
        <v>448.72080000000011</v>
      </c>
      <c r="I191" s="38">
        <f t="shared" si="28"/>
        <v>268.79599999999999</v>
      </c>
      <c r="K191" s="38">
        <f t="shared" si="29"/>
        <v>373.85700000000003</v>
      </c>
      <c r="M191" s="38">
        <f t="shared" si="30"/>
        <v>448.72080000000011</v>
      </c>
      <c r="O191" s="38">
        <f t="shared" si="31"/>
        <v>161.42500000000001</v>
      </c>
      <c r="Q191" s="38">
        <f t="shared" si="32"/>
        <v>248.60000000000002</v>
      </c>
      <c r="S191" s="38">
        <v>244.35999999999999</v>
      </c>
      <c r="T191" s="38">
        <v>339.87</v>
      </c>
      <c r="U191" s="38">
        <v>407.92800000000005</v>
      </c>
      <c r="V191" s="38">
        <v>146.75</v>
      </c>
      <c r="W191" s="38">
        <v>226</v>
      </c>
    </row>
    <row r="192" spans="1:23" ht="15.6" outlineLevel="2">
      <c r="A192" s="52" t="s">
        <v>1940</v>
      </c>
      <c r="B192" s="70" t="s">
        <v>1941</v>
      </c>
      <c r="C192" s="52" t="s">
        <v>242</v>
      </c>
      <c r="E192" s="37">
        <f t="shared" si="39"/>
        <v>164.30700000000002</v>
      </c>
      <c r="F192" s="37">
        <f t="shared" si="40"/>
        <v>329.22988999999995</v>
      </c>
      <c r="G192" s="37">
        <f t="shared" si="41"/>
        <v>497.20000000000005</v>
      </c>
      <c r="I192" s="38">
        <f t="shared" si="28"/>
        <v>164.30700000000002</v>
      </c>
      <c r="K192" s="38">
        <f t="shared" si="29"/>
        <v>209.88000000000002</v>
      </c>
      <c r="M192" s="38">
        <f t="shared" si="30"/>
        <v>469.66919999999999</v>
      </c>
      <c r="O192" s="38">
        <f t="shared" si="31"/>
        <v>305.09324999999995</v>
      </c>
      <c r="Q192" s="38">
        <f t="shared" si="32"/>
        <v>497.20000000000005</v>
      </c>
      <c r="S192" s="38">
        <v>149.37</v>
      </c>
      <c r="T192" s="38">
        <v>190.8</v>
      </c>
      <c r="U192" s="38">
        <v>426.97199999999998</v>
      </c>
      <c r="V192" s="38">
        <v>277.35749999999996</v>
      </c>
      <c r="W192" s="38">
        <v>452</v>
      </c>
    </row>
    <row r="193" spans="1:23" ht="15.6" outlineLevel="2">
      <c r="A193" s="52" t="s">
        <v>1942</v>
      </c>
      <c r="B193" s="70" t="s">
        <v>1943</v>
      </c>
      <c r="C193" s="52" t="s">
        <v>242</v>
      </c>
      <c r="E193" s="37">
        <f t="shared" si="39"/>
        <v>12.144</v>
      </c>
      <c r="F193" s="37">
        <f t="shared" si="40"/>
        <v>20.766152000000002</v>
      </c>
      <c r="G193" s="37">
        <f t="shared" si="41"/>
        <v>30.712000000000003</v>
      </c>
      <c r="I193" s="38">
        <f t="shared" si="28"/>
        <v>18.194000000000006</v>
      </c>
      <c r="K193" s="38">
        <f t="shared" si="29"/>
        <v>21.076000000000001</v>
      </c>
      <c r="M193" s="38">
        <f t="shared" si="30"/>
        <v>12.144</v>
      </c>
      <c r="O193" s="38">
        <f t="shared" si="31"/>
        <v>21.704759999999997</v>
      </c>
      <c r="Q193" s="38">
        <f t="shared" si="32"/>
        <v>30.712000000000003</v>
      </c>
      <c r="S193" s="38">
        <v>16.540000000000003</v>
      </c>
      <c r="T193" s="38">
        <v>19.16</v>
      </c>
      <c r="U193" s="38">
        <v>11.04</v>
      </c>
      <c r="V193" s="38">
        <v>19.731599999999997</v>
      </c>
      <c r="W193" s="38">
        <v>27.92</v>
      </c>
    </row>
    <row r="194" spans="1:23" ht="15.6" outlineLevel="2">
      <c r="A194" s="52" t="s">
        <v>1944</v>
      </c>
      <c r="B194" s="70" t="s">
        <v>1945</v>
      </c>
      <c r="C194" s="52" t="s">
        <v>242</v>
      </c>
      <c r="E194" s="37">
        <f t="shared" si="39"/>
        <v>17.609130000000004</v>
      </c>
      <c r="F194" s="37">
        <f t="shared" si="40"/>
        <v>27.189426000000005</v>
      </c>
      <c r="G194" s="37">
        <f t="shared" si="41"/>
        <v>36.432000000000002</v>
      </c>
      <c r="I194" s="38">
        <f t="shared" si="28"/>
        <v>19.470000000000006</v>
      </c>
      <c r="K194" s="38">
        <f t="shared" si="29"/>
        <v>36.432000000000002</v>
      </c>
      <c r="M194" s="38">
        <f t="shared" si="30"/>
        <v>36.432000000000002</v>
      </c>
      <c r="O194" s="38">
        <f t="shared" si="31"/>
        <v>17.609130000000004</v>
      </c>
      <c r="Q194" s="38">
        <f t="shared" si="32"/>
        <v>26.004000000000001</v>
      </c>
      <c r="S194" s="38">
        <v>17.700000000000003</v>
      </c>
      <c r="T194" s="38">
        <v>33.119999999999997</v>
      </c>
      <c r="U194" s="38">
        <v>33.119999999999997</v>
      </c>
      <c r="V194" s="38">
        <v>16.008300000000002</v>
      </c>
      <c r="W194" s="38">
        <v>23.64</v>
      </c>
    </row>
    <row r="195" spans="1:23" ht="15.6" outlineLevel="2">
      <c r="A195" s="52" t="s">
        <v>1946</v>
      </c>
      <c r="B195" s="70" t="s">
        <v>1947</v>
      </c>
      <c r="C195" s="52" t="s">
        <v>242</v>
      </c>
      <c r="E195" s="37">
        <f t="shared" si="39"/>
        <v>23.936000000000003</v>
      </c>
      <c r="F195" s="37">
        <f t="shared" si="40"/>
        <v>39.647630000000007</v>
      </c>
      <c r="G195" s="37">
        <f t="shared" si="41"/>
        <v>50.160000000000004</v>
      </c>
      <c r="I195" s="38">
        <f t="shared" si="28"/>
        <v>23.936000000000003</v>
      </c>
      <c r="K195" s="38">
        <f t="shared" si="29"/>
        <v>50.160000000000004</v>
      </c>
      <c r="M195" s="38">
        <f t="shared" si="30"/>
        <v>42.504000000000005</v>
      </c>
      <c r="O195" s="38">
        <f t="shared" si="31"/>
        <v>32.952150000000003</v>
      </c>
      <c r="Q195" s="38">
        <f t="shared" si="32"/>
        <v>48.686</v>
      </c>
      <c r="S195" s="38">
        <v>21.76</v>
      </c>
      <c r="T195" s="38">
        <v>45.6</v>
      </c>
      <c r="U195" s="38">
        <v>38.64</v>
      </c>
      <c r="V195" s="38">
        <v>29.956499999999998</v>
      </c>
      <c r="W195" s="38">
        <v>44.26</v>
      </c>
    </row>
    <row r="196" spans="1:23" ht="15" outlineLevel="1">
      <c r="A196" s="31" t="s">
        <v>1948</v>
      </c>
      <c r="B196" s="71" t="s">
        <v>1949</v>
      </c>
      <c r="C196" s="31"/>
      <c r="I196" t="str">
        <f t="shared" ref="I196:I259" si="42" xml:space="preserve"> IF(ISBLANK(S196),"",_k_EIFFAGE * S196)</f>
        <v/>
      </c>
      <c r="K196" t="str">
        <f t="shared" ref="K196:K259" si="43" xml:space="preserve"> IF(ISBLANK(T196),"",_k_ERI * T196)</f>
        <v/>
      </c>
      <c r="M196" t="str">
        <f t="shared" ref="M196:M259" si="44" xml:space="preserve"> IF(ISBLANK(U196),"",_k_INEO * U196)</f>
        <v/>
      </c>
      <c r="O196" t="str">
        <f t="shared" ref="O196:O259" si="45" xml:space="preserve"> IF(ISBLANK(V196),"",_k_SDEL * V196)</f>
        <v/>
      </c>
      <c r="Q196" t="str">
        <f t="shared" ref="Q196:Q259" si="46" xml:space="preserve"> IF(ISBLANK(W196),"",_k_SOGETREL * W196)</f>
        <v/>
      </c>
      <c r="T196"/>
      <c r="U196"/>
      <c r="V196"/>
      <c r="W196"/>
    </row>
    <row r="197" spans="1:23" ht="15.6" outlineLevel="2">
      <c r="A197" s="52" t="s">
        <v>1950</v>
      </c>
      <c r="B197" s="70" t="s">
        <v>1951</v>
      </c>
      <c r="C197" s="52" t="s">
        <v>242</v>
      </c>
      <c r="E197" s="37">
        <f t="shared" ref="E197:E203" si="47">MIN(I197,K197,M197,O197,Q197)</f>
        <v>148.63200000000001</v>
      </c>
      <c r="F197" s="37">
        <f t="shared" ref="F197:F203" si="48">AVERAGE(I197,K197,M197,O197,Q197)</f>
        <v>244.906552</v>
      </c>
      <c r="G197" s="37">
        <f t="shared" ref="G197:G203" si="49">MAX(I197,K197,M197,O197,Q197)</f>
        <v>303.60000000000002</v>
      </c>
      <c r="I197" s="38">
        <f t="shared" si="42"/>
        <v>148.63200000000001</v>
      </c>
      <c r="K197" s="38">
        <f t="shared" si="43"/>
        <v>245.96</v>
      </c>
      <c r="M197" s="38">
        <f t="shared" si="44"/>
        <v>288.42</v>
      </c>
      <c r="O197" s="38">
        <f t="shared" si="45"/>
        <v>237.92076</v>
      </c>
      <c r="Q197" s="38">
        <f t="shared" si="46"/>
        <v>303.60000000000002</v>
      </c>
      <c r="S197" s="38">
        <v>135.12</v>
      </c>
      <c r="T197" s="38">
        <v>223.6</v>
      </c>
      <c r="U197" s="38">
        <v>262.2</v>
      </c>
      <c r="V197" s="38">
        <v>216.29159999999999</v>
      </c>
      <c r="W197" s="38">
        <v>276</v>
      </c>
    </row>
    <row r="198" spans="1:23" ht="15.6" outlineLevel="2">
      <c r="A198" s="52" t="s">
        <v>1952</v>
      </c>
      <c r="B198" s="70" t="s">
        <v>1953</v>
      </c>
      <c r="C198" s="52" t="s">
        <v>242</v>
      </c>
      <c r="E198" s="37">
        <f t="shared" si="47"/>
        <v>171.42400000000001</v>
      </c>
      <c r="F198" s="37">
        <f t="shared" si="48"/>
        <v>282.00418400000001</v>
      </c>
      <c r="G198" s="37">
        <f t="shared" si="49"/>
        <v>347.6</v>
      </c>
      <c r="I198" s="38">
        <f t="shared" si="42"/>
        <v>171.42400000000001</v>
      </c>
      <c r="K198" s="38">
        <f t="shared" si="43"/>
        <v>283.69</v>
      </c>
      <c r="M198" s="38">
        <f t="shared" si="44"/>
        <v>333.96000000000004</v>
      </c>
      <c r="O198" s="38">
        <f t="shared" si="45"/>
        <v>273.34691999999995</v>
      </c>
      <c r="Q198" s="38">
        <f t="shared" si="46"/>
        <v>347.6</v>
      </c>
      <c r="S198" s="38">
        <v>155.84</v>
      </c>
      <c r="T198" s="38">
        <v>257.89999999999998</v>
      </c>
      <c r="U198" s="38">
        <v>303.60000000000002</v>
      </c>
      <c r="V198" s="38">
        <v>248.49719999999996</v>
      </c>
      <c r="W198" s="38">
        <v>316</v>
      </c>
    </row>
    <row r="199" spans="1:23" ht="15.6" outlineLevel="2">
      <c r="A199" s="52" t="s">
        <v>1954</v>
      </c>
      <c r="B199" s="70" t="s">
        <v>1955</v>
      </c>
      <c r="C199" s="52" t="s">
        <v>242</v>
      </c>
      <c r="E199" s="37">
        <f t="shared" si="47"/>
        <v>286.34100000000001</v>
      </c>
      <c r="F199" s="37">
        <f t="shared" si="48"/>
        <v>471.65461199999999</v>
      </c>
      <c r="G199" s="37">
        <f t="shared" si="49"/>
        <v>580.80000000000007</v>
      </c>
      <c r="I199" s="38">
        <f t="shared" si="42"/>
        <v>286.34100000000001</v>
      </c>
      <c r="K199" s="38">
        <f t="shared" si="43"/>
        <v>473.88000000000005</v>
      </c>
      <c r="M199" s="38">
        <f t="shared" si="44"/>
        <v>561.66000000000008</v>
      </c>
      <c r="O199" s="38">
        <f t="shared" si="45"/>
        <v>455.59205999999995</v>
      </c>
      <c r="Q199" s="38">
        <f t="shared" si="46"/>
        <v>580.80000000000007</v>
      </c>
      <c r="S199" s="38">
        <v>260.31</v>
      </c>
      <c r="T199" s="38">
        <v>430.8</v>
      </c>
      <c r="U199" s="38">
        <v>510.6</v>
      </c>
      <c r="V199" s="38">
        <v>414.17459999999994</v>
      </c>
      <c r="W199" s="38">
        <v>528</v>
      </c>
    </row>
    <row r="200" spans="1:23" ht="15.6" outlineLevel="2">
      <c r="A200" s="52" t="s">
        <v>1956</v>
      </c>
      <c r="B200" s="70" t="s">
        <v>1957</v>
      </c>
      <c r="C200" s="52" t="s">
        <v>242</v>
      </c>
      <c r="E200" s="37">
        <f t="shared" si="47"/>
        <v>396.96800000000002</v>
      </c>
      <c r="F200" s="37">
        <f t="shared" si="48"/>
        <v>649.672012</v>
      </c>
      <c r="G200" s="37">
        <f t="shared" si="49"/>
        <v>805.2</v>
      </c>
      <c r="I200" s="38">
        <f t="shared" si="42"/>
        <v>396.96800000000002</v>
      </c>
      <c r="K200" s="38">
        <f t="shared" si="43"/>
        <v>656.96400000000006</v>
      </c>
      <c r="M200" s="38">
        <f t="shared" si="44"/>
        <v>759.00000000000011</v>
      </c>
      <c r="O200" s="38">
        <f t="shared" si="45"/>
        <v>630.22806000000003</v>
      </c>
      <c r="Q200" s="38">
        <f t="shared" si="46"/>
        <v>805.2</v>
      </c>
      <c r="S200" s="38">
        <v>360.88</v>
      </c>
      <c r="T200" s="38">
        <v>597.24</v>
      </c>
      <c r="U200" s="38">
        <v>690</v>
      </c>
      <c r="V200" s="38">
        <v>572.93459999999993</v>
      </c>
      <c r="W200" s="38">
        <v>732</v>
      </c>
    </row>
    <row r="201" spans="1:23" ht="15.6" outlineLevel="2">
      <c r="A201" s="52" t="s">
        <v>1958</v>
      </c>
      <c r="B201" s="70" t="s">
        <v>1959</v>
      </c>
      <c r="C201" s="52" t="s">
        <v>242</v>
      </c>
      <c r="E201" s="37">
        <f t="shared" si="47"/>
        <v>477.96100000000001</v>
      </c>
      <c r="F201" s="37">
        <f t="shared" si="48"/>
        <v>781.86123399999997</v>
      </c>
      <c r="G201" s="37">
        <f t="shared" si="49"/>
        <v>970.2</v>
      </c>
      <c r="I201" s="38">
        <f t="shared" si="42"/>
        <v>477.96100000000001</v>
      </c>
      <c r="K201" s="38">
        <f t="shared" si="43"/>
        <v>791.03200000000004</v>
      </c>
      <c r="M201" s="38">
        <f t="shared" si="44"/>
        <v>910.80000000000007</v>
      </c>
      <c r="O201" s="38">
        <f t="shared" si="45"/>
        <v>759.31317000000013</v>
      </c>
      <c r="Q201" s="38">
        <f t="shared" si="46"/>
        <v>970.2</v>
      </c>
      <c r="S201" s="38">
        <v>434.51</v>
      </c>
      <c r="T201" s="38">
        <v>719.12</v>
      </c>
      <c r="U201" s="38">
        <v>828</v>
      </c>
      <c r="V201" s="38">
        <v>690.28470000000004</v>
      </c>
      <c r="W201" s="38">
        <v>882</v>
      </c>
    </row>
    <row r="202" spans="1:23" ht="15.6" outlineLevel="2">
      <c r="A202" s="52" t="s">
        <v>1960</v>
      </c>
      <c r="B202" s="70" t="s">
        <v>1961</v>
      </c>
      <c r="C202" s="52" t="s">
        <v>242</v>
      </c>
      <c r="E202" s="37">
        <f t="shared" si="47"/>
        <v>516.26300000000003</v>
      </c>
      <c r="F202" s="37">
        <f t="shared" si="48"/>
        <v>579.44260000000008</v>
      </c>
      <c r="G202" s="37">
        <f t="shared" si="49"/>
        <v>632.5</v>
      </c>
      <c r="I202" s="38">
        <f t="shared" si="42"/>
        <v>623.88700000000006</v>
      </c>
      <c r="K202" s="38">
        <f t="shared" si="43"/>
        <v>516.26300000000003</v>
      </c>
      <c r="M202" s="38">
        <f t="shared" si="44"/>
        <v>599.61000000000013</v>
      </c>
      <c r="O202" s="38">
        <f t="shared" si="45"/>
        <v>524.95300000000009</v>
      </c>
      <c r="Q202" s="38">
        <f t="shared" si="46"/>
        <v>632.5</v>
      </c>
      <c r="S202" s="38">
        <v>567.16999999999996</v>
      </c>
      <c r="T202" s="38">
        <v>469.33</v>
      </c>
      <c r="U202" s="38">
        <v>545.1</v>
      </c>
      <c r="V202" s="38">
        <v>477.23</v>
      </c>
      <c r="W202" s="38">
        <v>575</v>
      </c>
    </row>
    <row r="203" spans="1:23" ht="15.6" outlineLevel="2">
      <c r="A203" s="52" t="s">
        <v>1962</v>
      </c>
      <c r="B203" s="70" t="s">
        <v>1963</v>
      </c>
      <c r="C203" s="52" t="s">
        <v>242</v>
      </c>
      <c r="E203" s="37">
        <f t="shared" si="47"/>
        <v>989.505</v>
      </c>
      <c r="F203" s="37">
        <f t="shared" si="48"/>
        <v>1214.7784000000001</v>
      </c>
      <c r="G203" s="37">
        <f t="shared" si="49"/>
        <v>1430.0000000000002</v>
      </c>
      <c r="I203" s="38">
        <f t="shared" si="42"/>
        <v>1247.7740000000001</v>
      </c>
      <c r="K203" s="38">
        <f t="shared" si="43"/>
        <v>989.505</v>
      </c>
      <c r="M203" s="38">
        <f t="shared" si="44"/>
        <v>1199.2200000000003</v>
      </c>
      <c r="O203" s="38">
        <f t="shared" si="45"/>
        <v>1207.3930000000003</v>
      </c>
      <c r="Q203" s="38">
        <f t="shared" si="46"/>
        <v>1430.0000000000002</v>
      </c>
      <c r="S203" s="38">
        <v>1134.3399999999999</v>
      </c>
      <c r="T203" s="38">
        <v>899.55</v>
      </c>
      <c r="U203" s="38">
        <v>1090.2</v>
      </c>
      <c r="V203" s="38">
        <v>1097.6300000000001</v>
      </c>
      <c r="W203" s="38">
        <v>1300</v>
      </c>
    </row>
    <row r="204" spans="1:23" ht="15" outlineLevel="1">
      <c r="A204" s="31" t="s">
        <v>1964</v>
      </c>
      <c r="B204" s="71" t="s">
        <v>1965</v>
      </c>
      <c r="C204" s="31"/>
      <c r="I204" t="str">
        <f t="shared" si="42"/>
        <v/>
      </c>
      <c r="K204" t="str">
        <f t="shared" si="43"/>
        <v/>
      </c>
      <c r="M204" t="str">
        <f t="shared" si="44"/>
        <v/>
      </c>
      <c r="O204" t="str">
        <f t="shared" si="45"/>
        <v/>
      </c>
      <c r="Q204" t="str">
        <f t="shared" si="46"/>
        <v/>
      </c>
      <c r="T204"/>
      <c r="U204"/>
      <c r="V204"/>
      <c r="W204"/>
    </row>
    <row r="205" spans="1:23" ht="15.6" outlineLevel="2">
      <c r="A205" s="52" t="s">
        <v>1966</v>
      </c>
      <c r="B205" s="70" t="s">
        <v>1967</v>
      </c>
      <c r="C205" s="52" t="s">
        <v>242</v>
      </c>
      <c r="E205" s="37">
        <f>MIN(I205,K205,M205,O205,Q205)</f>
        <v>80.597000000000023</v>
      </c>
      <c r="F205" s="37">
        <f>AVERAGE(I205,K205,M205,O205,Q205)</f>
        <v>135.11962199999999</v>
      </c>
      <c r="G205" s="37">
        <f>MAX(I205,K205,M205,O205,Q205)</f>
        <v>166.98000000000002</v>
      </c>
      <c r="I205" s="38">
        <f t="shared" si="42"/>
        <v>80.597000000000023</v>
      </c>
      <c r="K205" s="38">
        <f t="shared" si="43"/>
        <v>133.93600000000001</v>
      </c>
      <c r="M205" s="38">
        <f t="shared" si="44"/>
        <v>166.98000000000002</v>
      </c>
      <c r="O205" s="38">
        <f t="shared" si="45"/>
        <v>129.08511000000001</v>
      </c>
      <c r="Q205" s="38">
        <f t="shared" si="46"/>
        <v>165</v>
      </c>
      <c r="S205" s="38">
        <v>73.27000000000001</v>
      </c>
      <c r="T205" s="38">
        <v>121.76</v>
      </c>
      <c r="U205" s="38">
        <v>151.80000000000001</v>
      </c>
      <c r="V205" s="38">
        <v>117.3501</v>
      </c>
      <c r="W205" s="38">
        <v>150</v>
      </c>
    </row>
    <row r="206" spans="1:23" ht="15.6" outlineLevel="2">
      <c r="A206" s="52" t="s">
        <v>1968</v>
      </c>
      <c r="B206" s="70" t="s">
        <v>1969</v>
      </c>
      <c r="C206" s="52" t="s">
        <v>242</v>
      </c>
      <c r="E206" s="37">
        <f>MIN(I206,K206,M206,O206,Q206)</f>
        <v>149.74299999999999</v>
      </c>
      <c r="F206" s="37">
        <f>AVERAGE(I206,K206,M206,O206,Q206)</f>
        <v>249.69282800000002</v>
      </c>
      <c r="G206" s="37">
        <f>MAX(I206,K206,M206,O206,Q206)</f>
        <v>305.8</v>
      </c>
      <c r="I206" s="38">
        <f t="shared" si="42"/>
        <v>149.74299999999999</v>
      </c>
      <c r="K206" s="38">
        <f t="shared" si="43"/>
        <v>248.86400000000003</v>
      </c>
      <c r="M206" s="38">
        <f t="shared" si="44"/>
        <v>303.60000000000002</v>
      </c>
      <c r="O206" s="38">
        <f t="shared" si="45"/>
        <v>240.45714000000001</v>
      </c>
      <c r="Q206" s="38">
        <f t="shared" si="46"/>
        <v>305.8</v>
      </c>
      <c r="S206" s="38">
        <v>136.13</v>
      </c>
      <c r="T206" s="38">
        <v>226.24</v>
      </c>
      <c r="U206" s="38">
        <v>276</v>
      </c>
      <c r="V206" s="38">
        <v>218.59739999999999</v>
      </c>
      <c r="W206" s="38">
        <v>278</v>
      </c>
    </row>
    <row r="207" spans="1:23" ht="15.6" outlineLevel="2">
      <c r="A207" s="52" t="s">
        <v>1970</v>
      </c>
      <c r="B207" s="70" t="s">
        <v>1971</v>
      </c>
      <c r="C207" s="52" t="s">
        <v>242</v>
      </c>
      <c r="E207" s="37">
        <f>MIN(I207,K207,M207,O207,Q207)</f>
        <v>159.52199999999999</v>
      </c>
      <c r="F207" s="37">
        <f>AVERAGE(I207,K207,M207,O207,Q207)</f>
        <v>321.82612000000006</v>
      </c>
      <c r="G207" s="37">
        <f>MAX(I207,K207,M207,O207,Q207)</f>
        <v>405.30599999999998</v>
      </c>
      <c r="I207" s="38">
        <f t="shared" si="42"/>
        <v>159.52199999999999</v>
      </c>
      <c r="K207" s="38">
        <f t="shared" si="43"/>
        <v>330.70400000000001</v>
      </c>
      <c r="M207" s="38">
        <f t="shared" si="44"/>
        <v>394.68000000000006</v>
      </c>
      <c r="O207" s="38">
        <f t="shared" si="45"/>
        <v>318.91860000000003</v>
      </c>
      <c r="Q207" s="38">
        <f t="shared" si="46"/>
        <v>405.30599999999998</v>
      </c>
      <c r="S207" s="38">
        <v>145.01999999999998</v>
      </c>
      <c r="T207" s="38">
        <v>300.64</v>
      </c>
      <c r="U207" s="38">
        <v>358.8</v>
      </c>
      <c r="V207" s="38">
        <v>289.92599999999999</v>
      </c>
      <c r="W207" s="38">
        <v>368.46</v>
      </c>
    </row>
    <row r="208" spans="1:23" ht="15.6" outlineLevel="2">
      <c r="A208" s="52" t="s">
        <v>1972</v>
      </c>
      <c r="B208" s="70" t="s">
        <v>1973</v>
      </c>
      <c r="C208" s="52" t="s">
        <v>242</v>
      </c>
      <c r="E208" s="37">
        <f>MIN(I208,K208,M208,O208,Q208)</f>
        <v>199.39699999999999</v>
      </c>
      <c r="F208" s="37">
        <f>AVERAGE(I208,K208,M208,O208,Q208)</f>
        <v>394.24886600000002</v>
      </c>
      <c r="G208" s="37">
        <f>MAX(I208,K208,M208,O208,Q208)</f>
        <v>495.00000000000006</v>
      </c>
      <c r="I208" s="38">
        <f t="shared" si="42"/>
        <v>199.39699999999999</v>
      </c>
      <c r="K208" s="38">
        <f t="shared" si="43"/>
        <v>403.83200000000005</v>
      </c>
      <c r="M208" s="38">
        <f t="shared" si="44"/>
        <v>485.76000000000005</v>
      </c>
      <c r="O208" s="38">
        <f t="shared" si="45"/>
        <v>387.25533000000001</v>
      </c>
      <c r="Q208" s="38">
        <f t="shared" si="46"/>
        <v>495.00000000000006</v>
      </c>
      <c r="S208" s="38">
        <v>181.26999999999998</v>
      </c>
      <c r="T208" s="38">
        <v>367.12</v>
      </c>
      <c r="U208" s="38">
        <v>441.6</v>
      </c>
      <c r="V208" s="38">
        <v>352.05029999999999</v>
      </c>
      <c r="W208" s="38">
        <v>450</v>
      </c>
    </row>
    <row r="209" spans="1:23" ht="15.6" outlineLevel="2">
      <c r="A209" s="52" t="s">
        <v>1974</v>
      </c>
      <c r="B209" s="70" t="s">
        <v>1975</v>
      </c>
      <c r="C209" s="52" t="s">
        <v>242</v>
      </c>
      <c r="E209" s="37">
        <f>MIN(I209,K209,M209,O209,Q209)</f>
        <v>247.25800000000001</v>
      </c>
      <c r="F209" s="37">
        <f>AVERAGE(I209,K209,M209,O209,Q209)</f>
        <v>325.13580000000002</v>
      </c>
      <c r="G209" s="37">
        <f>MAX(I209,K209,M209,O209,Q209)</f>
        <v>383.90000000000003</v>
      </c>
      <c r="I209" s="38">
        <f t="shared" si="42"/>
        <v>247.25800000000001</v>
      </c>
      <c r="K209" s="38">
        <f t="shared" si="43"/>
        <v>312.81800000000004</v>
      </c>
      <c r="M209" s="38">
        <f t="shared" si="44"/>
        <v>364.32</v>
      </c>
      <c r="O209" s="38">
        <f t="shared" si="45"/>
        <v>317.38299999999998</v>
      </c>
      <c r="Q209" s="38">
        <f t="shared" si="46"/>
        <v>383.90000000000003</v>
      </c>
      <c r="S209" s="38">
        <v>224.78</v>
      </c>
      <c r="T209" s="38">
        <v>284.38</v>
      </c>
      <c r="U209" s="38">
        <v>331.2</v>
      </c>
      <c r="V209" s="38">
        <v>288.52999999999997</v>
      </c>
      <c r="W209" s="38">
        <v>349</v>
      </c>
    </row>
    <row r="210" spans="1:23" ht="15" outlineLevel="1">
      <c r="A210" s="31" t="s">
        <v>1976</v>
      </c>
      <c r="B210" s="71" t="s">
        <v>1977</v>
      </c>
      <c r="C210" s="31"/>
      <c r="I210" t="str">
        <f t="shared" si="42"/>
        <v/>
      </c>
      <c r="K210" t="str">
        <f t="shared" si="43"/>
        <v/>
      </c>
      <c r="M210" t="str">
        <f t="shared" si="44"/>
        <v/>
      </c>
      <c r="O210" t="str">
        <f t="shared" si="45"/>
        <v/>
      </c>
      <c r="Q210" t="str">
        <f t="shared" si="46"/>
        <v/>
      </c>
      <c r="T210"/>
      <c r="U210"/>
      <c r="V210"/>
      <c r="W210"/>
    </row>
    <row r="211" spans="1:23" ht="15.6" outlineLevel="2">
      <c r="A211" s="52" t="s">
        <v>1978</v>
      </c>
      <c r="B211" s="70" t="s">
        <v>1979</v>
      </c>
      <c r="C211" s="52" t="s">
        <v>242</v>
      </c>
      <c r="E211" s="37">
        <f t="shared" ref="E211:E220" si="50">MIN(I211,K211,M211,O211,Q211)</f>
        <v>2.9040000000000004</v>
      </c>
      <c r="F211" s="37">
        <f t="shared" ref="F211:F220" si="51">AVERAGE(I211,K211,M211,O211,Q211)</f>
        <v>5.2040120000000005</v>
      </c>
      <c r="G211" s="37">
        <f t="shared" ref="G211:G220" si="52">MAX(I211,K211,M211,O211,Q211)</f>
        <v>8.5470000000000006</v>
      </c>
      <c r="I211" s="38">
        <f t="shared" si="42"/>
        <v>6.391</v>
      </c>
      <c r="K211" s="38">
        <f t="shared" si="43"/>
        <v>2.9040000000000004</v>
      </c>
      <c r="M211" s="38">
        <f t="shared" si="44"/>
        <v>4.0530600000000003</v>
      </c>
      <c r="O211" s="38">
        <f t="shared" si="45"/>
        <v>4.125</v>
      </c>
      <c r="Q211" s="38">
        <f t="shared" si="46"/>
        <v>8.5470000000000006</v>
      </c>
      <c r="S211" s="38">
        <v>5.81</v>
      </c>
      <c r="T211" s="38">
        <v>2.64</v>
      </c>
      <c r="U211" s="38">
        <v>3.6845999999999997</v>
      </c>
      <c r="V211" s="38">
        <v>3.75</v>
      </c>
      <c r="W211" s="38">
        <v>7.77</v>
      </c>
    </row>
    <row r="212" spans="1:23" ht="15.6" outlineLevel="2">
      <c r="A212" s="52" t="s">
        <v>1980</v>
      </c>
      <c r="B212" s="70" t="s">
        <v>1981</v>
      </c>
      <c r="C212" s="52" t="s">
        <v>242</v>
      </c>
      <c r="E212" s="37">
        <f t="shared" si="50"/>
        <v>3.8170000000000006</v>
      </c>
      <c r="F212" s="37">
        <f t="shared" si="51"/>
        <v>6.6389839999999989</v>
      </c>
      <c r="G212" s="37">
        <f t="shared" si="52"/>
        <v>10.747</v>
      </c>
      <c r="I212" s="38">
        <f t="shared" si="42"/>
        <v>8.3049999999999997</v>
      </c>
      <c r="K212" s="38">
        <f t="shared" si="43"/>
        <v>3.8170000000000006</v>
      </c>
      <c r="M212" s="38">
        <f t="shared" si="44"/>
        <v>5.2219200000000008</v>
      </c>
      <c r="O212" s="38">
        <f t="shared" si="45"/>
        <v>5.1040000000000001</v>
      </c>
      <c r="Q212" s="38">
        <f t="shared" si="46"/>
        <v>10.747</v>
      </c>
      <c r="S212" s="38">
        <v>7.55</v>
      </c>
      <c r="T212" s="38">
        <v>3.47</v>
      </c>
      <c r="U212" s="38">
        <v>4.7472000000000003</v>
      </c>
      <c r="V212" s="38">
        <v>4.6399999999999997</v>
      </c>
      <c r="W212" s="38">
        <v>9.77</v>
      </c>
    </row>
    <row r="213" spans="1:23" ht="15.6" outlineLevel="2">
      <c r="A213" s="52" t="s">
        <v>1982</v>
      </c>
      <c r="B213" s="70" t="s">
        <v>1983</v>
      </c>
      <c r="C213" s="52" t="s">
        <v>242</v>
      </c>
      <c r="E213" s="37">
        <f t="shared" si="50"/>
        <v>9.4160000000000021</v>
      </c>
      <c r="F213" s="37">
        <f t="shared" si="51"/>
        <v>14.105168000000003</v>
      </c>
      <c r="G213" s="37">
        <f t="shared" si="52"/>
        <v>26.268000000000001</v>
      </c>
      <c r="I213" s="38">
        <f t="shared" si="42"/>
        <v>10.274000000000001</v>
      </c>
      <c r="K213" s="38">
        <f t="shared" si="43"/>
        <v>9.4160000000000021</v>
      </c>
      <c r="M213" s="38">
        <f t="shared" si="44"/>
        <v>12.842280000000001</v>
      </c>
      <c r="O213" s="38">
        <f t="shared" si="45"/>
        <v>11.72556</v>
      </c>
      <c r="Q213" s="38">
        <f t="shared" si="46"/>
        <v>26.268000000000001</v>
      </c>
      <c r="S213" s="38">
        <v>9.34</v>
      </c>
      <c r="T213" s="38">
        <v>8.56</v>
      </c>
      <c r="U213" s="38">
        <v>11.674799999999999</v>
      </c>
      <c r="V213" s="38">
        <v>10.659599999999999</v>
      </c>
      <c r="W213" s="38">
        <v>23.88</v>
      </c>
    </row>
    <row r="214" spans="1:23" ht="15.6" outlineLevel="2">
      <c r="A214" s="52" t="s">
        <v>1984</v>
      </c>
      <c r="B214" s="70" t="s">
        <v>1985</v>
      </c>
      <c r="C214" s="52" t="s">
        <v>242</v>
      </c>
      <c r="E214" s="37">
        <f t="shared" si="50"/>
        <v>12.584</v>
      </c>
      <c r="F214" s="37">
        <f t="shared" si="51"/>
        <v>19.576612000000004</v>
      </c>
      <c r="G214" s="37">
        <f t="shared" si="52"/>
        <v>36.828000000000003</v>
      </c>
      <c r="I214" s="38">
        <f t="shared" si="42"/>
        <v>14.025</v>
      </c>
      <c r="K214" s="38">
        <f t="shared" si="43"/>
        <v>12.584</v>
      </c>
      <c r="M214" s="38">
        <f t="shared" si="44"/>
        <v>17.523000000000003</v>
      </c>
      <c r="O214" s="38">
        <f t="shared" si="45"/>
        <v>16.923060000000003</v>
      </c>
      <c r="Q214" s="38">
        <f t="shared" si="46"/>
        <v>36.828000000000003</v>
      </c>
      <c r="S214" s="38">
        <v>12.75</v>
      </c>
      <c r="T214" s="38">
        <v>11.44</v>
      </c>
      <c r="U214" s="38">
        <v>15.930000000000001</v>
      </c>
      <c r="V214" s="38">
        <v>15.384600000000001</v>
      </c>
      <c r="W214" s="38">
        <v>33.479999999999997</v>
      </c>
    </row>
    <row r="215" spans="1:23" ht="15.6" outlineLevel="2">
      <c r="A215" s="52" t="s">
        <v>1986</v>
      </c>
      <c r="B215" s="70" t="s">
        <v>1987</v>
      </c>
      <c r="C215" s="52" t="s">
        <v>242</v>
      </c>
      <c r="E215" s="37">
        <f t="shared" si="50"/>
        <v>23.683000000000003</v>
      </c>
      <c r="F215" s="37">
        <f t="shared" si="51"/>
        <v>37.257418000000008</v>
      </c>
      <c r="G215" s="37">
        <f t="shared" si="52"/>
        <v>75.416000000000011</v>
      </c>
      <c r="I215" s="38">
        <f t="shared" si="42"/>
        <v>23.683000000000003</v>
      </c>
      <c r="K215" s="38">
        <f t="shared" si="43"/>
        <v>23.914000000000001</v>
      </c>
      <c r="M215" s="38">
        <f t="shared" si="44"/>
        <v>33.731500000000004</v>
      </c>
      <c r="O215" s="38">
        <f t="shared" si="45"/>
        <v>29.542590000000001</v>
      </c>
      <c r="Q215" s="38">
        <f t="shared" si="46"/>
        <v>75.416000000000011</v>
      </c>
      <c r="S215" s="38">
        <v>21.53</v>
      </c>
      <c r="T215" s="38">
        <v>21.74</v>
      </c>
      <c r="U215" s="38">
        <v>30.664999999999999</v>
      </c>
      <c r="V215" s="38">
        <v>26.8569</v>
      </c>
      <c r="W215" s="38">
        <v>68.56</v>
      </c>
    </row>
    <row r="216" spans="1:23" ht="15.6" outlineLevel="2">
      <c r="A216" s="52" t="s">
        <v>1988</v>
      </c>
      <c r="B216" s="70" t="s">
        <v>1989</v>
      </c>
      <c r="C216" s="52" t="s">
        <v>242</v>
      </c>
      <c r="E216" s="37">
        <f t="shared" si="50"/>
        <v>0.88000000000000012</v>
      </c>
      <c r="F216" s="37">
        <f t="shared" si="51"/>
        <v>54.987790000000004</v>
      </c>
      <c r="G216" s="37">
        <f t="shared" si="52"/>
        <v>120.78</v>
      </c>
      <c r="I216" s="38">
        <f t="shared" si="42"/>
        <v>47.861000000000004</v>
      </c>
      <c r="K216" s="38">
        <f t="shared" si="43"/>
        <v>120.78</v>
      </c>
      <c r="M216" s="38">
        <f t="shared" si="44"/>
        <v>34.731950000000005</v>
      </c>
      <c r="O216" s="38">
        <f t="shared" si="45"/>
        <v>70.685999999999993</v>
      </c>
      <c r="Q216" s="38">
        <f t="shared" si="46"/>
        <v>0.88000000000000012</v>
      </c>
      <c r="S216" s="38">
        <v>43.51</v>
      </c>
      <c r="T216" s="38">
        <v>109.8</v>
      </c>
      <c r="U216" s="38">
        <v>31.5745</v>
      </c>
      <c r="V216" s="38">
        <v>64.259999999999991</v>
      </c>
      <c r="W216" s="38">
        <v>0.8</v>
      </c>
    </row>
    <row r="217" spans="1:23" ht="15.6" outlineLevel="2">
      <c r="A217" s="52" t="s">
        <v>1990</v>
      </c>
      <c r="B217" s="70" t="s">
        <v>1991</v>
      </c>
      <c r="C217" s="52" t="s">
        <v>242</v>
      </c>
      <c r="E217" s="37">
        <f t="shared" si="50"/>
        <v>1.54</v>
      </c>
      <c r="F217" s="37">
        <f t="shared" si="51"/>
        <v>94.827480000000008</v>
      </c>
      <c r="G217" s="37">
        <f t="shared" si="52"/>
        <v>231.72600000000003</v>
      </c>
      <c r="I217" s="38">
        <f t="shared" si="42"/>
        <v>79.76100000000001</v>
      </c>
      <c r="K217" s="38">
        <f t="shared" si="43"/>
        <v>231.72600000000003</v>
      </c>
      <c r="M217" s="38">
        <f t="shared" si="44"/>
        <v>80.029399999999995</v>
      </c>
      <c r="O217" s="38">
        <f t="shared" si="45"/>
        <v>81.081000000000003</v>
      </c>
      <c r="Q217" s="38">
        <f t="shared" si="46"/>
        <v>1.54</v>
      </c>
      <c r="S217" s="38">
        <v>72.510000000000005</v>
      </c>
      <c r="T217" s="38">
        <v>210.66</v>
      </c>
      <c r="U217" s="38">
        <v>72.753999999999991</v>
      </c>
      <c r="V217" s="38">
        <v>73.709999999999994</v>
      </c>
      <c r="W217" s="38">
        <v>1.4</v>
      </c>
    </row>
    <row r="218" spans="1:23" ht="30.95" outlineLevel="2">
      <c r="A218" s="52" t="s">
        <v>1992</v>
      </c>
      <c r="B218" s="70" t="s">
        <v>1993</v>
      </c>
      <c r="C218" s="52" t="s">
        <v>242</v>
      </c>
      <c r="E218" s="37">
        <f t="shared" si="50"/>
        <v>2.2000000000000002</v>
      </c>
      <c r="F218" s="37">
        <f t="shared" si="51"/>
        <v>119.54668000000001</v>
      </c>
      <c r="G218" s="37">
        <f t="shared" si="52"/>
        <v>279.774</v>
      </c>
      <c r="I218" s="38">
        <f t="shared" si="42"/>
        <v>127.62200000000003</v>
      </c>
      <c r="K218" s="38">
        <f t="shared" si="43"/>
        <v>279.774</v>
      </c>
      <c r="M218" s="38">
        <f t="shared" si="44"/>
        <v>80.029399999999995</v>
      </c>
      <c r="O218" s="38">
        <f t="shared" si="45"/>
        <v>108.108</v>
      </c>
      <c r="Q218" s="38">
        <f t="shared" si="46"/>
        <v>2.2000000000000002</v>
      </c>
      <c r="S218" s="38">
        <v>116.02000000000001</v>
      </c>
      <c r="T218" s="38">
        <v>254.34</v>
      </c>
      <c r="U218" s="38">
        <v>72.753999999999991</v>
      </c>
      <c r="V218" s="38">
        <v>98.28</v>
      </c>
      <c r="W218" s="38">
        <v>2</v>
      </c>
    </row>
    <row r="219" spans="1:23" ht="15.6" outlineLevel="2">
      <c r="A219" s="52" t="s">
        <v>1994</v>
      </c>
      <c r="B219" s="70" t="s">
        <v>1995</v>
      </c>
      <c r="C219" s="52" t="s">
        <v>242</v>
      </c>
      <c r="E219" s="37">
        <f t="shared" si="50"/>
        <v>1.1000000000000001</v>
      </c>
      <c r="F219" s="37">
        <f t="shared" si="51"/>
        <v>43.191500000000005</v>
      </c>
      <c r="G219" s="37">
        <f t="shared" si="52"/>
        <v>72.765000000000001</v>
      </c>
      <c r="I219" s="38">
        <f t="shared" si="42"/>
        <v>35.101000000000006</v>
      </c>
      <c r="K219" s="38">
        <f t="shared" si="43"/>
        <v>70.268000000000015</v>
      </c>
      <c r="M219" s="38">
        <f t="shared" si="44"/>
        <v>36.723500000000008</v>
      </c>
      <c r="O219" s="38">
        <f t="shared" si="45"/>
        <v>72.765000000000001</v>
      </c>
      <c r="Q219" s="38">
        <f t="shared" si="46"/>
        <v>1.1000000000000001</v>
      </c>
      <c r="S219" s="38">
        <v>31.91</v>
      </c>
      <c r="T219" s="38">
        <v>63.88</v>
      </c>
      <c r="U219" s="38">
        <v>33.385000000000005</v>
      </c>
      <c r="V219" s="38">
        <v>66.149999999999991</v>
      </c>
      <c r="W219" s="38">
        <v>1</v>
      </c>
    </row>
    <row r="220" spans="1:23" ht="15.6" outlineLevel="2">
      <c r="A220" s="52" t="s">
        <v>1996</v>
      </c>
      <c r="B220" s="70" t="s">
        <v>1997</v>
      </c>
      <c r="C220" s="52" t="s">
        <v>242</v>
      </c>
      <c r="E220" s="37">
        <f t="shared" si="50"/>
        <v>0.70136000000000021</v>
      </c>
      <c r="F220" s="37">
        <f t="shared" si="51"/>
        <v>3.3875819999999996</v>
      </c>
      <c r="G220" s="37">
        <f t="shared" si="52"/>
        <v>7.9860000000000007</v>
      </c>
      <c r="I220" s="38">
        <f t="shared" si="42"/>
        <v>1.6060000000000001</v>
      </c>
      <c r="K220" s="38">
        <f t="shared" si="43"/>
        <v>7.9860000000000007</v>
      </c>
      <c r="M220" s="38">
        <f t="shared" si="44"/>
        <v>0.70136000000000021</v>
      </c>
      <c r="O220" s="38">
        <f t="shared" si="45"/>
        <v>3.0145500000000003</v>
      </c>
      <c r="Q220" s="38">
        <f t="shared" si="46"/>
        <v>3.63</v>
      </c>
      <c r="S220" s="38">
        <v>1.46</v>
      </c>
      <c r="T220" s="38">
        <v>7.26</v>
      </c>
      <c r="U220" s="38">
        <v>0.63760000000000017</v>
      </c>
      <c r="V220" s="38">
        <v>2.7404999999999999</v>
      </c>
      <c r="W220" s="38">
        <v>3.3</v>
      </c>
    </row>
    <row r="221" spans="1:23" ht="15" outlineLevel="1">
      <c r="A221" s="31" t="s">
        <v>1998</v>
      </c>
      <c r="B221" s="71" t="s">
        <v>1999</v>
      </c>
      <c r="C221" s="31"/>
      <c r="I221" t="str">
        <f t="shared" si="42"/>
        <v/>
      </c>
      <c r="K221" t="str">
        <f t="shared" si="43"/>
        <v/>
      </c>
      <c r="M221" t="str">
        <f t="shared" si="44"/>
        <v/>
      </c>
      <c r="O221" t="str">
        <f t="shared" si="45"/>
        <v/>
      </c>
      <c r="Q221" t="str">
        <f t="shared" si="46"/>
        <v/>
      </c>
      <c r="T221"/>
      <c r="U221"/>
      <c r="V221"/>
      <c r="W221"/>
    </row>
    <row r="222" spans="1:23" ht="15.6" outlineLevel="2">
      <c r="A222" s="52" t="s">
        <v>2000</v>
      </c>
      <c r="B222" s="70" t="s">
        <v>2001</v>
      </c>
      <c r="C222" s="52" t="s">
        <v>242</v>
      </c>
      <c r="E222" s="37">
        <f>MIN(I222,K222,M222,O222,Q222)</f>
        <v>85.800000000000011</v>
      </c>
      <c r="F222" s="37">
        <f>AVERAGE(I222,K222,M222,O222,Q222)</f>
        <v>102.21420000000002</v>
      </c>
      <c r="G222" s="37">
        <f>MAX(I222,K222,M222,O222,Q222)</f>
        <v>112.2</v>
      </c>
      <c r="I222" s="38">
        <f t="shared" si="42"/>
        <v>103.68600000000001</v>
      </c>
      <c r="K222" s="38">
        <f t="shared" si="43"/>
        <v>85.800000000000011</v>
      </c>
      <c r="M222" s="38">
        <f t="shared" si="44"/>
        <v>98.670000000000016</v>
      </c>
      <c r="O222" s="38">
        <f t="shared" si="45"/>
        <v>110.715</v>
      </c>
      <c r="Q222" s="38">
        <f t="shared" si="46"/>
        <v>112.2</v>
      </c>
      <c r="S222" s="38">
        <v>94.26</v>
      </c>
      <c r="T222" s="38">
        <v>78</v>
      </c>
      <c r="U222" s="38">
        <v>89.7</v>
      </c>
      <c r="V222" s="38">
        <v>100.64999999999999</v>
      </c>
      <c r="W222" s="38">
        <v>102</v>
      </c>
    </row>
    <row r="223" spans="1:23" ht="15.6" outlineLevel="2">
      <c r="A223" s="52" t="s">
        <v>2002</v>
      </c>
      <c r="B223" s="70" t="s">
        <v>2003</v>
      </c>
      <c r="C223" s="52" t="s">
        <v>242</v>
      </c>
      <c r="E223" s="37">
        <f>MIN(I223,K223,M223,O223,Q223)</f>
        <v>103.68600000000001</v>
      </c>
      <c r="F223" s="37">
        <f>AVERAGE(I223,K223,M223,O223,Q223)</f>
        <v>188.748186</v>
      </c>
      <c r="G223" s="37">
        <f>MAX(I223,K223,M223,O223,Q223)</f>
        <v>246.71492999999998</v>
      </c>
      <c r="I223" s="38">
        <f t="shared" si="42"/>
        <v>103.68600000000001</v>
      </c>
      <c r="K223" s="38">
        <f t="shared" si="43"/>
        <v>171.60000000000002</v>
      </c>
      <c r="M223" s="38">
        <f t="shared" si="44"/>
        <v>197.34000000000003</v>
      </c>
      <c r="O223" s="38">
        <f t="shared" si="45"/>
        <v>246.71492999999998</v>
      </c>
      <c r="Q223" s="38">
        <f t="shared" si="46"/>
        <v>224.4</v>
      </c>
      <c r="S223" s="38">
        <v>94.26</v>
      </c>
      <c r="T223" s="38">
        <v>156</v>
      </c>
      <c r="U223" s="38">
        <v>179.4</v>
      </c>
      <c r="V223" s="38">
        <v>224.28629999999995</v>
      </c>
      <c r="W223" s="38">
        <v>204</v>
      </c>
    </row>
    <row r="224" spans="1:23" ht="15.6" outlineLevel="2">
      <c r="A224" s="52" t="s">
        <v>2004</v>
      </c>
      <c r="B224" s="70" t="s">
        <v>2005</v>
      </c>
      <c r="C224" s="52" t="s">
        <v>242</v>
      </c>
      <c r="E224" s="37">
        <f>MIN(I224,K224,M224,O224,Q224)</f>
        <v>110.07700000000001</v>
      </c>
      <c r="F224" s="37">
        <f>AVERAGE(I224,K224,M224,O224,Q224)</f>
        <v>207.43520600000002</v>
      </c>
      <c r="G224" s="37">
        <f>MAX(I224,K224,M224,O224,Q224)</f>
        <v>313.03503000000001</v>
      </c>
      <c r="I224" s="38">
        <f t="shared" si="42"/>
        <v>110.07700000000001</v>
      </c>
      <c r="K224" s="38">
        <f t="shared" si="43"/>
        <v>166.98000000000002</v>
      </c>
      <c r="M224" s="38">
        <f t="shared" si="44"/>
        <v>209.48400000000001</v>
      </c>
      <c r="O224" s="38">
        <f t="shared" si="45"/>
        <v>313.03503000000001</v>
      </c>
      <c r="Q224" s="38">
        <f t="shared" si="46"/>
        <v>237.60000000000002</v>
      </c>
      <c r="S224" s="38">
        <v>100.07000000000001</v>
      </c>
      <c r="T224" s="38">
        <v>151.80000000000001</v>
      </c>
      <c r="U224" s="38">
        <v>190.44</v>
      </c>
      <c r="V224" s="38">
        <v>284.57729999999998</v>
      </c>
      <c r="W224" s="38">
        <v>216</v>
      </c>
    </row>
    <row r="225" spans="1:23" ht="15.6" outlineLevel="2">
      <c r="A225" s="52" t="s">
        <v>2006</v>
      </c>
      <c r="B225" s="70" t="s">
        <v>2007</v>
      </c>
      <c r="C225" s="52" t="s">
        <v>242</v>
      </c>
      <c r="E225" s="37">
        <f>MIN(I225,K225,M225,O225,Q225)</f>
        <v>95.590000000000018</v>
      </c>
      <c r="F225" s="37">
        <f>AVERAGE(I225,K225,M225,O225,Q225)</f>
        <v>145.53220000000002</v>
      </c>
      <c r="G225" s="37">
        <f>MAX(I225,K225,M225,O225,Q225)</f>
        <v>249.72200000000004</v>
      </c>
      <c r="I225" s="38">
        <f t="shared" si="42"/>
        <v>126.02700000000002</v>
      </c>
      <c r="K225" s="38">
        <f t="shared" si="43"/>
        <v>95.590000000000018</v>
      </c>
      <c r="M225" s="38">
        <f t="shared" si="44"/>
        <v>119.92200000000001</v>
      </c>
      <c r="O225" s="38">
        <f t="shared" si="45"/>
        <v>249.72200000000004</v>
      </c>
      <c r="Q225" s="38">
        <f t="shared" si="46"/>
        <v>136.4</v>
      </c>
      <c r="S225" s="38">
        <v>114.57000000000001</v>
      </c>
      <c r="T225" s="38">
        <v>86.9</v>
      </c>
      <c r="U225" s="38">
        <v>109.02</v>
      </c>
      <c r="V225" s="38">
        <v>227.02</v>
      </c>
      <c r="W225" s="38">
        <v>124</v>
      </c>
    </row>
    <row r="226" spans="1:23" ht="15" outlineLevel="1">
      <c r="A226" s="31" t="s">
        <v>2008</v>
      </c>
      <c r="B226" s="71" t="s">
        <v>2009</v>
      </c>
      <c r="C226" s="31"/>
      <c r="I226" t="str">
        <f t="shared" si="42"/>
        <v/>
      </c>
      <c r="K226" t="str">
        <f t="shared" si="43"/>
        <v/>
      </c>
      <c r="M226" t="str">
        <f t="shared" si="44"/>
        <v/>
      </c>
      <c r="O226" t="str">
        <f t="shared" si="45"/>
        <v/>
      </c>
      <c r="Q226" t="str">
        <f t="shared" si="46"/>
        <v/>
      </c>
      <c r="T226"/>
      <c r="U226"/>
      <c r="V226"/>
      <c r="W226"/>
    </row>
    <row r="227" spans="1:23" ht="15.6" outlineLevel="2">
      <c r="A227" s="52" t="s">
        <v>2010</v>
      </c>
      <c r="B227" s="70" t="s">
        <v>2011</v>
      </c>
      <c r="C227" s="52" t="s">
        <v>242</v>
      </c>
      <c r="E227" s="37">
        <f t="shared" ref="E227:E233" si="53">MIN(I227,K227,M227,O227,Q227)</f>
        <v>26.400000000000002</v>
      </c>
      <c r="F227" s="37">
        <f t="shared" ref="F227:F233" si="54">AVERAGE(I227,K227,M227,O227,Q227)</f>
        <v>31.937400000000004</v>
      </c>
      <c r="G227" s="37">
        <f t="shared" ref="G227:G233" si="55">MAX(I227,K227,M227,O227,Q227)</f>
        <v>36.916000000000004</v>
      </c>
      <c r="I227" s="38">
        <f t="shared" si="42"/>
        <v>31.911000000000005</v>
      </c>
      <c r="K227" s="38">
        <f t="shared" si="43"/>
        <v>26.400000000000002</v>
      </c>
      <c r="M227" s="38">
        <f t="shared" si="44"/>
        <v>30.360000000000003</v>
      </c>
      <c r="O227" s="38">
        <f t="shared" si="45"/>
        <v>36.916000000000004</v>
      </c>
      <c r="Q227" s="38">
        <f t="shared" si="46"/>
        <v>34.1</v>
      </c>
      <c r="S227" s="38">
        <v>29.01</v>
      </c>
      <c r="T227" s="38">
        <v>24</v>
      </c>
      <c r="U227" s="38">
        <v>27.6</v>
      </c>
      <c r="V227" s="38">
        <v>33.56</v>
      </c>
      <c r="W227" s="38">
        <v>31</v>
      </c>
    </row>
    <row r="228" spans="1:23" ht="15.6" outlineLevel="2">
      <c r="A228" s="52" t="s">
        <v>2012</v>
      </c>
      <c r="B228" s="70" t="s">
        <v>2013</v>
      </c>
      <c r="C228" s="52" t="s">
        <v>242</v>
      </c>
      <c r="E228" s="37">
        <f t="shared" si="53"/>
        <v>33.506</v>
      </c>
      <c r="F228" s="37">
        <f t="shared" si="54"/>
        <v>59.521923999999999</v>
      </c>
      <c r="G228" s="37">
        <f t="shared" si="55"/>
        <v>72.600000000000009</v>
      </c>
      <c r="I228" s="38">
        <f t="shared" si="42"/>
        <v>33.506</v>
      </c>
      <c r="K228" s="38">
        <f t="shared" si="43"/>
        <v>55.440000000000005</v>
      </c>
      <c r="M228" s="38">
        <f t="shared" si="44"/>
        <v>63.756000000000007</v>
      </c>
      <c r="O228" s="38">
        <f t="shared" si="45"/>
        <v>72.307620000000014</v>
      </c>
      <c r="Q228" s="38">
        <f t="shared" si="46"/>
        <v>72.600000000000009</v>
      </c>
      <c r="S228" s="38">
        <v>30.46</v>
      </c>
      <c r="T228" s="38">
        <v>50.4</v>
      </c>
      <c r="U228" s="38">
        <v>57.96</v>
      </c>
      <c r="V228" s="38">
        <v>65.734200000000001</v>
      </c>
      <c r="W228" s="38">
        <v>66</v>
      </c>
    </row>
    <row r="229" spans="1:23" ht="15.6" outlineLevel="2">
      <c r="A229" s="52" t="s">
        <v>2014</v>
      </c>
      <c r="B229" s="70" t="s">
        <v>2015</v>
      </c>
      <c r="C229" s="52" t="s">
        <v>242</v>
      </c>
      <c r="E229" s="37">
        <f t="shared" si="53"/>
        <v>37.334000000000003</v>
      </c>
      <c r="F229" s="37">
        <f t="shared" si="54"/>
        <v>67.857240000000004</v>
      </c>
      <c r="G229" s="37">
        <f t="shared" si="55"/>
        <v>87.733799999999988</v>
      </c>
      <c r="I229" s="38">
        <f t="shared" si="42"/>
        <v>37.334000000000003</v>
      </c>
      <c r="K229" s="38">
        <f t="shared" si="43"/>
        <v>61.776000000000003</v>
      </c>
      <c r="M229" s="38">
        <f t="shared" si="44"/>
        <v>71.042400000000015</v>
      </c>
      <c r="O229" s="38">
        <f t="shared" si="45"/>
        <v>87.733799999999988</v>
      </c>
      <c r="Q229" s="38">
        <f t="shared" si="46"/>
        <v>81.400000000000006</v>
      </c>
      <c r="S229" s="38">
        <v>33.94</v>
      </c>
      <c r="T229" s="38">
        <v>56.16</v>
      </c>
      <c r="U229" s="38">
        <v>64.584000000000003</v>
      </c>
      <c r="V229" s="38">
        <v>79.757999999999981</v>
      </c>
      <c r="W229" s="38">
        <v>74</v>
      </c>
    </row>
    <row r="230" spans="1:23" ht="15.6" outlineLevel="2">
      <c r="A230" s="52" t="s">
        <v>2016</v>
      </c>
      <c r="B230" s="70" t="s">
        <v>2017</v>
      </c>
      <c r="C230" s="52" t="s">
        <v>242</v>
      </c>
      <c r="E230" s="37">
        <f t="shared" si="53"/>
        <v>43.867999999999995</v>
      </c>
      <c r="F230" s="37">
        <f t="shared" si="54"/>
        <v>80.204718</v>
      </c>
      <c r="G230" s="37">
        <f t="shared" si="55"/>
        <v>106.46558999999999</v>
      </c>
      <c r="I230" s="38">
        <f t="shared" si="42"/>
        <v>43.867999999999995</v>
      </c>
      <c r="K230" s="38">
        <f t="shared" si="43"/>
        <v>72.600000000000009</v>
      </c>
      <c r="M230" s="38">
        <f t="shared" si="44"/>
        <v>83.490000000000009</v>
      </c>
      <c r="O230" s="38">
        <f t="shared" si="45"/>
        <v>106.46558999999999</v>
      </c>
      <c r="Q230" s="38">
        <f t="shared" si="46"/>
        <v>94.600000000000009</v>
      </c>
      <c r="S230" s="38">
        <v>39.879999999999995</v>
      </c>
      <c r="T230" s="38">
        <v>66</v>
      </c>
      <c r="U230" s="38">
        <v>75.900000000000006</v>
      </c>
      <c r="V230" s="38">
        <v>96.786899999999989</v>
      </c>
      <c r="W230" s="38">
        <v>86</v>
      </c>
    </row>
    <row r="231" spans="1:23" ht="15.6" outlineLevel="2">
      <c r="A231" s="52" t="s">
        <v>2018</v>
      </c>
      <c r="B231" s="70" t="s">
        <v>2019</v>
      </c>
      <c r="C231" s="52" t="s">
        <v>242</v>
      </c>
      <c r="E231" s="37">
        <f t="shared" si="53"/>
        <v>49.456000000000003</v>
      </c>
      <c r="F231" s="37">
        <f t="shared" si="54"/>
        <v>93.989477999999991</v>
      </c>
      <c r="G231" s="37">
        <f t="shared" si="55"/>
        <v>140.14538999999999</v>
      </c>
      <c r="I231" s="38">
        <f t="shared" si="42"/>
        <v>49.456000000000003</v>
      </c>
      <c r="K231" s="38">
        <f t="shared" si="43"/>
        <v>78.430000000000007</v>
      </c>
      <c r="M231" s="38">
        <f t="shared" si="44"/>
        <v>94.116000000000014</v>
      </c>
      <c r="O231" s="38">
        <f t="shared" si="45"/>
        <v>140.14538999999999</v>
      </c>
      <c r="Q231" s="38">
        <f t="shared" si="46"/>
        <v>107.80000000000001</v>
      </c>
      <c r="S231" s="38">
        <v>44.96</v>
      </c>
      <c r="T231" s="38">
        <v>71.3</v>
      </c>
      <c r="U231" s="38">
        <v>85.56</v>
      </c>
      <c r="V231" s="38">
        <v>127.40489999999998</v>
      </c>
      <c r="W231" s="38">
        <v>98</v>
      </c>
    </row>
    <row r="232" spans="1:23" ht="15.6" outlineLevel="2">
      <c r="A232" s="52" t="s">
        <v>2020</v>
      </c>
      <c r="B232" s="70" t="s">
        <v>2021</v>
      </c>
      <c r="C232" s="52" t="s">
        <v>242</v>
      </c>
      <c r="E232" s="37">
        <f t="shared" si="53"/>
        <v>58.475999999999999</v>
      </c>
      <c r="F232" s="37">
        <f t="shared" si="54"/>
        <v>74.517080000000007</v>
      </c>
      <c r="G232" s="37">
        <f t="shared" si="55"/>
        <v>99.187000000000012</v>
      </c>
      <c r="I232" s="38">
        <f t="shared" si="42"/>
        <v>70.675000000000011</v>
      </c>
      <c r="K232" s="38">
        <f t="shared" si="43"/>
        <v>58.475999999999999</v>
      </c>
      <c r="M232" s="38">
        <f t="shared" si="44"/>
        <v>67.247399999999999</v>
      </c>
      <c r="O232" s="38">
        <f t="shared" si="45"/>
        <v>99.187000000000012</v>
      </c>
      <c r="Q232" s="38">
        <f t="shared" si="46"/>
        <v>77</v>
      </c>
      <c r="S232" s="38">
        <v>64.25</v>
      </c>
      <c r="T232" s="38">
        <v>53.16</v>
      </c>
      <c r="U232" s="38">
        <v>61.133999999999993</v>
      </c>
      <c r="V232" s="38">
        <v>90.17</v>
      </c>
      <c r="W232" s="38">
        <v>70</v>
      </c>
    </row>
    <row r="233" spans="1:23" ht="15.6" outlineLevel="2">
      <c r="A233" s="52" t="s">
        <v>2022</v>
      </c>
      <c r="B233" s="70" t="s">
        <v>2023</v>
      </c>
      <c r="C233" s="52" t="s">
        <v>242</v>
      </c>
      <c r="E233" s="37">
        <f t="shared" si="53"/>
        <v>117.018</v>
      </c>
      <c r="F233" s="37">
        <f t="shared" si="54"/>
        <v>152.58099999999999</v>
      </c>
      <c r="G233" s="37">
        <f t="shared" si="55"/>
        <v>198.41800000000001</v>
      </c>
      <c r="I233" s="38">
        <f t="shared" si="42"/>
        <v>147.554</v>
      </c>
      <c r="K233" s="38">
        <f t="shared" si="43"/>
        <v>117.018</v>
      </c>
      <c r="M233" s="38">
        <f t="shared" si="44"/>
        <v>140.41500000000002</v>
      </c>
      <c r="O233" s="38">
        <f t="shared" si="45"/>
        <v>198.41800000000001</v>
      </c>
      <c r="Q233" s="38">
        <f t="shared" si="46"/>
        <v>159.5</v>
      </c>
      <c r="S233" s="38">
        <v>134.13999999999999</v>
      </c>
      <c r="T233" s="38">
        <v>106.38</v>
      </c>
      <c r="U233" s="38">
        <v>127.65</v>
      </c>
      <c r="V233" s="38">
        <v>180.38</v>
      </c>
      <c r="W233" s="38">
        <v>145</v>
      </c>
    </row>
    <row r="234" spans="1:23" ht="15" outlineLevel="1">
      <c r="A234" s="31" t="s">
        <v>2024</v>
      </c>
      <c r="B234" s="71" t="s">
        <v>2025</v>
      </c>
      <c r="C234" s="31"/>
      <c r="I234" t="str">
        <f t="shared" si="42"/>
        <v/>
      </c>
      <c r="K234" t="str">
        <f t="shared" si="43"/>
        <v/>
      </c>
      <c r="M234" t="str">
        <f t="shared" si="44"/>
        <v/>
      </c>
      <c r="O234" t="str">
        <f t="shared" si="45"/>
        <v/>
      </c>
      <c r="Q234" t="str">
        <f t="shared" si="46"/>
        <v/>
      </c>
      <c r="T234"/>
      <c r="U234"/>
      <c r="V234"/>
      <c r="W234"/>
    </row>
    <row r="235" spans="1:23" ht="15.6" outlineLevel="2">
      <c r="A235" s="52" t="s">
        <v>2026</v>
      </c>
      <c r="B235" s="70" t="s">
        <v>2027</v>
      </c>
      <c r="C235" s="52" t="s">
        <v>242</v>
      </c>
      <c r="E235" s="37">
        <f t="shared" ref="E235:E241" si="56">MIN(I235,K235,M235,O235,Q235)</f>
        <v>26.400000000000002</v>
      </c>
      <c r="F235" s="37">
        <f t="shared" ref="F235:F241" si="57">AVERAGE(I235,K235,M235,O235,Q235)</f>
        <v>31.937400000000004</v>
      </c>
      <c r="G235" s="37">
        <f t="shared" ref="G235:G241" si="58">MAX(I235,K235,M235,O235,Q235)</f>
        <v>36.916000000000004</v>
      </c>
      <c r="I235" s="38">
        <f t="shared" si="42"/>
        <v>31.911000000000005</v>
      </c>
      <c r="K235" s="38">
        <f t="shared" si="43"/>
        <v>26.400000000000002</v>
      </c>
      <c r="M235" s="38">
        <f t="shared" si="44"/>
        <v>30.360000000000003</v>
      </c>
      <c r="O235" s="38">
        <f t="shared" si="45"/>
        <v>36.916000000000004</v>
      </c>
      <c r="Q235" s="38">
        <f t="shared" si="46"/>
        <v>34.1</v>
      </c>
      <c r="S235" s="38">
        <v>29.01</v>
      </c>
      <c r="T235" s="38">
        <v>24</v>
      </c>
      <c r="U235" s="38">
        <v>27.6</v>
      </c>
      <c r="V235" s="38">
        <v>33.56</v>
      </c>
      <c r="W235" s="38">
        <v>31</v>
      </c>
    </row>
    <row r="236" spans="1:23" ht="15.6" outlineLevel="2">
      <c r="A236" s="52" t="s">
        <v>2028</v>
      </c>
      <c r="B236" s="70" t="s">
        <v>2029</v>
      </c>
      <c r="C236" s="52" t="s">
        <v>242</v>
      </c>
      <c r="E236" s="37">
        <f t="shared" si="56"/>
        <v>33</v>
      </c>
      <c r="F236" s="37">
        <f t="shared" si="57"/>
        <v>39.030200000000001</v>
      </c>
      <c r="G236" s="37">
        <f t="shared" si="58"/>
        <v>43.615000000000002</v>
      </c>
      <c r="I236" s="38">
        <f t="shared" si="42"/>
        <v>39.886000000000003</v>
      </c>
      <c r="K236" s="38">
        <f t="shared" si="43"/>
        <v>33</v>
      </c>
      <c r="M236" s="38">
        <f t="shared" si="44"/>
        <v>37.950000000000003</v>
      </c>
      <c r="O236" s="38">
        <f t="shared" si="45"/>
        <v>43.615000000000002</v>
      </c>
      <c r="Q236" s="38">
        <f t="shared" si="46"/>
        <v>40.700000000000003</v>
      </c>
      <c r="S236" s="38">
        <v>36.26</v>
      </c>
      <c r="T236" s="38">
        <v>30</v>
      </c>
      <c r="U236" s="38">
        <v>34.5</v>
      </c>
      <c r="V236" s="38">
        <v>39.65</v>
      </c>
      <c r="W236" s="38">
        <v>37</v>
      </c>
    </row>
    <row r="237" spans="1:23" ht="15.6" outlineLevel="2">
      <c r="A237" s="52" t="s">
        <v>2030</v>
      </c>
      <c r="B237" s="70" t="s">
        <v>2031</v>
      </c>
      <c r="C237" s="52" t="s">
        <v>242</v>
      </c>
      <c r="E237" s="37">
        <f t="shared" si="56"/>
        <v>37.334000000000003</v>
      </c>
      <c r="F237" s="37">
        <f t="shared" si="57"/>
        <v>68.737240000000014</v>
      </c>
      <c r="G237" s="37">
        <f t="shared" si="58"/>
        <v>87.733799999999988</v>
      </c>
      <c r="I237" s="38">
        <f t="shared" si="42"/>
        <v>37.334000000000003</v>
      </c>
      <c r="K237" s="38">
        <f t="shared" si="43"/>
        <v>61.776000000000003</v>
      </c>
      <c r="M237" s="38">
        <f t="shared" si="44"/>
        <v>71.042400000000015</v>
      </c>
      <c r="O237" s="38">
        <f t="shared" si="45"/>
        <v>87.733799999999988</v>
      </c>
      <c r="Q237" s="38">
        <f t="shared" si="46"/>
        <v>85.800000000000011</v>
      </c>
      <c r="S237" s="38">
        <v>33.94</v>
      </c>
      <c r="T237" s="38">
        <v>56.16</v>
      </c>
      <c r="U237" s="38">
        <v>64.584000000000003</v>
      </c>
      <c r="V237" s="38">
        <v>79.757999999999981</v>
      </c>
      <c r="W237" s="38">
        <v>78</v>
      </c>
    </row>
    <row r="238" spans="1:23" ht="15.6" outlineLevel="2">
      <c r="A238" s="52" t="s">
        <v>2032</v>
      </c>
      <c r="B238" s="70" t="s">
        <v>2033</v>
      </c>
      <c r="C238" s="52" t="s">
        <v>242</v>
      </c>
      <c r="E238" s="37">
        <f t="shared" si="56"/>
        <v>43.867999999999995</v>
      </c>
      <c r="F238" s="37">
        <f t="shared" si="57"/>
        <v>82.279560000000018</v>
      </c>
      <c r="G238" s="37">
        <f t="shared" si="58"/>
        <v>116.83980000000001</v>
      </c>
      <c r="I238" s="38">
        <f t="shared" si="42"/>
        <v>43.867999999999995</v>
      </c>
      <c r="K238" s="38">
        <f t="shared" si="43"/>
        <v>72.600000000000009</v>
      </c>
      <c r="M238" s="38">
        <f t="shared" si="44"/>
        <v>83.490000000000009</v>
      </c>
      <c r="O238" s="38">
        <f t="shared" si="45"/>
        <v>116.83980000000001</v>
      </c>
      <c r="Q238" s="38">
        <f t="shared" si="46"/>
        <v>94.600000000000009</v>
      </c>
      <c r="S238" s="38">
        <v>39.879999999999995</v>
      </c>
      <c r="T238" s="38">
        <v>66</v>
      </c>
      <c r="U238" s="38">
        <v>75.900000000000006</v>
      </c>
      <c r="V238" s="38">
        <v>106.218</v>
      </c>
      <c r="W238" s="38">
        <v>86</v>
      </c>
    </row>
    <row r="239" spans="1:23" ht="15.6" outlineLevel="2">
      <c r="A239" s="52" t="s">
        <v>2034</v>
      </c>
      <c r="B239" s="70" t="s">
        <v>2035</v>
      </c>
      <c r="C239" s="52" t="s">
        <v>242</v>
      </c>
      <c r="E239" s="37">
        <f t="shared" si="56"/>
        <v>49.335000000000008</v>
      </c>
      <c r="F239" s="37">
        <f t="shared" si="57"/>
        <v>64.006800000000013</v>
      </c>
      <c r="G239" s="37">
        <f t="shared" si="58"/>
        <v>82.181000000000012</v>
      </c>
      <c r="I239" s="38">
        <f t="shared" si="42"/>
        <v>62.216000000000001</v>
      </c>
      <c r="K239" s="38">
        <f t="shared" si="43"/>
        <v>49.335000000000008</v>
      </c>
      <c r="M239" s="38">
        <f t="shared" si="44"/>
        <v>59.202000000000005</v>
      </c>
      <c r="O239" s="38">
        <f t="shared" si="45"/>
        <v>82.181000000000012</v>
      </c>
      <c r="Q239" s="38">
        <f t="shared" si="46"/>
        <v>67.100000000000009</v>
      </c>
      <c r="S239" s="38">
        <v>56.559999999999995</v>
      </c>
      <c r="T239" s="38">
        <v>44.85</v>
      </c>
      <c r="U239" s="38">
        <v>53.82</v>
      </c>
      <c r="V239" s="38">
        <v>74.710000000000008</v>
      </c>
      <c r="W239" s="38">
        <v>61</v>
      </c>
    </row>
    <row r="240" spans="1:23" ht="15.6" outlineLevel="2">
      <c r="A240" s="52" t="s">
        <v>2036</v>
      </c>
      <c r="B240" s="70" t="s">
        <v>2037</v>
      </c>
      <c r="C240" s="52" t="s">
        <v>242</v>
      </c>
      <c r="E240" s="37">
        <f t="shared" si="56"/>
        <v>65.34</v>
      </c>
      <c r="F240" s="37">
        <f t="shared" si="57"/>
        <v>82.28</v>
      </c>
      <c r="G240" s="37">
        <f t="shared" si="58"/>
        <v>106.15</v>
      </c>
      <c r="I240" s="38">
        <f t="shared" si="42"/>
        <v>78.969000000000008</v>
      </c>
      <c r="K240" s="38">
        <f t="shared" si="43"/>
        <v>65.34</v>
      </c>
      <c r="M240" s="38">
        <f t="shared" si="44"/>
        <v>75.141000000000005</v>
      </c>
      <c r="O240" s="38">
        <f t="shared" si="45"/>
        <v>106.15</v>
      </c>
      <c r="Q240" s="38">
        <f t="shared" si="46"/>
        <v>85.800000000000011</v>
      </c>
      <c r="S240" s="38">
        <v>71.790000000000006</v>
      </c>
      <c r="T240" s="38">
        <v>59.4</v>
      </c>
      <c r="U240" s="38">
        <v>68.31</v>
      </c>
      <c r="V240" s="38">
        <v>96.5</v>
      </c>
      <c r="W240" s="38">
        <v>78</v>
      </c>
    </row>
    <row r="241" spans="1:23" ht="15.6" outlineLevel="2">
      <c r="A241" s="52" t="s">
        <v>2038</v>
      </c>
      <c r="B241" s="70" t="s">
        <v>2039</v>
      </c>
      <c r="C241" s="52" t="s">
        <v>242</v>
      </c>
      <c r="E241" s="37">
        <f t="shared" si="56"/>
        <v>123.97000000000001</v>
      </c>
      <c r="F241" s="37">
        <f t="shared" si="57"/>
        <v>160.85079999999999</v>
      </c>
      <c r="G241" s="37">
        <f t="shared" si="58"/>
        <v>205.78800000000004</v>
      </c>
      <c r="I241" s="38">
        <f t="shared" si="42"/>
        <v>156.33200000000002</v>
      </c>
      <c r="K241" s="38">
        <f t="shared" si="43"/>
        <v>123.97000000000001</v>
      </c>
      <c r="M241" s="38">
        <f t="shared" si="44"/>
        <v>148.76400000000001</v>
      </c>
      <c r="O241" s="38">
        <f t="shared" si="45"/>
        <v>205.78800000000004</v>
      </c>
      <c r="Q241" s="38">
        <f t="shared" si="46"/>
        <v>169.4</v>
      </c>
      <c r="S241" s="38">
        <v>142.12</v>
      </c>
      <c r="T241" s="38">
        <v>112.7</v>
      </c>
      <c r="U241" s="38">
        <v>135.24</v>
      </c>
      <c r="V241" s="38">
        <v>187.08</v>
      </c>
      <c r="W241" s="38">
        <v>154</v>
      </c>
    </row>
    <row r="242" spans="1:23" ht="15" outlineLevel="1">
      <c r="A242" s="31" t="s">
        <v>2040</v>
      </c>
      <c r="B242" s="71" t="s">
        <v>2041</v>
      </c>
      <c r="C242" s="31"/>
      <c r="I242" t="str">
        <f t="shared" si="42"/>
        <v/>
      </c>
      <c r="K242" t="str">
        <f t="shared" si="43"/>
        <v/>
      </c>
      <c r="M242" t="str">
        <f t="shared" si="44"/>
        <v/>
      </c>
      <c r="O242" t="str">
        <f t="shared" si="45"/>
        <v/>
      </c>
      <c r="Q242" t="str">
        <f t="shared" si="46"/>
        <v/>
      </c>
      <c r="T242"/>
      <c r="U242"/>
      <c r="V242"/>
      <c r="W242"/>
    </row>
    <row r="243" spans="1:23" ht="15.6" outlineLevel="2">
      <c r="A243" s="72" t="s">
        <v>2042</v>
      </c>
      <c r="B243" s="63" t="s">
        <v>2043</v>
      </c>
      <c r="C243" s="72" t="s">
        <v>242</v>
      </c>
      <c r="E243" s="37">
        <f t="shared" ref="E243:E248" si="59">MIN(I243,K243,M243,O243,Q243)</f>
        <v>70.675000000000011</v>
      </c>
      <c r="F243" s="37">
        <f t="shared" ref="F243:F248" si="60">AVERAGE(I243,K243,M243,O243,Q243)</f>
        <v>144.093906</v>
      </c>
      <c r="G243" s="37">
        <f t="shared" ref="G243:G248" si="61">MAX(I243,K243,M243,O243,Q243)</f>
        <v>249.20973000000001</v>
      </c>
      <c r="I243" s="38">
        <f t="shared" si="42"/>
        <v>70.675000000000011</v>
      </c>
      <c r="K243" s="38">
        <f t="shared" si="43"/>
        <v>112.09000000000002</v>
      </c>
      <c r="M243" s="38">
        <f t="shared" si="44"/>
        <v>134.4948</v>
      </c>
      <c r="O243" s="38">
        <f t="shared" si="45"/>
        <v>249.20973000000001</v>
      </c>
      <c r="Q243" s="38">
        <f t="shared" si="46"/>
        <v>154</v>
      </c>
      <c r="S243" s="38">
        <v>64.25</v>
      </c>
      <c r="T243" s="38">
        <v>101.9</v>
      </c>
      <c r="U243" s="38">
        <v>122.26799999999999</v>
      </c>
      <c r="V243" s="38">
        <v>226.55429999999998</v>
      </c>
      <c r="W243" s="38">
        <v>140</v>
      </c>
    </row>
    <row r="244" spans="1:23" ht="15.6" outlineLevel="2">
      <c r="A244" s="72" t="s">
        <v>2044</v>
      </c>
      <c r="B244" s="63" t="s">
        <v>2045</v>
      </c>
      <c r="C244" s="72" t="s">
        <v>242</v>
      </c>
      <c r="E244" s="37">
        <f t="shared" si="59"/>
        <v>150.90900000000002</v>
      </c>
      <c r="F244" s="37">
        <f t="shared" si="60"/>
        <v>252.53366599999998</v>
      </c>
      <c r="G244" s="37">
        <f t="shared" si="61"/>
        <v>325.60000000000002</v>
      </c>
      <c r="I244" s="38">
        <f t="shared" si="42"/>
        <v>150.90900000000002</v>
      </c>
      <c r="K244" s="38">
        <f t="shared" si="43"/>
        <v>249.744</v>
      </c>
      <c r="M244" s="38">
        <f t="shared" si="44"/>
        <v>287.2056</v>
      </c>
      <c r="O244" s="38">
        <f t="shared" si="45"/>
        <v>249.20973000000001</v>
      </c>
      <c r="Q244" s="38">
        <f t="shared" si="46"/>
        <v>325.60000000000002</v>
      </c>
      <c r="S244" s="38">
        <v>137.19</v>
      </c>
      <c r="T244" s="38">
        <v>227.04</v>
      </c>
      <c r="U244" s="38">
        <v>261.096</v>
      </c>
      <c r="V244" s="38">
        <v>226.55429999999998</v>
      </c>
      <c r="W244" s="38">
        <v>296</v>
      </c>
    </row>
    <row r="245" spans="1:23" ht="15.6" outlineLevel="2">
      <c r="A245" s="72" t="s">
        <v>2046</v>
      </c>
      <c r="B245" s="63" t="s">
        <v>2047</v>
      </c>
      <c r="C245" s="72" t="s">
        <v>242</v>
      </c>
      <c r="E245" s="37">
        <f t="shared" si="59"/>
        <v>212.64100000000002</v>
      </c>
      <c r="F245" s="37">
        <f t="shared" si="60"/>
        <v>352.31024400000001</v>
      </c>
      <c r="G245" s="37">
        <f t="shared" si="61"/>
        <v>459.8</v>
      </c>
      <c r="I245" s="38">
        <f t="shared" si="42"/>
        <v>212.64100000000002</v>
      </c>
      <c r="K245" s="38">
        <f t="shared" si="43"/>
        <v>337.26000000000005</v>
      </c>
      <c r="M245" s="38">
        <f t="shared" si="44"/>
        <v>404.69880000000006</v>
      </c>
      <c r="O245" s="38">
        <f t="shared" si="45"/>
        <v>347.15142000000003</v>
      </c>
      <c r="Q245" s="38">
        <f t="shared" si="46"/>
        <v>459.8</v>
      </c>
      <c r="S245" s="38">
        <v>193.31</v>
      </c>
      <c r="T245" s="38">
        <v>306.60000000000002</v>
      </c>
      <c r="U245" s="38">
        <v>367.90800000000002</v>
      </c>
      <c r="V245" s="38">
        <v>315.59219999999999</v>
      </c>
      <c r="W245" s="38">
        <v>418</v>
      </c>
    </row>
    <row r="246" spans="1:23" ht="15.6" outlineLevel="2">
      <c r="A246" s="72" t="s">
        <v>2048</v>
      </c>
      <c r="B246" s="63" t="s">
        <v>2049</v>
      </c>
      <c r="C246" s="72" t="s">
        <v>242</v>
      </c>
      <c r="E246" s="37">
        <f t="shared" si="59"/>
        <v>268.95000000000005</v>
      </c>
      <c r="F246" s="37">
        <f t="shared" si="60"/>
        <v>445.37688799999995</v>
      </c>
      <c r="G246" s="37">
        <f t="shared" si="61"/>
        <v>583</v>
      </c>
      <c r="I246" s="38">
        <f t="shared" si="42"/>
        <v>268.95000000000005</v>
      </c>
      <c r="K246" s="38">
        <f t="shared" si="43"/>
        <v>426.55799999999999</v>
      </c>
      <c r="M246" s="38">
        <f t="shared" si="44"/>
        <v>511.86960000000005</v>
      </c>
      <c r="O246" s="38">
        <f t="shared" si="45"/>
        <v>436.50684000000001</v>
      </c>
      <c r="Q246" s="38">
        <f t="shared" si="46"/>
        <v>583</v>
      </c>
      <c r="S246" s="38">
        <v>244.5</v>
      </c>
      <c r="T246" s="38">
        <v>387.78</v>
      </c>
      <c r="U246" s="38">
        <v>465.33600000000001</v>
      </c>
      <c r="V246" s="38">
        <v>396.82439999999997</v>
      </c>
      <c r="W246" s="38">
        <v>530</v>
      </c>
    </row>
    <row r="247" spans="1:23" ht="15.6" outlineLevel="2">
      <c r="A247" s="72" t="s">
        <v>2050</v>
      </c>
      <c r="B247" s="63" t="s">
        <v>2051</v>
      </c>
      <c r="C247" s="72" t="s">
        <v>242</v>
      </c>
      <c r="E247" s="37">
        <f t="shared" si="59"/>
        <v>430.06700000000001</v>
      </c>
      <c r="F247" s="37">
        <f t="shared" si="60"/>
        <v>710.68025599999999</v>
      </c>
      <c r="G247" s="37">
        <f t="shared" si="61"/>
        <v>930.6</v>
      </c>
      <c r="I247" s="38">
        <f t="shared" si="42"/>
        <v>430.06700000000001</v>
      </c>
      <c r="K247" s="38">
        <f t="shared" si="43"/>
        <v>682.08800000000008</v>
      </c>
      <c r="M247" s="38">
        <f t="shared" si="44"/>
        <v>818.50560000000007</v>
      </c>
      <c r="O247" s="38">
        <f t="shared" si="45"/>
        <v>692.14067999999986</v>
      </c>
      <c r="Q247" s="38">
        <f t="shared" si="46"/>
        <v>930.6</v>
      </c>
      <c r="S247" s="38">
        <v>390.96999999999997</v>
      </c>
      <c r="T247" s="38">
        <v>620.08000000000004</v>
      </c>
      <c r="U247" s="38">
        <v>744.096</v>
      </c>
      <c r="V247" s="38">
        <v>629.21879999999987</v>
      </c>
      <c r="W247" s="38">
        <v>846</v>
      </c>
    </row>
    <row r="248" spans="1:23" ht="15.6" outlineLevel="2">
      <c r="A248" s="72" t="s">
        <v>2052</v>
      </c>
      <c r="B248" s="61" t="s">
        <v>2053</v>
      </c>
      <c r="C248" s="72" t="s">
        <v>242</v>
      </c>
      <c r="E248" s="37">
        <f t="shared" si="59"/>
        <v>1.6060000000000001</v>
      </c>
      <c r="F248" s="37">
        <f t="shared" si="60"/>
        <v>2.3812360000000004</v>
      </c>
      <c r="G248" s="37">
        <f t="shared" si="61"/>
        <v>3.4540000000000006</v>
      </c>
      <c r="I248" s="38">
        <f t="shared" si="42"/>
        <v>1.6060000000000001</v>
      </c>
      <c r="K248" s="38">
        <f t="shared" si="43"/>
        <v>2.64</v>
      </c>
      <c r="M248" s="38">
        <f t="shared" si="44"/>
        <v>1.6698000000000002</v>
      </c>
      <c r="O248" s="38">
        <f t="shared" si="45"/>
        <v>2.5363799999999999</v>
      </c>
      <c r="Q248" s="38">
        <f t="shared" si="46"/>
        <v>3.4540000000000006</v>
      </c>
      <c r="S248" s="38">
        <v>1.46</v>
      </c>
      <c r="T248" s="38">
        <v>2.4</v>
      </c>
      <c r="U248" s="38">
        <v>1.518</v>
      </c>
      <c r="V248" s="38">
        <v>2.3057999999999996</v>
      </c>
      <c r="W248" s="38">
        <v>3.14</v>
      </c>
    </row>
    <row r="249" spans="1:23" ht="15" outlineLevel="1">
      <c r="A249" s="31" t="s">
        <v>2054</v>
      </c>
      <c r="B249" s="69" t="s">
        <v>2055</v>
      </c>
      <c r="C249" s="31"/>
      <c r="I249" t="str">
        <f t="shared" si="42"/>
        <v/>
      </c>
      <c r="K249" t="str">
        <f t="shared" si="43"/>
        <v/>
      </c>
      <c r="M249" t="str">
        <f t="shared" si="44"/>
        <v/>
      </c>
      <c r="O249" t="str">
        <f t="shared" si="45"/>
        <v/>
      </c>
      <c r="Q249" t="str">
        <f t="shared" si="46"/>
        <v/>
      </c>
      <c r="T249"/>
      <c r="U249"/>
      <c r="V249"/>
      <c r="W249"/>
    </row>
    <row r="250" spans="1:23" ht="15.6" outlineLevel="2">
      <c r="A250" s="72" t="s">
        <v>2056</v>
      </c>
      <c r="B250" s="63" t="s">
        <v>2057</v>
      </c>
      <c r="C250" s="72" t="s">
        <v>242</v>
      </c>
      <c r="E250" s="37">
        <f t="shared" ref="E250:E255" si="62">MIN(I250,K250,M250,O250,Q250)</f>
        <v>23.474</v>
      </c>
      <c r="F250" s="37">
        <f t="shared" ref="F250:F255" si="63">AVERAGE(I250,K250,M250,O250,Q250)</f>
        <v>30.392263000000003</v>
      </c>
      <c r="G250" s="37">
        <f t="shared" ref="G250:G255" si="64">MAX(I250,K250,M250,O250,Q250)</f>
        <v>36.300000000000004</v>
      </c>
      <c r="I250" s="38">
        <f t="shared" si="42"/>
        <v>23.474</v>
      </c>
      <c r="K250" s="38">
        <f t="shared" si="43"/>
        <v>33.704000000000001</v>
      </c>
      <c r="M250" s="38">
        <f t="shared" si="44"/>
        <v>31.331575000000008</v>
      </c>
      <c r="O250" s="38">
        <f t="shared" si="45"/>
        <v>27.15174</v>
      </c>
      <c r="Q250" s="38">
        <f t="shared" si="46"/>
        <v>36.300000000000004</v>
      </c>
      <c r="S250" s="38">
        <v>21.34</v>
      </c>
      <c r="T250" s="38">
        <v>30.64</v>
      </c>
      <c r="U250" s="38">
        <v>28.483250000000005</v>
      </c>
      <c r="V250" s="38">
        <v>24.683399999999999</v>
      </c>
      <c r="W250" s="38">
        <v>33</v>
      </c>
    </row>
    <row r="251" spans="1:23" ht="15.6" outlineLevel="2">
      <c r="A251" s="72" t="s">
        <v>2058</v>
      </c>
      <c r="B251" s="63" t="s">
        <v>2059</v>
      </c>
      <c r="C251" s="72" t="s">
        <v>242</v>
      </c>
      <c r="E251" s="37">
        <f t="shared" si="62"/>
        <v>26.345000000000006</v>
      </c>
      <c r="F251" s="37">
        <f t="shared" si="63"/>
        <v>33.233761000000001</v>
      </c>
      <c r="G251" s="37">
        <f t="shared" si="64"/>
        <v>39.908000000000001</v>
      </c>
      <c r="I251" s="38">
        <f t="shared" si="42"/>
        <v>26.345000000000006</v>
      </c>
      <c r="K251" s="38">
        <f t="shared" si="43"/>
        <v>39.908000000000001</v>
      </c>
      <c r="M251" s="38">
        <f t="shared" si="44"/>
        <v>38.921575000000004</v>
      </c>
      <c r="O251" s="38">
        <f t="shared" si="45"/>
        <v>31.954230000000003</v>
      </c>
      <c r="Q251" s="38">
        <f t="shared" si="46"/>
        <v>29.04</v>
      </c>
      <c r="S251" s="38">
        <v>23.950000000000003</v>
      </c>
      <c r="T251" s="38">
        <v>36.28</v>
      </c>
      <c r="U251" s="38">
        <v>35.383250000000004</v>
      </c>
      <c r="V251" s="38">
        <v>29.049299999999999</v>
      </c>
      <c r="W251" s="38">
        <v>26.4</v>
      </c>
    </row>
    <row r="252" spans="1:23" ht="15.6" outlineLevel="2">
      <c r="A252" s="72" t="s">
        <v>2060</v>
      </c>
      <c r="B252" s="63" t="s">
        <v>2061</v>
      </c>
      <c r="C252" s="72" t="s">
        <v>242</v>
      </c>
      <c r="E252" s="37">
        <f t="shared" si="62"/>
        <v>32.224499999999999</v>
      </c>
      <c r="F252" s="37">
        <f t="shared" si="63"/>
        <v>48.420108000000006</v>
      </c>
      <c r="G252" s="37">
        <f t="shared" si="64"/>
        <v>62.663040000000002</v>
      </c>
      <c r="I252" s="38">
        <f t="shared" si="42"/>
        <v>34.793000000000006</v>
      </c>
      <c r="K252" s="38">
        <f t="shared" si="43"/>
        <v>59.84</v>
      </c>
      <c r="M252" s="38">
        <f t="shared" si="44"/>
        <v>62.663040000000002</v>
      </c>
      <c r="O252" s="38">
        <f t="shared" si="45"/>
        <v>32.224499999999999</v>
      </c>
      <c r="Q252" s="38">
        <f t="shared" si="46"/>
        <v>52.58</v>
      </c>
      <c r="S252" s="38">
        <v>31.630000000000003</v>
      </c>
      <c r="T252" s="38">
        <v>54.4</v>
      </c>
      <c r="U252" s="38">
        <v>56.9664</v>
      </c>
      <c r="V252" s="38">
        <v>29.294999999999998</v>
      </c>
      <c r="W252" s="38">
        <v>47.8</v>
      </c>
    </row>
    <row r="253" spans="1:23" ht="15.6" outlineLevel="2">
      <c r="A253" s="72" t="s">
        <v>2062</v>
      </c>
      <c r="B253" s="63" t="s">
        <v>2063</v>
      </c>
      <c r="C253" s="72" t="s">
        <v>242</v>
      </c>
      <c r="E253" s="37">
        <f t="shared" si="62"/>
        <v>37.663999999999994</v>
      </c>
      <c r="F253" s="37">
        <f t="shared" si="63"/>
        <v>54.037742000000001</v>
      </c>
      <c r="G253" s="37">
        <f t="shared" si="64"/>
        <v>77.843040000000016</v>
      </c>
      <c r="I253" s="38">
        <f t="shared" si="42"/>
        <v>37.663999999999994</v>
      </c>
      <c r="K253" s="38">
        <f t="shared" si="43"/>
        <v>62.722000000000008</v>
      </c>
      <c r="M253" s="38">
        <f t="shared" si="44"/>
        <v>77.843040000000016</v>
      </c>
      <c r="O253" s="38">
        <f t="shared" si="45"/>
        <v>38.93967</v>
      </c>
      <c r="Q253" s="38">
        <f t="shared" si="46"/>
        <v>53.02000000000001</v>
      </c>
      <c r="S253" s="38">
        <v>34.239999999999995</v>
      </c>
      <c r="T253" s="38">
        <v>57.02</v>
      </c>
      <c r="U253" s="38">
        <v>70.766400000000004</v>
      </c>
      <c r="V253" s="38">
        <v>35.399699999999996</v>
      </c>
      <c r="W253" s="38">
        <v>48.2</v>
      </c>
    </row>
    <row r="254" spans="1:23" ht="15.6" outlineLevel="2">
      <c r="A254" s="72" t="s">
        <v>2064</v>
      </c>
      <c r="B254" s="63" t="s">
        <v>2065</v>
      </c>
      <c r="C254" s="72" t="s">
        <v>242</v>
      </c>
      <c r="E254" s="37">
        <f t="shared" si="62"/>
        <v>49.137</v>
      </c>
      <c r="F254" s="37">
        <f t="shared" si="63"/>
        <v>132.13525599999997</v>
      </c>
      <c r="G254" s="37">
        <f t="shared" si="64"/>
        <v>346.10399999999998</v>
      </c>
      <c r="I254" s="38">
        <f t="shared" si="42"/>
        <v>49.137</v>
      </c>
      <c r="K254" s="38">
        <f t="shared" si="43"/>
        <v>54.230000000000004</v>
      </c>
      <c r="M254" s="38">
        <f t="shared" si="44"/>
        <v>346.10399999999998</v>
      </c>
      <c r="O254" s="38">
        <f t="shared" si="45"/>
        <v>125.40528</v>
      </c>
      <c r="Q254" s="38">
        <f t="shared" si="46"/>
        <v>85.800000000000011</v>
      </c>
      <c r="S254" s="38">
        <v>44.669999999999995</v>
      </c>
      <c r="T254" s="38">
        <v>49.3</v>
      </c>
      <c r="U254" s="38">
        <v>314.64</v>
      </c>
      <c r="V254" s="38">
        <v>114.00479999999999</v>
      </c>
      <c r="W254" s="38">
        <v>78</v>
      </c>
    </row>
    <row r="255" spans="1:23" ht="15.95" outlineLevel="2" thickBot="1">
      <c r="A255" s="72" t="s">
        <v>2066</v>
      </c>
      <c r="B255" s="63" t="s">
        <v>2067</v>
      </c>
      <c r="C255" s="72" t="s">
        <v>242</v>
      </c>
      <c r="E255" s="37">
        <f t="shared" si="62"/>
        <v>76.032000000000011</v>
      </c>
      <c r="F255" s="37">
        <f t="shared" si="63"/>
        <v>206.17071200000001</v>
      </c>
      <c r="G255" s="37">
        <f t="shared" si="64"/>
        <v>434.14800000000002</v>
      </c>
      <c r="I255" s="38">
        <f t="shared" si="42"/>
        <v>98.263000000000005</v>
      </c>
      <c r="K255" s="38">
        <f t="shared" si="43"/>
        <v>76.032000000000011</v>
      </c>
      <c r="M255" s="38">
        <f t="shared" si="44"/>
        <v>434.14800000000002</v>
      </c>
      <c r="O255" s="38">
        <f t="shared" si="45"/>
        <v>250.81056000000001</v>
      </c>
      <c r="Q255" s="38">
        <f t="shared" si="46"/>
        <v>171.60000000000002</v>
      </c>
      <c r="S255" s="38">
        <v>89.33</v>
      </c>
      <c r="T255" s="38">
        <v>69.12</v>
      </c>
      <c r="U255" s="38">
        <v>394.68</v>
      </c>
      <c r="V255" s="38">
        <v>228.00959999999998</v>
      </c>
      <c r="W255" s="38">
        <v>156</v>
      </c>
    </row>
    <row r="256" spans="1:23" ht="15.6" thickBot="1">
      <c r="A256" s="22" t="s">
        <v>2068</v>
      </c>
      <c r="B256" s="23" t="s">
        <v>2069</v>
      </c>
      <c r="C256" s="24"/>
      <c r="I256" t="str">
        <f t="shared" si="42"/>
        <v/>
      </c>
      <c r="K256" t="str">
        <f t="shared" si="43"/>
        <v/>
      </c>
      <c r="M256" t="str">
        <f t="shared" si="44"/>
        <v/>
      </c>
      <c r="O256" t="str">
        <f t="shared" si="45"/>
        <v/>
      </c>
      <c r="Q256" t="str">
        <f t="shared" si="46"/>
        <v/>
      </c>
      <c r="T256"/>
      <c r="U256"/>
      <c r="V256"/>
      <c r="W256"/>
    </row>
    <row r="257" spans="1:23" ht="15" outlineLevel="1">
      <c r="A257" s="33" t="s">
        <v>2070</v>
      </c>
      <c r="B257" s="42" t="s">
        <v>2071</v>
      </c>
      <c r="C257" s="33"/>
      <c r="I257" t="str">
        <f t="shared" si="42"/>
        <v/>
      </c>
      <c r="K257" t="str">
        <f t="shared" si="43"/>
        <v/>
      </c>
      <c r="M257" t="str">
        <f t="shared" si="44"/>
        <v/>
      </c>
      <c r="O257" t="str">
        <f t="shared" si="45"/>
        <v/>
      </c>
      <c r="Q257" t="str">
        <f t="shared" si="46"/>
        <v/>
      </c>
      <c r="T257"/>
      <c r="U257"/>
      <c r="V257"/>
      <c r="W257"/>
    </row>
    <row r="258" spans="1:23" ht="15.6" outlineLevel="2">
      <c r="A258" s="52" t="s">
        <v>2072</v>
      </c>
      <c r="B258" s="73" t="s">
        <v>2073</v>
      </c>
      <c r="C258" s="52" t="s">
        <v>242</v>
      </c>
      <c r="E258" s="37">
        <f>MIN(I258,K258,M258,O258,Q258)</f>
        <v>6.1050000000000004</v>
      </c>
      <c r="F258" s="37">
        <f>AVERAGE(I258,K258,M258,O258,Q258)</f>
        <v>15.270199999999999</v>
      </c>
      <c r="G258" s="37">
        <f>MAX(I258,K258,M258,O258,Q258)</f>
        <v>26.565000000000001</v>
      </c>
      <c r="I258" s="38">
        <f t="shared" si="42"/>
        <v>20.581000000000003</v>
      </c>
      <c r="K258" s="38">
        <f t="shared" si="43"/>
        <v>26.565000000000001</v>
      </c>
      <c r="M258" s="38">
        <f t="shared" si="44"/>
        <v>15.180000000000001</v>
      </c>
      <c r="O258" s="38">
        <f t="shared" si="45"/>
        <v>6.1050000000000004</v>
      </c>
      <c r="Q258" s="38">
        <f t="shared" si="46"/>
        <v>7.9200000000000008</v>
      </c>
      <c r="S258" s="38">
        <v>18.71</v>
      </c>
      <c r="T258" s="38">
        <v>24.15</v>
      </c>
      <c r="U258" s="38">
        <v>13.8</v>
      </c>
      <c r="V258" s="38">
        <v>5.55</v>
      </c>
      <c r="W258" s="38">
        <v>7.2</v>
      </c>
    </row>
    <row r="259" spans="1:23" ht="15.6" outlineLevel="2">
      <c r="A259" s="52" t="s">
        <v>2074</v>
      </c>
      <c r="B259" s="73" t="s">
        <v>2075</v>
      </c>
      <c r="C259" s="52" t="s">
        <v>242</v>
      </c>
      <c r="E259" s="37">
        <f>MIN(I259,K259,M259,O259,Q259)</f>
        <v>18.920000000000002</v>
      </c>
      <c r="F259" s="37">
        <f>AVERAGE(I259,K259,M259,O259,Q259)</f>
        <v>34.61046600000001</v>
      </c>
      <c r="G259" s="37">
        <f>MAX(I259,K259,M259,O259,Q259)</f>
        <v>63.250000000000007</v>
      </c>
      <c r="I259" s="38">
        <f t="shared" si="42"/>
        <v>23.298000000000005</v>
      </c>
      <c r="K259" s="38">
        <f t="shared" si="43"/>
        <v>63.250000000000007</v>
      </c>
      <c r="M259" s="38">
        <f t="shared" si="44"/>
        <v>35.339039999999997</v>
      </c>
      <c r="O259" s="38">
        <f t="shared" si="45"/>
        <v>32.245289999999997</v>
      </c>
      <c r="Q259" s="38">
        <f t="shared" si="46"/>
        <v>18.920000000000002</v>
      </c>
      <c r="S259" s="38">
        <v>21.180000000000003</v>
      </c>
      <c r="T259" s="38">
        <v>57.5</v>
      </c>
      <c r="U259" s="38">
        <v>32.126399999999997</v>
      </c>
      <c r="V259" s="38">
        <v>29.313899999999997</v>
      </c>
      <c r="W259" s="38">
        <v>17.2</v>
      </c>
    </row>
    <row r="260" spans="1:23" ht="15.6" outlineLevel="2">
      <c r="A260" s="52" t="s">
        <v>2076</v>
      </c>
      <c r="B260" s="73" t="s">
        <v>2077</v>
      </c>
      <c r="C260" s="52" t="s">
        <v>242</v>
      </c>
      <c r="E260" s="37">
        <f>MIN(I260,K260,M260,O260,Q260)</f>
        <v>22.220000000000002</v>
      </c>
      <c r="F260" s="37">
        <f>AVERAGE(I260,K260,M260,O260,Q260)</f>
        <v>38.463898</v>
      </c>
      <c r="G260" s="37">
        <f>MAX(I260,K260,M260,O260,Q260)</f>
        <v>73.37</v>
      </c>
      <c r="I260" s="38">
        <f t="shared" ref="I260:I323" si="65" xml:space="preserve"> IF(ISBLANK(S260),"",_k_EIFFAGE * S260)</f>
        <v>25.927000000000003</v>
      </c>
      <c r="K260" s="38">
        <f t="shared" ref="K260:K323" si="66" xml:space="preserve"> IF(ISBLANK(T260),"",_k_ERI * T260)</f>
        <v>73.37</v>
      </c>
      <c r="M260" s="38">
        <f t="shared" ref="M260:M323" si="67" xml:space="preserve"> IF(ISBLANK(U260),"",_k_INEO * U260)</f>
        <v>38.557200000000002</v>
      </c>
      <c r="O260" s="38">
        <f t="shared" ref="O260:O323" si="68" xml:space="preserve"> IF(ISBLANK(V260),"",_k_SDEL * V260)</f>
        <v>32.245289999999997</v>
      </c>
      <c r="Q260" s="38">
        <f t="shared" ref="Q260:Q323" si="69" xml:space="preserve"> IF(ISBLANK(W260),"",_k_SOGETREL * W260)</f>
        <v>22.220000000000002</v>
      </c>
      <c r="S260" s="38">
        <v>23.57</v>
      </c>
      <c r="T260" s="38">
        <v>66.7</v>
      </c>
      <c r="U260" s="38">
        <v>35.052</v>
      </c>
      <c r="V260" s="38">
        <v>29.313899999999997</v>
      </c>
      <c r="W260" s="38">
        <v>20.2</v>
      </c>
    </row>
    <row r="261" spans="1:23" ht="15.6" outlineLevel="2">
      <c r="A261" s="52" t="s">
        <v>2078</v>
      </c>
      <c r="B261" s="73" t="s">
        <v>2079</v>
      </c>
      <c r="C261" s="52" t="s">
        <v>242</v>
      </c>
      <c r="E261" s="37">
        <f>MIN(I261,K261,M261,O261,Q261)</f>
        <v>23.1</v>
      </c>
      <c r="F261" s="37">
        <f>AVERAGE(I261,K261,M261,O261,Q261)</f>
        <v>49.839548000000008</v>
      </c>
      <c r="G261" s="37">
        <f>MAX(I261,K261,M261,O261,Q261)</f>
        <v>94.88600000000001</v>
      </c>
      <c r="I261" s="38">
        <f t="shared" si="65"/>
        <v>31.273000000000007</v>
      </c>
      <c r="K261" s="38">
        <f t="shared" si="66"/>
        <v>94.88600000000001</v>
      </c>
      <c r="M261" s="38">
        <f t="shared" si="67"/>
        <v>44.720500000000008</v>
      </c>
      <c r="O261" s="38">
        <f t="shared" si="68"/>
        <v>55.218239999999994</v>
      </c>
      <c r="Q261" s="38">
        <f t="shared" si="69"/>
        <v>23.1</v>
      </c>
      <c r="S261" s="38">
        <v>28.430000000000003</v>
      </c>
      <c r="T261" s="38">
        <v>86.26</v>
      </c>
      <c r="U261" s="38">
        <v>40.655000000000001</v>
      </c>
      <c r="V261" s="38">
        <v>50.198399999999992</v>
      </c>
      <c r="W261" s="38">
        <v>21</v>
      </c>
    </row>
    <row r="262" spans="1:23" ht="15.6" outlineLevel="2">
      <c r="A262" s="52" t="s">
        <v>2080</v>
      </c>
      <c r="B262" s="73" t="s">
        <v>2081</v>
      </c>
      <c r="C262" s="52" t="s">
        <v>242</v>
      </c>
      <c r="E262" s="37">
        <f>MIN(I262,K262,M262,O262,Q262)</f>
        <v>41.14</v>
      </c>
      <c r="F262" s="37">
        <f>AVERAGE(I262,K262,M262,O262,Q262)</f>
        <v>72.392452000000006</v>
      </c>
      <c r="G262" s="37">
        <f>MAX(I262,K262,M262,O262,Q262)</f>
        <v>146.74</v>
      </c>
      <c r="I262" s="38">
        <f t="shared" si="65"/>
        <v>45.947000000000003</v>
      </c>
      <c r="K262" s="38">
        <f t="shared" si="66"/>
        <v>146.74</v>
      </c>
      <c r="M262" s="38">
        <f t="shared" si="67"/>
        <v>60.69250000000001</v>
      </c>
      <c r="O262" s="38">
        <f t="shared" si="68"/>
        <v>67.442759999999993</v>
      </c>
      <c r="Q262" s="38">
        <f t="shared" si="69"/>
        <v>41.14</v>
      </c>
      <c r="S262" s="38">
        <v>41.769999999999996</v>
      </c>
      <c r="T262" s="38">
        <v>133.4</v>
      </c>
      <c r="U262" s="38">
        <v>55.175000000000004</v>
      </c>
      <c r="V262" s="38">
        <v>61.311599999999991</v>
      </c>
      <c r="W262" s="38">
        <v>37.4</v>
      </c>
    </row>
    <row r="263" spans="1:23" ht="15" outlineLevel="1">
      <c r="A263" s="33" t="s">
        <v>2082</v>
      </c>
      <c r="B263" s="42" t="s">
        <v>2083</v>
      </c>
      <c r="C263" s="33"/>
      <c r="I263" t="str">
        <f t="shared" si="65"/>
        <v/>
      </c>
      <c r="K263" t="str">
        <f t="shared" si="66"/>
        <v/>
      </c>
      <c r="M263" t="str">
        <f t="shared" si="67"/>
        <v/>
      </c>
      <c r="O263" t="str">
        <f t="shared" si="68"/>
        <v/>
      </c>
      <c r="Q263" t="str">
        <f t="shared" si="69"/>
        <v/>
      </c>
      <c r="T263"/>
      <c r="U263"/>
      <c r="V263"/>
      <c r="W263"/>
    </row>
    <row r="264" spans="1:23" ht="15.6" outlineLevel="2">
      <c r="A264" s="52" t="s">
        <v>2084</v>
      </c>
      <c r="B264" s="73" t="s">
        <v>2085</v>
      </c>
      <c r="C264" s="52" t="s">
        <v>242</v>
      </c>
      <c r="E264" s="37">
        <f t="shared" ref="E264:E269" si="70">MIN(I264,K264,M264,O264,Q264)</f>
        <v>11.044</v>
      </c>
      <c r="F264" s="37">
        <f t="shared" ref="F264:F269" si="71">AVERAGE(I264,K264,M264,O264,Q264)</f>
        <v>15.312220000000002</v>
      </c>
      <c r="G264" s="37">
        <f t="shared" ref="G264:G269" si="72">MAX(I264,K264,M264,O264,Q264)</f>
        <v>27.500000000000004</v>
      </c>
      <c r="I264" s="38">
        <f t="shared" si="65"/>
        <v>14.366000000000001</v>
      </c>
      <c r="K264" s="38">
        <f t="shared" si="66"/>
        <v>12.342000000000002</v>
      </c>
      <c r="M264" s="38">
        <f t="shared" si="67"/>
        <v>11.309099999999999</v>
      </c>
      <c r="O264" s="38">
        <f t="shared" si="68"/>
        <v>11.044</v>
      </c>
      <c r="Q264" s="38">
        <f t="shared" si="69"/>
        <v>27.500000000000004</v>
      </c>
      <c r="S264" s="38">
        <v>13.06</v>
      </c>
      <c r="T264" s="38">
        <v>11.22</v>
      </c>
      <c r="U264" s="38">
        <v>10.280999999999999</v>
      </c>
      <c r="V264" s="38">
        <v>10.039999999999999</v>
      </c>
      <c r="W264" s="38">
        <v>25</v>
      </c>
    </row>
    <row r="265" spans="1:23" ht="15.6" outlineLevel="2">
      <c r="A265" s="52" t="s">
        <v>2086</v>
      </c>
      <c r="B265" s="73" t="s">
        <v>2087</v>
      </c>
      <c r="C265" s="52" t="s">
        <v>242</v>
      </c>
      <c r="E265" s="37">
        <f t="shared" si="70"/>
        <v>1.1330000000000002</v>
      </c>
      <c r="F265" s="37">
        <f t="shared" si="71"/>
        <v>13.371820000000003</v>
      </c>
      <c r="G265" s="37">
        <f t="shared" si="72"/>
        <v>31.130000000000003</v>
      </c>
      <c r="I265" s="38">
        <f t="shared" si="65"/>
        <v>11.968</v>
      </c>
      <c r="K265" s="38">
        <f t="shared" si="66"/>
        <v>11.319000000000001</v>
      </c>
      <c r="M265" s="38">
        <f t="shared" si="67"/>
        <v>11.309099999999999</v>
      </c>
      <c r="O265" s="38">
        <f t="shared" si="68"/>
        <v>1.1330000000000002</v>
      </c>
      <c r="Q265" s="38">
        <f t="shared" si="69"/>
        <v>31.130000000000003</v>
      </c>
      <c r="S265" s="38">
        <v>10.879999999999999</v>
      </c>
      <c r="T265" s="38">
        <v>10.29</v>
      </c>
      <c r="U265" s="38">
        <v>10.280999999999999</v>
      </c>
      <c r="V265" s="38">
        <v>1.03</v>
      </c>
      <c r="W265" s="38">
        <v>28.3</v>
      </c>
    </row>
    <row r="266" spans="1:23" ht="15.6" outlineLevel="2">
      <c r="A266" s="52" t="s">
        <v>2088</v>
      </c>
      <c r="B266" s="73" t="s">
        <v>2089</v>
      </c>
      <c r="C266" s="52" t="s">
        <v>242</v>
      </c>
      <c r="E266" s="37">
        <f t="shared" si="70"/>
        <v>34.54</v>
      </c>
      <c r="F266" s="37">
        <f t="shared" si="71"/>
        <v>104.578738</v>
      </c>
      <c r="G266" s="37">
        <f t="shared" si="72"/>
        <v>195.41499999999999</v>
      </c>
      <c r="I266" s="38">
        <f t="shared" si="65"/>
        <v>195.41499999999999</v>
      </c>
      <c r="K266" s="38">
        <f t="shared" si="66"/>
        <v>36.960000000000008</v>
      </c>
      <c r="M266" s="38">
        <f t="shared" si="67"/>
        <v>151.80000000000001</v>
      </c>
      <c r="O266" s="38">
        <f t="shared" si="68"/>
        <v>104.17869</v>
      </c>
      <c r="Q266" s="38">
        <f t="shared" si="69"/>
        <v>34.54</v>
      </c>
      <c r="S266" s="38">
        <v>177.64999999999998</v>
      </c>
      <c r="T266" s="38">
        <v>33.6</v>
      </c>
      <c r="U266" s="38">
        <v>138</v>
      </c>
      <c r="V266" s="38">
        <v>94.707899999999995</v>
      </c>
      <c r="W266" s="38">
        <v>31.4</v>
      </c>
    </row>
    <row r="267" spans="1:23" ht="15.6" outlineLevel="2">
      <c r="A267" s="52" t="s">
        <v>2090</v>
      </c>
      <c r="B267" s="73" t="s">
        <v>2091</v>
      </c>
      <c r="C267" s="52" t="s">
        <v>242</v>
      </c>
      <c r="E267" s="37">
        <f t="shared" si="70"/>
        <v>5.0727599999999997</v>
      </c>
      <c r="F267" s="37">
        <f t="shared" si="71"/>
        <v>9.4757520000000017</v>
      </c>
      <c r="G267" s="37">
        <f t="shared" si="72"/>
        <v>15.180000000000001</v>
      </c>
      <c r="I267" s="38">
        <f t="shared" si="65"/>
        <v>7.9860000000000007</v>
      </c>
      <c r="K267" s="38">
        <f t="shared" si="66"/>
        <v>11.880000000000003</v>
      </c>
      <c r="M267" s="38">
        <f t="shared" si="67"/>
        <v>15.180000000000001</v>
      </c>
      <c r="O267" s="38">
        <f t="shared" si="68"/>
        <v>5.0727599999999997</v>
      </c>
      <c r="Q267" s="38">
        <f t="shared" si="69"/>
        <v>7.26</v>
      </c>
      <c r="S267" s="38">
        <v>7.26</v>
      </c>
      <c r="T267" s="38">
        <v>10.8</v>
      </c>
      <c r="U267" s="38">
        <v>13.8</v>
      </c>
      <c r="V267" s="38">
        <v>4.6115999999999993</v>
      </c>
      <c r="W267" s="38">
        <v>6.6</v>
      </c>
    </row>
    <row r="268" spans="1:23" ht="15.6" outlineLevel="2">
      <c r="A268" s="52" t="s">
        <v>2092</v>
      </c>
      <c r="B268" s="73" t="s">
        <v>2093</v>
      </c>
      <c r="C268" s="52" t="s">
        <v>242</v>
      </c>
      <c r="E268" s="37">
        <f t="shared" si="70"/>
        <v>3.806</v>
      </c>
      <c r="F268" s="37">
        <f t="shared" si="71"/>
        <v>6.1422020000000002</v>
      </c>
      <c r="G268" s="37">
        <f t="shared" si="72"/>
        <v>9.1080000000000005</v>
      </c>
      <c r="I268" s="38">
        <f t="shared" si="65"/>
        <v>6.8640000000000008</v>
      </c>
      <c r="K268" s="38">
        <f t="shared" si="66"/>
        <v>3.806</v>
      </c>
      <c r="M268" s="38">
        <f t="shared" si="67"/>
        <v>9.1080000000000005</v>
      </c>
      <c r="O268" s="38">
        <f t="shared" si="68"/>
        <v>4.5530100000000004</v>
      </c>
      <c r="Q268" s="38">
        <f t="shared" si="69"/>
        <v>6.38</v>
      </c>
      <c r="S268" s="38">
        <v>6.24</v>
      </c>
      <c r="T268" s="38">
        <v>3.46</v>
      </c>
      <c r="U268" s="38">
        <v>8.2799999999999994</v>
      </c>
      <c r="V268" s="38">
        <v>4.1391</v>
      </c>
      <c r="W268" s="38">
        <v>5.8</v>
      </c>
    </row>
    <row r="269" spans="1:23" ht="15.95" outlineLevel="2" thickBot="1">
      <c r="A269" s="52" t="s">
        <v>2094</v>
      </c>
      <c r="B269" s="73" t="s">
        <v>2095</v>
      </c>
      <c r="C269" s="52" t="s">
        <v>242</v>
      </c>
      <c r="E269" s="37">
        <f t="shared" si="70"/>
        <v>7.6670000000000007</v>
      </c>
      <c r="F269" s="37">
        <f t="shared" si="71"/>
        <v>12.894133999999999</v>
      </c>
      <c r="G269" s="37">
        <f t="shared" si="72"/>
        <v>22.307670000000002</v>
      </c>
      <c r="I269" s="38">
        <f t="shared" si="65"/>
        <v>7.6670000000000007</v>
      </c>
      <c r="K269" s="38">
        <f t="shared" si="66"/>
        <v>11.396000000000001</v>
      </c>
      <c r="M269" s="38">
        <f t="shared" si="67"/>
        <v>15.180000000000001</v>
      </c>
      <c r="O269" s="38">
        <f t="shared" si="68"/>
        <v>22.307670000000002</v>
      </c>
      <c r="Q269" s="38">
        <f t="shared" si="69"/>
        <v>7.9200000000000008</v>
      </c>
      <c r="S269" s="38">
        <v>6.97</v>
      </c>
      <c r="T269" s="38">
        <v>10.36</v>
      </c>
      <c r="U269" s="38">
        <v>13.8</v>
      </c>
      <c r="V269" s="38">
        <v>20.279699999999998</v>
      </c>
      <c r="W269" s="38">
        <v>7.2</v>
      </c>
    </row>
    <row r="270" spans="1:23" ht="15.6" thickBot="1">
      <c r="A270" s="24" t="s">
        <v>2096</v>
      </c>
      <c r="B270" s="23" t="s">
        <v>2097</v>
      </c>
      <c r="C270" s="24"/>
      <c r="I270" t="str">
        <f t="shared" si="65"/>
        <v/>
      </c>
      <c r="K270" t="str">
        <f t="shared" si="66"/>
        <v/>
      </c>
      <c r="M270" t="str">
        <f t="shared" si="67"/>
        <v/>
      </c>
      <c r="O270" t="str">
        <f t="shared" si="68"/>
        <v/>
      </c>
      <c r="Q270" t="str">
        <f t="shared" si="69"/>
        <v/>
      </c>
      <c r="T270"/>
      <c r="U270"/>
      <c r="V270"/>
      <c r="W270"/>
    </row>
    <row r="271" spans="1:23" ht="15" outlineLevel="1">
      <c r="A271" s="33" t="s">
        <v>2098</v>
      </c>
      <c r="B271" s="69" t="s">
        <v>2099</v>
      </c>
      <c r="C271" s="33"/>
      <c r="I271" t="str">
        <f t="shared" si="65"/>
        <v/>
      </c>
      <c r="K271" t="str">
        <f t="shared" si="66"/>
        <v/>
      </c>
      <c r="M271" t="str">
        <f t="shared" si="67"/>
        <v/>
      </c>
      <c r="O271" t="str">
        <f t="shared" si="68"/>
        <v/>
      </c>
      <c r="Q271" t="str">
        <f t="shared" si="69"/>
        <v/>
      </c>
      <c r="T271"/>
      <c r="U271"/>
      <c r="V271"/>
      <c r="W271"/>
    </row>
    <row r="272" spans="1:23" ht="30.95" outlineLevel="2">
      <c r="A272" s="52" t="s">
        <v>2100</v>
      </c>
      <c r="B272" s="70" t="s">
        <v>2101</v>
      </c>
      <c r="C272" s="52" t="s">
        <v>242</v>
      </c>
      <c r="E272" s="37">
        <f>MIN(I272,K272,M272,O272,Q272)</f>
        <v>183.447</v>
      </c>
      <c r="F272" s="37">
        <f>AVERAGE(I272,K272,M272,O272,Q272)</f>
        <v>345.7894</v>
      </c>
      <c r="G272" s="37">
        <f>MAX(I272,K272,M272,O272,Q272)</f>
        <v>627</v>
      </c>
      <c r="I272" s="38">
        <f t="shared" si="65"/>
        <v>183.447</v>
      </c>
      <c r="K272" s="38">
        <f t="shared" si="66"/>
        <v>278.3</v>
      </c>
      <c r="M272" s="38">
        <f t="shared" si="67"/>
        <v>349.14</v>
      </c>
      <c r="O272" s="38">
        <f t="shared" si="68"/>
        <v>291.06</v>
      </c>
      <c r="Q272" s="38">
        <f t="shared" si="69"/>
        <v>627</v>
      </c>
      <c r="S272" s="38">
        <v>166.76999999999998</v>
      </c>
      <c r="T272" s="38">
        <v>253</v>
      </c>
      <c r="U272" s="38">
        <v>317.39999999999998</v>
      </c>
      <c r="V272" s="38">
        <v>264.59999999999997</v>
      </c>
      <c r="W272" s="38">
        <v>570</v>
      </c>
    </row>
    <row r="273" spans="1:23" ht="15" outlineLevel="1">
      <c r="A273" s="31" t="s">
        <v>2102</v>
      </c>
      <c r="B273" s="71" t="s">
        <v>2103</v>
      </c>
      <c r="C273" s="31"/>
      <c r="I273" t="str">
        <f t="shared" si="65"/>
        <v/>
      </c>
      <c r="K273" t="str">
        <f t="shared" si="66"/>
        <v/>
      </c>
      <c r="M273" t="str">
        <f t="shared" si="67"/>
        <v/>
      </c>
      <c r="O273" t="str">
        <f t="shared" si="68"/>
        <v/>
      </c>
      <c r="Q273" t="str">
        <f t="shared" si="69"/>
        <v/>
      </c>
      <c r="T273"/>
      <c r="U273"/>
      <c r="V273"/>
      <c r="W273"/>
    </row>
    <row r="274" spans="1:23" ht="46.5" outlineLevel="2">
      <c r="A274" s="52" t="s">
        <v>2104</v>
      </c>
      <c r="B274" s="70" t="s">
        <v>2105</v>
      </c>
      <c r="C274" s="52" t="s">
        <v>242</v>
      </c>
      <c r="E274" s="37">
        <f t="shared" ref="E274:E280" si="73">MIN(I274,K274,M274,O274,Q274)</f>
        <v>321.43099999999998</v>
      </c>
      <c r="F274" s="37">
        <f t="shared" ref="F274:F280" si="74">AVERAGE(I274,K274,M274,O274,Q274)</f>
        <v>488.18569800000006</v>
      </c>
      <c r="G274" s="37">
        <f t="shared" ref="G274:G280" si="75">MAX(I274,K274,M274,O274,Q274)</f>
        <v>627</v>
      </c>
      <c r="I274" s="38">
        <f t="shared" si="65"/>
        <v>321.43099999999998</v>
      </c>
      <c r="K274" s="38">
        <f t="shared" si="66"/>
        <v>487.63000000000005</v>
      </c>
      <c r="M274" s="38">
        <f t="shared" si="67"/>
        <v>494.86800000000005</v>
      </c>
      <c r="O274" s="38">
        <f t="shared" si="68"/>
        <v>509.99949000000004</v>
      </c>
      <c r="Q274" s="38">
        <f t="shared" si="69"/>
        <v>627</v>
      </c>
      <c r="S274" s="38">
        <v>292.20999999999998</v>
      </c>
      <c r="T274" s="38">
        <v>443.3</v>
      </c>
      <c r="U274" s="38">
        <v>449.88</v>
      </c>
      <c r="V274" s="38">
        <v>463.63589999999999</v>
      </c>
      <c r="W274" s="38">
        <v>570</v>
      </c>
    </row>
    <row r="275" spans="1:23" ht="46.5" outlineLevel="2">
      <c r="A275" s="52" t="s">
        <v>2106</v>
      </c>
      <c r="B275" s="70" t="s">
        <v>2107</v>
      </c>
      <c r="C275" s="52" t="s">
        <v>242</v>
      </c>
      <c r="E275" s="37">
        <f t="shared" si="73"/>
        <v>428.30700000000002</v>
      </c>
      <c r="F275" s="37">
        <f t="shared" si="74"/>
        <v>662.17210399999999</v>
      </c>
      <c r="G275" s="37">
        <f t="shared" si="75"/>
        <v>833.80000000000007</v>
      </c>
      <c r="I275" s="38">
        <f t="shared" si="65"/>
        <v>428.30700000000002</v>
      </c>
      <c r="K275" s="38">
        <f t="shared" si="66"/>
        <v>708.84</v>
      </c>
      <c r="M275" s="38">
        <f t="shared" si="67"/>
        <v>660.33</v>
      </c>
      <c r="O275" s="38">
        <f t="shared" si="68"/>
        <v>679.58352000000002</v>
      </c>
      <c r="Q275" s="38">
        <f t="shared" si="69"/>
        <v>833.80000000000007</v>
      </c>
      <c r="S275" s="38">
        <v>389.37</v>
      </c>
      <c r="T275" s="38">
        <v>644.4</v>
      </c>
      <c r="U275" s="38">
        <v>600.29999999999995</v>
      </c>
      <c r="V275" s="38">
        <v>617.80319999999995</v>
      </c>
      <c r="W275" s="38">
        <v>758</v>
      </c>
    </row>
    <row r="276" spans="1:23" ht="46.5" outlineLevel="2">
      <c r="A276" s="52" t="s">
        <v>2108</v>
      </c>
      <c r="B276" s="70" t="s">
        <v>2109</v>
      </c>
      <c r="C276" s="52" t="s">
        <v>242</v>
      </c>
      <c r="E276" s="37">
        <f t="shared" si="73"/>
        <v>669.97699999999998</v>
      </c>
      <c r="F276" s="37">
        <f t="shared" si="74"/>
        <v>1041.2742560000002</v>
      </c>
      <c r="G276" s="37">
        <f t="shared" si="75"/>
        <v>1304.6000000000001</v>
      </c>
      <c r="I276" s="38">
        <f t="shared" si="65"/>
        <v>669.97699999999998</v>
      </c>
      <c r="K276" s="38">
        <f t="shared" si="66"/>
        <v>1136.5200000000002</v>
      </c>
      <c r="M276" s="38">
        <f t="shared" si="67"/>
        <v>1032.24</v>
      </c>
      <c r="O276" s="38">
        <f t="shared" si="68"/>
        <v>1063.0342800000001</v>
      </c>
      <c r="Q276" s="38">
        <f t="shared" si="69"/>
        <v>1304.6000000000001</v>
      </c>
      <c r="S276" s="38">
        <v>609.06999999999994</v>
      </c>
      <c r="T276" s="38">
        <v>1033.2</v>
      </c>
      <c r="U276" s="38">
        <v>938.4</v>
      </c>
      <c r="V276" s="38">
        <v>966.39479999999992</v>
      </c>
      <c r="W276" s="38">
        <v>1186</v>
      </c>
    </row>
    <row r="277" spans="1:23" ht="46.5" outlineLevel="2">
      <c r="A277" s="52" t="s">
        <v>2110</v>
      </c>
      <c r="B277" s="70" t="s">
        <v>2111</v>
      </c>
      <c r="C277" s="52" t="s">
        <v>242</v>
      </c>
      <c r="E277" s="37">
        <f t="shared" si="73"/>
        <v>263.20800000000003</v>
      </c>
      <c r="F277" s="37">
        <f t="shared" si="74"/>
        <v>401.30820400000005</v>
      </c>
      <c r="G277" s="37">
        <f t="shared" si="75"/>
        <v>521.40000000000009</v>
      </c>
      <c r="I277" s="38">
        <f t="shared" si="65"/>
        <v>263.20800000000003</v>
      </c>
      <c r="K277" s="38">
        <f t="shared" si="66"/>
        <v>399.3</v>
      </c>
      <c r="M277" s="38">
        <f t="shared" si="67"/>
        <v>405.00350000000003</v>
      </c>
      <c r="O277" s="38">
        <f t="shared" si="68"/>
        <v>417.62952000000001</v>
      </c>
      <c r="Q277" s="38">
        <f t="shared" si="69"/>
        <v>521.40000000000009</v>
      </c>
      <c r="S277" s="38">
        <v>239.28</v>
      </c>
      <c r="T277" s="38">
        <v>363</v>
      </c>
      <c r="U277" s="38">
        <v>368.185</v>
      </c>
      <c r="V277" s="38">
        <v>379.66319999999996</v>
      </c>
      <c r="W277" s="38">
        <v>474</v>
      </c>
    </row>
    <row r="278" spans="1:23" ht="46.5" outlineLevel="2">
      <c r="A278" s="52" t="s">
        <v>2112</v>
      </c>
      <c r="B278" s="70" t="s">
        <v>2113</v>
      </c>
      <c r="C278" s="52" t="s">
        <v>242</v>
      </c>
      <c r="E278" s="37">
        <f t="shared" si="73"/>
        <v>333.399</v>
      </c>
      <c r="F278" s="37">
        <f t="shared" si="74"/>
        <v>506.04875200000004</v>
      </c>
      <c r="G278" s="37">
        <f t="shared" si="75"/>
        <v>649</v>
      </c>
      <c r="I278" s="38">
        <f t="shared" si="65"/>
        <v>333.399</v>
      </c>
      <c r="K278" s="38">
        <f t="shared" si="66"/>
        <v>505.78000000000003</v>
      </c>
      <c r="M278" s="38">
        <f t="shared" si="67"/>
        <v>513.08400000000006</v>
      </c>
      <c r="O278" s="38">
        <f t="shared" si="68"/>
        <v>528.98076000000003</v>
      </c>
      <c r="Q278" s="38">
        <f t="shared" si="69"/>
        <v>649</v>
      </c>
      <c r="S278" s="38">
        <v>303.08999999999997</v>
      </c>
      <c r="T278" s="38">
        <v>459.8</v>
      </c>
      <c r="U278" s="38">
        <v>466.44</v>
      </c>
      <c r="V278" s="38">
        <v>480.89159999999998</v>
      </c>
      <c r="W278" s="38">
        <v>590</v>
      </c>
    </row>
    <row r="279" spans="1:23" ht="77.45" outlineLevel="2">
      <c r="A279" s="52" t="s">
        <v>2114</v>
      </c>
      <c r="B279" s="70" t="s">
        <v>2115</v>
      </c>
      <c r="C279" s="52" t="s">
        <v>242</v>
      </c>
      <c r="E279" s="37">
        <f t="shared" si="73"/>
        <v>391.94100000000003</v>
      </c>
      <c r="F279" s="37">
        <f t="shared" si="74"/>
        <v>654.37462200000004</v>
      </c>
      <c r="G279" s="37">
        <f t="shared" si="75"/>
        <v>847.00000000000011</v>
      </c>
      <c r="I279" s="38">
        <f t="shared" si="65"/>
        <v>391.94100000000003</v>
      </c>
      <c r="K279" s="38">
        <f t="shared" si="66"/>
        <v>664.62000000000012</v>
      </c>
      <c r="M279" s="38">
        <f t="shared" si="67"/>
        <v>745.67239999999993</v>
      </c>
      <c r="O279" s="38">
        <f t="shared" si="68"/>
        <v>622.63971000000004</v>
      </c>
      <c r="Q279" s="38">
        <f t="shared" si="69"/>
        <v>847.00000000000011</v>
      </c>
      <c r="S279" s="38">
        <v>356.31</v>
      </c>
      <c r="T279" s="38">
        <v>604.20000000000005</v>
      </c>
      <c r="U279" s="38">
        <v>677.8839999999999</v>
      </c>
      <c r="V279" s="38">
        <v>566.03610000000003</v>
      </c>
      <c r="W279" s="38">
        <v>770</v>
      </c>
    </row>
    <row r="280" spans="1:23" ht="77.45" outlineLevel="2">
      <c r="A280" s="52" t="s">
        <v>2116</v>
      </c>
      <c r="B280" s="70" t="s">
        <v>2117</v>
      </c>
      <c r="C280" s="52" t="s">
        <v>242</v>
      </c>
      <c r="E280" s="37">
        <f t="shared" si="73"/>
        <v>391.94100000000003</v>
      </c>
      <c r="F280" s="37">
        <f t="shared" si="74"/>
        <v>654.37462200000004</v>
      </c>
      <c r="G280" s="37">
        <f t="shared" si="75"/>
        <v>847.00000000000011</v>
      </c>
      <c r="I280" s="38">
        <f t="shared" si="65"/>
        <v>391.94100000000003</v>
      </c>
      <c r="K280" s="38">
        <f t="shared" si="66"/>
        <v>664.62000000000012</v>
      </c>
      <c r="M280" s="38">
        <f t="shared" si="67"/>
        <v>745.67239999999993</v>
      </c>
      <c r="O280" s="38">
        <f t="shared" si="68"/>
        <v>622.63971000000004</v>
      </c>
      <c r="Q280" s="38">
        <f t="shared" si="69"/>
        <v>847.00000000000011</v>
      </c>
      <c r="S280" s="38">
        <v>356.31</v>
      </c>
      <c r="T280" s="38">
        <v>604.20000000000005</v>
      </c>
      <c r="U280" s="38">
        <v>677.8839999999999</v>
      </c>
      <c r="V280" s="38">
        <v>566.03610000000003</v>
      </c>
      <c r="W280" s="38">
        <v>770</v>
      </c>
    </row>
    <row r="281" spans="1:23" ht="15" outlineLevel="1">
      <c r="A281" s="31" t="s">
        <v>2118</v>
      </c>
      <c r="B281" s="71" t="s">
        <v>2119</v>
      </c>
      <c r="C281" s="31"/>
      <c r="I281" t="str">
        <f t="shared" si="65"/>
        <v/>
      </c>
      <c r="K281" t="str">
        <f t="shared" si="66"/>
        <v/>
      </c>
      <c r="M281" t="str">
        <f t="shared" si="67"/>
        <v/>
      </c>
      <c r="O281" t="str">
        <f t="shared" si="68"/>
        <v/>
      </c>
      <c r="Q281" t="str">
        <f t="shared" si="69"/>
        <v/>
      </c>
      <c r="T281"/>
      <c r="U281"/>
      <c r="V281"/>
      <c r="W281"/>
    </row>
    <row r="282" spans="1:23" ht="46.5" outlineLevel="2">
      <c r="A282" s="52" t="s">
        <v>2120</v>
      </c>
      <c r="B282" s="70" t="s">
        <v>2121</v>
      </c>
      <c r="C282" s="52" t="s">
        <v>242</v>
      </c>
      <c r="E282" s="37">
        <f>MIN(I282,K282,M282,O282,Q282)</f>
        <v>580.64600000000007</v>
      </c>
      <c r="F282" s="37">
        <f>AVERAGE(I282,K282,M282,O282,Q282)</f>
        <v>978.72136999999998</v>
      </c>
      <c r="G282" s="37">
        <f>MAX(I282,K282,M282,O282,Q282)</f>
        <v>1304.6000000000001</v>
      </c>
      <c r="I282" s="38">
        <f t="shared" si="65"/>
        <v>580.64600000000007</v>
      </c>
      <c r="K282" s="38">
        <f t="shared" si="66"/>
        <v>984.98400000000015</v>
      </c>
      <c r="M282" s="38">
        <f t="shared" si="67"/>
        <v>1102.068</v>
      </c>
      <c r="O282" s="38">
        <f t="shared" si="68"/>
        <v>921.30884999999989</v>
      </c>
      <c r="Q282" s="38">
        <f t="shared" si="69"/>
        <v>1304.6000000000001</v>
      </c>
      <c r="S282" s="38">
        <v>527.86</v>
      </c>
      <c r="T282" s="38">
        <v>895.44</v>
      </c>
      <c r="U282" s="38">
        <v>1001.88</v>
      </c>
      <c r="V282" s="38">
        <v>837.55349999999987</v>
      </c>
      <c r="W282" s="38">
        <v>1186</v>
      </c>
    </row>
    <row r="283" spans="1:23" ht="46.5" outlineLevel="2">
      <c r="A283" s="52" t="s">
        <v>2122</v>
      </c>
      <c r="B283" s="70" t="s">
        <v>2123</v>
      </c>
      <c r="C283" s="52" t="s">
        <v>242</v>
      </c>
      <c r="E283" s="37">
        <f>MIN(I283,K283,M283,O283,Q283)</f>
        <v>970.45641000000012</v>
      </c>
      <c r="F283" s="37">
        <f>AVERAGE(I283,K283,M283,O283,Q283)</f>
        <v>1298.2272820000003</v>
      </c>
      <c r="G283" s="37">
        <f>MAX(I283,K283,M283,O283,Q283)</f>
        <v>1691.8000000000002</v>
      </c>
      <c r="I283" s="38">
        <f t="shared" si="65"/>
        <v>1148.5319999999999</v>
      </c>
      <c r="K283" s="38">
        <f t="shared" si="66"/>
        <v>1122.8800000000001</v>
      </c>
      <c r="M283" s="38">
        <f t="shared" si="67"/>
        <v>1557.4680000000003</v>
      </c>
      <c r="O283" s="38">
        <f t="shared" si="68"/>
        <v>970.45641000000012</v>
      </c>
      <c r="Q283" s="38">
        <f t="shared" si="69"/>
        <v>1691.8000000000002</v>
      </c>
      <c r="S283" s="38">
        <v>1044.1199999999999</v>
      </c>
      <c r="T283" s="38">
        <v>1020.8</v>
      </c>
      <c r="U283" s="38">
        <v>1415.88</v>
      </c>
      <c r="V283" s="38">
        <v>882.23310000000004</v>
      </c>
      <c r="W283" s="38">
        <v>1538</v>
      </c>
    </row>
    <row r="284" spans="1:23" ht="77.45" outlineLevel="2">
      <c r="A284" s="52" t="s">
        <v>2124</v>
      </c>
      <c r="B284" s="70" t="s">
        <v>2125</v>
      </c>
      <c r="C284" s="52" t="s">
        <v>242</v>
      </c>
      <c r="E284" s="37">
        <f>MIN(I284,K284,M284,O284,Q284)</f>
        <v>416.33900000000006</v>
      </c>
      <c r="F284" s="37">
        <f>AVERAGE(I284,K284,M284,O284,Q284)</f>
        <v>695.45357200000001</v>
      </c>
      <c r="G284" s="37">
        <f>MAX(I284,K284,M284,O284,Q284)</f>
        <v>902.00000000000011</v>
      </c>
      <c r="I284" s="38">
        <f t="shared" si="65"/>
        <v>416.33900000000006</v>
      </c>
      <c r="K284" s="38">
        <f t="shared" si="66"/>
        <v>706.15600000000006</v>
      </c>
      <c r="M284" s="38">
        <f t="shared" si="67"/>
        <v>792.27456000000018</v>
      </c>
      <c r="O284" s="38">
        <f t="shared" si="68"/>
        <v>660.49829999999997</v>
      </c>
      <c r="Q284" s="38">
        <f t="shared" si="69"/>
        <v>902.00000000000011</v>
      </c>
      <c r="S284" s="38">
        <v>378.49</v>
      </c>
      <c r="T284" s="38">
        <v>641.96</v>
      </c>
      <c r="U284" s="38">
        <v>720.2496000000001</v>
      </c>
      <c r="V284" s="38">
        <v>600.45299999999997</v>
      </c>
      <c r="W284" s="38">
        <v>820</v>
      </c>
    </row>
    <row r="285" spans="1:23" ht="15" outlineLevel="1">
      <c r="A285" s="31" t="s">
        <v>2126</v>
      </c>
      <c r="B285" s="71" t="s">
        <v>2127</v>
      </c>
      <c r="C285" s="31"/>
      <c r="I285" t="str">
        <f t="shared" si="65"/>
        <v/>
      </c>
      <c r="K285" t="str">
        <f t="shared" si="66"/>
        <v/>
      </c>
      <c r="M285" t="str">
        <f t="shared" si="67"/>
        <v/>
      </c>
      <c r="O285" t="str">
        <f t="shared" si="68"/>
        <v/>
      </c>
      <c r="Q285" t="str">
        <f t="shared" si="69"/>
        <v/>
      </c>
      <c r="T285"/>
      <c r="U285"/>
      <c r="V285"/>
      <c r="W285"/>
    </row>
    <row r="286" spans="1:23" ht="62.1" outlineLevel="2">
      <c r="A286" s="52" t="s">
        <v>2128</v>
      </c>
      <c r="B286" s="70" t="s">
        <v>2129</v>
      </c>
      <c r="C286" s="52" t="s">
        <v>242</v>
      </c>
      <c r="E286" s="37">
        <f>MIN(I286,K286,M286,O286,Q286)</f>
        <v>271.18300000000005</v>
      </c>
      <c r="F286" s="37">
        <f>AVERAGE(I286,K286,M286,O286,Q286)</f>
        <v>436.2733980000001</v>
      </c>
      <c r="G286" s="37">
        <f>MAX(I286,K286,M286,O286,Q286)</f>
        <v>576.40000000000009</v>
      </c>
      <c r="I286" s="38">
        <f t="shared" si="65"/>
        <v>271.18300000000005</v>
      </c>
      <c r="K286" s="38">
        <f t="shared" si="66"/>
        <v>404.11800000000005</v>
      </c>
      <c r="M286" s="38">
        <f t="shared" si="67"/>
        <v>506.98450000000003</v>
      </c>
      <c r="O286" s="38">
        <f t="shared" si="68"/>
        <v>422.68149000000005</v>
      </c>
      <c r="Q286" s="38">
        <f t="shared" si="69"/>
        <v>576.40000000000009</v>
      </c>
      <c r="S286" s="38">
        <v>246.53</v>
      </c>
      <c r="T286" s="38">
        <v>367.38</v>
      </c>
      <c r="U286" s="38">
        <v>460.89499999999998</v>
      </c>
      <c r="V286" s="38">
        <v>384.2559</v>
      </c>
      <c r="W286" s="38">
        <v>524</v>
      </c>
    </row>
    <row r="287" spans="1:23" ht="77.45" outlineLevel="2">
      <c r="A287" s="52" t="s">
        <v>2130</v>
      </c>
      <c r="B287" s="70" t="s">
        <v>2131</v>
      </c>
      <c r="C287" s="52" t="s">
        <v>242</v>
      </c>
      <c r="E287" s="37">
        <f>MIN(I287,K287,M287,O287,Q287)</f>
        <v>392.41400000000004</v>
      </c>
      <c r="F287" s="37">
        <f>AVERAGE(I287,K287,M287,O287,Q287)</f>
        <v>640.22065800000007</v>
      </c>
      <c r="G287" s="37">
        <f>MAX(I287,K287,M287,O287,Q287)</f>
        <v>847.00000000000011</v>
      </c>
      <c r="I287" s="38">
        <f t="shared" si="65"/>
        <v>392.41400000000004</v>
      </c>
      <c r="K287" s="38">
        <f t="shared" si="66"/>
        <v>594.37400000000014</v>
      </c>
      <c r="M287" s="38">
        <f t="shared" si="67"/>
        <v>745.6735000000001</v>
      </c>
      <c r="O287" s="38">
        <f t="shared" si="68"/>
        <v>621.64179000000001</v>
      </c>
      <c r="Q287" s="38">
        <f t="shared" si="69"/>
        <v>847.00000000000011</v>
      </c>
      <c r="S287" s="38">
        <v>356.74</v>
      </c>
      <c r="T287" s="38">
        <v>540.34</v>
      </c>
      <c r="U287" s="38">
        <v>677.88499999999999</v>
      </c>
      <c r="V287" s="38">
        <v>565.12889999999993</v>
      </c>
      <c r="W287" s="38">
        <v>770</v>
      </c>
    </row>
    <row r="288" spans="1:23" ht="15" outlineLevel="1">
      <c r="A288" s="31" t="s">
        <v>2132</v>
      </c>
      <c r="B288" s="71" t="s">
        <v>2133</v>
      </c>
      <c r="C288" s="31"/>
      <c r="I288" t="str">
        <f t="shared" si="65"/>
        <v/>
      </c>
      <c r="K288" t="str">
        <f t="shared" si="66"/>
        <v/>
      </c>
      <c r="M288" t="str">
        <f t="shared" si="67"/>
        <v/>
      </c>
      <c r="O288" t="str">
        <f t="shared" si="68"/>
        <v/>
      </c>
      <c r="Q288" t="str">
        <f t="shared" si="69"/>
        <v/>
      </c>
      <c r="T288"/>
      <c r="U288"/>
      <c r="V288"/>
      <c r="W288"/>
    </row>
    <row r="289" spans="1:23" ht="93" outlineLevel="2">
      <c r="A289" s="52" t="s">
        <v>2134</v>
      </c>
      <c r="B289" s="70" t="s">
        <v>2135</v>
      </c>
      <c r="C289" s="52" t="s">
        <v>242</v>
      </c>
      <c r="E289" s="37">
        <f>MIN(I289,K289,M289,O289,Q289)</f>
        <v>391.79800000000006</v>
      </c>
      <c r="F289" s="37">
        <f>AVERAGE(I289,K289,M289,O289,Q289)</f>
        <v>532.32062400000007</v>
      </c>
      <c r="G289" s="37">
        <f>MAX(I289,K289,M289,O289,Q289)</f>
        <v>668.80000000000007</v>
      </c>
      <c r="I289" s="38">
        <f t="shared" si="65"/>
        <v>391.79800000000006</v>
      </c>
      <c r="K289" s="38">
        <f t="shared" si="66"/>
        <v>523.66600000000005</v>
      </c>
      <c r="M289" s="38">
        <f t="shared" si="67"/>
        <v>587.52671999999995</v>
      </c>
      <c r="O289" s="38">
        <f t="shared" si="68"/>
        <v>489.81240000000003</v>
      </c>
      <c r="Q289" s="38">
        <f t="shared" si="69"/>
        <v>668.80000000000007</v>
      </c>
      <c r="S289" s="38">
        <v>356.18</v>
      </c>
      <c r="T289" s="38">
        <v>476.06</v>
      </c>
      <c r="U289" s="38">
        <v>534.11519999999996</v>
      </c>
      <c r="V289" s="38">
        <v>445.28399999999999</v>
      </c>
      <c r="W289" s="38">
        <v>608</v>
      </c>
    </row>
    <row r="290" spans="1:23" ht="93" outlineLevel="2">
      <c r="A290" s="52" t="s">
        <v>2136</v>
      </c>
      <c r="B290" s="70" t="s">
        <v>2137</v>
      </c>
      <c r="C290" s="52" t="s">
        <v>242</v>
      </c>
      <c r="E290" s="37">
        <f>MIN(I290,K290,M290,O290,Q290)</f>
        <v>391.79800000000006</v>
      </c>
      <c r="F290" s="37">
        <f>AVERAGE(I290,K290,M290,O290,Q290)</f>
        <v>601.20418600000005</v>
      </c>
      <c r="G290" s="37">
        <f>MAX(I290,K290,M290,O290,Q290)</f>
        <v>770.00000000000011</v>
      </c>
      <c r="I290" s="38">
        <f t="shared" si="65"/>
        <v>391.79800000000006</v>
      </c>
      <c r="K290" s="38">
        <f t="shared" si="66"/>
        <v>603.21800000000007</v>
      </c>
      <c r="M290" s="38">
        <f t="shared" si="67"/>
        <v>676.78512000000001</v>
      </c>
      <c r="O290" s="38">
        <f t="shared" si="68"/>
        <v>564.21981000000005</v>
      </c>
      <c r="Q290" s="38">
        <f t="shared" si="69"/>
        <v>770.00000000000011</v>
      </c>
      <c r="S290" s="38">
        <v>356.18</v>
      </c>
      <c r="T290" s="38">
        <v>548.38</v>
      </c>
      <c r="U290" s="38">
        <v>615.25919999999996</v>
      </c>
      <c r="V290" s="38">
        <v>512.9271</v>
      </c>
      <c r="W290" s="38">
        <v>700</v>
      </c>
    </row>
    <row r="291" spans="1:23" ht="93" outlineLevel="2">
      <c r="A291" s="52" t="s">
        <v>2138</v>
      </c>
      <c r="B291" s="70" t="s">
        <v>2139</v>
      </c>
      <c r="C291" s="52" t="s">
        <v>242</v>
      </c>
      <c r="E291" s="37">
        <f>MIN(I291,K291,M291,O291,Q291)</f>
        <v>783.58500000000004</v>
      </c>
      <c r="F291" s="37">
        <f>AVERAGE(I291,K291,M291,O291,Q291)</f>
        <v>1113.8435000000002</v>
      </c>
      <c r="G291" s="37">
        <f>MAX(I291,K291,M291,O291,Q291)</f>
        <v>1304.6000000000001</v>
      </c>
      <c r="I291" s="38">
        <f t="shared" si="65"/>
        <v>783.58500000000004</v>
      </c>
      <c r="K291" s="38">
        <f t="shared" si="66"/>
        <v>996.97400000000016</v>
      </c>
      <c r="M291" s="38">
        <f t="shared" si="67"/>
        <v>1275.1200000000001</v>
      </c>
      <c r="O291" s="38">
        <f t="shared" si="68"/>
        <v>1208.9385</v>
      </c>
      <c r="Q291" s="38">
        <f t="shared" si="69"/>
        <v>1304.6000000000001</v>
      </c>
      <c r="S291" s="38">
        <v>712.35</v>
      </c>
      <c r="T291" s="38">
        <v>906.34</v>
      </c>
      <c r="U291" s="38">
        <v>1159.2</v>
      </c>
      <c r="V291" s="38">
        <v>1099.0349999999999</v>
      </c>
      <c r="W291" s="38">
        <v>1186</v>
      </c>
    </row>
    <row r="292" spans="1:23" ht="62.1" outlineLevel="2">
      <c r="A292" s="52" t="s">
        <v>2140</v>
      </c>
      <c r="B292" s="70" t="s">
        <v>2141</v>
      </c>
      <c r="C292" s="52" t="s">
        <v>242</v>
      </c>
      <c r="E292" s="37">
        <f>MIN(I292,K292,M292,O292,Q292)</f>
        <v>602.42600000000004</v>
      </c>
      <c r="F292" s="37">
        <f>AVERAGE(I292,K292,M292,O292,Q292)</f>
        <v>884.23920200000009</v>
      </c>
      <c r="G292" s="37">
        <f>MAX(I292,K292,M292,O292,Q292)</f>
        <v>1146.5190000000002</v>
      </c>
      <c r="I292" s="38">
        <f t="shared" si="65"/>
        <v>602.42600000000004</v>
      </c>
      <c r="K292" s="38">
        <f t="shared" si="66"/>
        <v>868.51599999999996</v>
      </c>
      <c r="M292" s="38">
        <f t="shared" si="67"/>
        <v>1146.5190000000002</v>
      </c>
      <c r="O292" s="38">
        <f t="shared" si="68"/>
        <v>956.7350100000001</v>
      </c>
      <c r="Q292" s="38">
        <f t="shared" si="69"/>
        <v>847.00000000000011</v>
      </c>
      <c r="S292" s="38">
        <v>547.66</v>
      </c>
      <c r="T292" s="38">
        <v>789.56</v>
      </c>
      <c r="U292" s="38">
        <v>1042.2900000000002</v>
      </c>
      <c r="V292" s="38">
        <v>869.75909999999999</v>
      </c>
      <c r="W292" s="38">
        <v>770</v>
      </c>
    </row>
    <row r="293" spans="1:23" ht="15" outlineLevel="1">
      <c r="A293" s="31" t="s">
        <v>2142</v>
      </c>
      <c r="B293" s="71" t="s">
        <v>2143</v>
      </c>
      <c r="C293" s="31"/>
      <c r="I293" t="str">
        <f t="shared" si="65"/>
        <v/>
      </c>
      <c r="K293" t="str">
        <f t="shared" si="66"/>
        <v/>
      </c>
      <c r="M293" t="str">
        <f t="shared" si="67"/>
        <v/>
      </c>
      <c r="O293" t="str">
        <f t="shared" si="68"/>
        <v/>
      </c>
      <c r="Q293" t="str">
        <f t="shared" si="69"/>
        <v/>
      </c>
      <c r="T293"/>
      <c r="U293"/>
      <c r="V293"/>
      <c r="W293"/>
    </row>
    <row r="294" spans="1:23" ht="93" outlineLevel="2">
      <c r="A294" s="52" t="s">
        <v>2144</v>
      </c>
      <c r="B294" s="70" t="s">
        <v>2145</v>
      </c>
      <c r="C294" s="52" t="s">
        <v>242</v>
      </c>
      <c r="E294" s="37">
        <f>MIN(I294,K294,M294,O294,Q294)</f>
        <v>286.34100000000001</v>
      </c>
      <c r="F294" s="37">
        <f>AVERAGE(I294,K294,M294,O294,Q294)</f>
        <v>476.18872399999998</v>
      </c>
      <c r="G294" s="37">
        <f>MAX(I294,K294,M294,O294,Q294)</f>
        <v>620.40000000000009</v>
      </c>
      <c r="I294" s="38">
        <f t="shared" si="65"/>
        <v>286.34100000000001</v>
      </c>
      <c r="K294" s="38">
        <f t="shared" si="66"/>
        <v>473.77000000000004</v>
      </c>
      <c r="M294" s="38">
        <f t="shared" si="67"/>
        <v>544.84055999999998</v>
      </c>
      <c r="O294" s="38">
        <f t="shared" si="68"/>
        <v>455.59205999999995</v>
      </c>
      <c r="Q294" s="38">
        <f t="shared" si="69"/>
        <v>620.40000000000009</v>
      </c>
      <c r="S294" s="38">
        <v>260.31</v>
      </c>
      <c r="T294" s="38">
        <v>430.7</v>
      </c>
      <c r="U294" s="38">
        <v>495.30959999999999</v>
      </c>
      <c r="V294" s="38">
        <v>414.17459999999994</v>
      </c>
      <c r="W294" s="38">
        <v>564</v>
      </c>
    </row>
    <row r="295" spans="1:23" ht="77.45" outlineLevel="2">
      <c r="A295" s="52" t="s">
        <v>2146</v>
      </c>
      <c r="B295" s="70" t="s">
        <v>2147</v>
      </c>
      <c r="C295" s="52" t="s">
        <v>242</v>
      </c>
      <c r="E295" s="37">
        <f>MIN(I295,K295,M295,O295,Q295)</f>
        <v>333.399</v>
      </c>
      <c r="F295" s="37">
        <f>AVERAGE(I295,K295,M295,O295,Q295)</f>
        <v>553.995992</v>
      </c>
      <c r="G295" s="37">
        <f>MAX(I295,K295,M295,O295,Q295)</f>
        <v>721.6</v>
      </c>
      <c r="I295" s="38">
        <f t="shared" si="65"/>
        <v>333.399</v>
      </c>
      <c r="K295" s="38">
        <f t="shared" si="66"/>
        <v>551.62800000000004</v>
      </c>
      <c r="M295" s="38">
        <f t="shared" si="67"/>
        <v>634.37220000000002</v>
      </c>
      <c r="O295" s="38">
        <f t="shared" si="68"/>
        <v>528.98076000000003</v>
      </c>
      <c r="Q295" s="38">
        <f t="shared" si="69"/>
        <v>721.6</v>
      </c>
      <c r="S295" s="38">
        <v>303.08999999999997</v>
      </c>
      <c r="T295" s="38">
        <v>501.48</v>
      </c>
      <c r="U295" s="38">
        <v>576.702</v>
      </c>
      <c r="V295" s="38">
        <v>480.89159999999998</v>
      </c>
      <c r="W295" s="38">
        <v>656</v>
      </c>
    </row>
    <row r="296" spans="1:23" ht="93" outlineLevel="2">
      <c r="A296" s="52" t="s">
        <v>2148</v>
      </c>
      <c r="B296" s="70" t="s">
        <v>2149</v>
      </c>
      <c r="C296" s="52" t="s">
        <v>242</v>
      </c>
      <c r="E296" s="37">
        <f>MIN(I296,K296,M296,O296,Q296)</f>
        <v>291.44499999999999</v>
      </c>
      <c r="F296" s="37">
        <f>AVERAGE(I296,K296,M296,O296,Q296)</f>
        <v>484.52301150000005</v>
      </c>
      <c r="G296" s="37">
        <f>MAX(I296,K296,M296,O296,Q296)</f>
        <v>620.40000000000009</v>
      </c>
      <c r="I296" s="38">
        <f t="shared" si="65"/>
        <v>291.44499999999999</v>
      </c>
      <c r="K296" s="38">
        <f t="shared" si="66"/>
        <v>494.14200000000005</v>
      </c>
      <c r="M296" s="38">
        <f t="shared" si="67"/>
        <v>554.40398750000008</v>
      </c>
      <c r="O296" s="38">
        <f t="shared" si="68"/>
        <v>462.22407000000004</v>
      </c>
      <c r="Q296" s="38">
        <f t="shared" si="69"/>
        <v>620.40000000000009</v>
      </c>
      <c r="S296" s="38">
        <v>264.95</v>
      </c>
      <c r="T296" s="38">
        <v>449.22</v>
      </c>
      <c r="U296" s="38">
        <v>504.003625</v>
      </c>
      <c r="V296" s="38">
        <v>420.20370000000003</v>
      </c>
      <c r="W296" s="38">
        <v>564</v>
      </c>
    </row>
    <row r="297" spans="1:23" ht="93" outlineLevel="2">
      <c r="A297" s="52" t="s">
        <v>2150</v>
      </c>
      <c r="B297" s="70" t="s">
        <v>2151</v>
      </c>
      <c r="C297" s="52" t="s">
        <v>242</v>
      </c>
      <c r="E297" s="37">
        <f>MIN(I297,K297,M297,O297,Q297)</f>
        <v>343.36500000000001</v>
      </c>
      <c r="F297" s="37">
        <f>AVERAGE(I297,K297,M297,O297,Q297)</f>
        <v>552.82328200000006</v>
      </c>
      <c r="G297" s="37">
        <f>MAX(I297,K297,M297,O297,Q297)</f>
        <v>721.6</v>
      </c>
      <c r="I297" s="38">
        <f t="shared" si="65"/>
        <v>343.36500000000001</v>
      </c>
      <c r="K297" s="38">
        <f t="shared" si="66"/>
        <v>582.47199999999998</v>
      </c>
      <c r="M297" s="38">
        <f t="shared" si="67"/>
        <v>653.49900000000014</v>
      </c>
      <c r="O297" s="38">
        <f t="shared" si="68"/>
        <v>463.18040999999999</v>
      </c>
      <c r="Q297" s="38">
        <f t="shared" si="69"/>
        <v>721.6</v>
      </c>
      <c r="S297" s="38">
        <v>312.14999999999998</v>
      </c>
      <c r="T297" s="38">
        <v>529.52</v>
      </c>
      <c r="U297" s="38">
        <v>594.09</v>
      </c>
      <c r="V297" s="38">
        <v>421.07309999999995</v>
      </c>
      <c r="W297" s="38">
        <v>656</v>
      </c>
    </row>
    <row r="298" spans="1:23" ht="15" outlineLevel="1">
      <c r="A298" s="31" t="s">
        <v>2152</v>
      </c>
      <c r="B298" s="71" t="s">
        <v>2153</v>
      </c>
      <c r="C298" s="31"/>
      <c r="I298" t="str">
        <f t="shared" si="65"/>
        <v/>
      </c>
      <c r="K298" t="str">
        <f t="shared" si="66"/>
        <v/>
      </c>
      <c r="M298" t="str">
        <f t="shared" si="67"/>
        <v/>
      </c>
      <c r="O298" t="str">
        <f t="shared" si="68"/>
        <v/>
      </c>
      <c r="Q298" t="str">
        <f t="shared" si="69"/>
        <v/>
      </c>
      <c r="T298"/>
      <c r="U298"/>
      <c r="V298"/>
      <c r="W298"/>
    </row>
    <row r="299" spans="1:23" ht="30.95" outlineLevel="2">
      <c r="A299" s="52" t="s">
        <v>2154</v>
      </c>
      <c r="B299" s="70" t="s">
        <v>2155</v>
      </c>
      <c r="C299" s="52" t="s">
        <v>242</v>
      </c>
      <c r="E299" s="37">
        <f t="shared" ref="E299:E310" si="76">MIN(I299,K299,M299,O299,Q299)</f>
        <v>202.89500000000001</v>
      </c>
      <c r="F299" s="37">
        <f t="shared" ref="F299:F310" si="77">AVERAGE(I299,K299,M299,O299,Q299)</f>
        <v>228.30390000000003</v>
      </c>
      <c r="G299" s="37">
        <f t="shared" ref="G299:G310" si="78">MAX(I299,K299,M299,O299,Q299)</f>
        <v>261.8</v>
      </c>
      <c r="I299" s="38">
        <f t="shared" si="65"/>
        <v>241.83500000000001</v>
      </c>
      <c r="K299" s="38">
        <f t="shared" si="66"/>
        <v>204.99600000000004</v>
      </c>
      <c r="M299" s="38">
        <f t="shared" si="67"/>
        <v>229.99350000000004</v>
      </c>
      <c r="O299" s="38">
        <f t="shared" si="68"/>
        <v>202.89500000000001</v>
      </c>
      <c r="Q299" s="38">
        <f t="shared" si="69"/>
        <v>261.8</v>
      </c>
      <c r="S299" s="38">
        <v>219.85</v>
      </c>
      <c r="T299" s="38">
        <v>186.36</v>
      </c>
      <c r="U299" s="38">
        <v>209.08500000000001</v>
      </c>
      <c r="V299" s="38">
        <v>184.45</v>
      </c>
      <c r="W299" s="38">
        <v>238</v>
      </c>
    </row>
    <row r="300" spans="1:23" ht="30.95" outlineLevel="2">
      <c r="A300" s="52" t="s">
        <v>2156</v>
      </c>
      <c r="B300" s="70" t="s">
        <v>2157</v>
      </c>
      <c r="C300" s="52" t="s">
        <v>242</v>
      </c>
      <c r="E300" s="37">
        <f t="shared" si="76"/>
        <v>352.53900000000004</v>
      </c>
      <c r="F300" s="37">
        <f t="shared" si="77"/>
        <v>588.77414199999998</v>
      </c>
      <c r="G300" s="37">
        <f t="shared" si="78"/>
        <v>763.40000000000009</v>
      </c>
      <c r="I300" s="38">
        <f t="shared" si="65"/>
        <v>352.53900000000004</v>
      </c>
      <c r="K300" s="38">
        <f t="shared" si="66"/>
        <v>597.89400000000001</v>
      </c>
      <c r="M300" s="38">
        <f t="shared" si="67"/>
        <v>670.80750000000012</v>
      </c>
      <c r="O300" s="38">
        <f t="shared" si="68"/>
        <v>559.23021000000006</v>
      </c>
      <c r="Q300" s="38">
        <f t="shared" si="69"/>
        <v>763.40000000000009</v>
      </c>
      <c r="S300" s="38">
        <v>320.49</v>
      </c>
      <c r="T300" s="38">
        <v>543.54</v>
      </c>
      <c r="U300" s="38">
        <v>609.82500000000005</v>
      </c>
      <c r="V300" s="38">
        <v>508.39109999999999</v>
      </c>
      <c r="W300" s="38">
        <v>694</v>
      </c>
    </row>
    <row r="301" spans="1:23" ht="30.95" outlineLevel="2">
      <c r="A301" s="52" t="s">
        <v>2158</v>
      </c>
      <c r="B301" s="70" t="s">
        <v>2159</v>
      </c>
      <c r="C301" s="52" t="s">
        <v>242</v>
      </c>
      <c r="E301" s="37">
        <f t="shared" si="76"/>
        <v>467.07100000000003</v>
      </c>
      <c r="F301" s="37">
        <f t="shared" si="77"/>
        <v>775.83228800000018</v>
      </c>
      <c r="G301" s="37">
        <f t="shared" si="78"/>
        <v>1009.8000000000001</v>
      </c>
      <c r="I301" s="38">
        <f t="shared" si="65"/>
        <v>467.07100000000003</v>
      </c>
      <c r="K301" s="38">
        <f t="shared" si="66"/>
        <v>772.75000000000011</v>
      </c>
      <c r="M301" s="38">
        <f t="shared" si="67"/>
        <v>888.66800000000012</v>
      </c>
      <c r="O301" s="38">
        <f t="shared" si="68"/>
        <v>740.8724400000001</v>
      </c>
      <c r="Q301" s="38">
        <f t="shared" si="69"/>
        <v>1009.8000000000001</v>
      </c>
      <c r="S301" s="38">
        <v>424.61</v>
      </c>
      <c r="T301" s="38">
        <v>702.5</v>
      </c>
      <c r="U301" s="38">
        <v>807.88</v>
      </c>
      <c r="V301" s="38">
        <v>673.5204</v>
      </c>
      <c r="W301" s="38">
        <v>918</v>
      </c>
    </row>
    <row r="302" spans="1:23" ht="30.95" outlineLevel="2">
      <c r="A302" s="52" t="s">
        <v>2160</v>
      </c>
      <c r="B302" s="70" t="s">
        <v>2161</v>
      </c>
      <c r="C302" s="52" t="s">
        <v>242</v>
      </c>
      <c r="E302" s="37">
        <f t="shared" si="76"/>
        <v>578.41300000000012</v>
      </c>
      <c r="F302" s="37">
        <f t="shared" si="77"/>
        <v>937.336994</v>
      </c>
      <c r="G302" s="37">
        <f t="shared" si="78"/>
        <v>1108.8000000000002</v>
      </c>
      <c r="I302" s="38">
        <f t="shared" si="65"/>
        <v>578.41300000000012</v>
      </c>
      <c r="K302" s="38">
        <f t="shared" si="66"/>
        <v>981.09</v>
      </c>
      <c r="M302" s="38">
        <f t="shared" si="67"/>
        <v>1100.73216</v>
      </c>
      <c r="O302" s="38">
        <f t="shared" si="68"/>
        <v>917.64981</v>
      </c>
      <c r="Q302" s="38">
        <f t="shared" si="69"/>
        <v>1108.8000000000002</v>
      </c>
      <c r="S302" s="38">
        <v>525.83000000000004</v>
      </c>
      <c r="T302" s="38">
        <v>891.9</v>
      </c>
      <c r="U302" s="38">
        <v>1000.6655999999999</v>
      </c>
      <c r="V302" s="38">
        <v>834.22709999999995</v>
      </c>
      <c r="W302" s="38">
        <v>1008</v>
      </c>
    </row>
    <row r="303" spans="1:23" ht="30.95" outlineLevel="2">
      <c r="A303" s="52" t="s">
        <v>2162</v>
      </c>
      <c r="B303" s="70" t="s">
        <v>2163</v>
      </c>
      <c r="C303" s="52" t="s">
        <v>242</v>
      </c>
      <c r="E303" s="37">
        <f t="shared" si="76"/>
        <v>806.68500000000006</v>
      </c>
      <c r="F303" s="37">
        <f t="shared" si="77"/>
        <v>1300.2790680000003</v>
      </c>
      <c r="G303" s="37">
        <f t="shared" si="78"/>
        <v>1544.4</v>
      </c>
      <c r="I303" s="38">
        <f t="shared" si="65"/>
        <v>806.68500000000006</v>
      </c>
      <c r="K303" s="38">
        <f t="shared" si="66"/>
        <v>1335.0480000000002</v>
      </c>
      <c r="M303" s="38">
        <f t="shared" si="67"/>
        <v>1535.3052000000002</v>
      </c>
      <c r="O303" s="38">
        <f t="shared" si="68"/>
        <v>1279.95714</v>
      </c>
      <c r="Q303" s="38">
        <f t="shared" si="69"/>
        <v>1544.4</v>
      </c>
      <c r="S303" s="38">
        <v>733.35</v>
      </c>
      <c r="T303" s="38">
        <v>1213.68</v>
      </c>
      <c r="U303" s="38">
        <v>1395.7320000000002</v>
      </c>
      <c r="V303" s="38">
        <v>1163.5973999999999</v>
      </c>
      <c r="W303" s="38">
        <v>1404</v>
      </c>
    </row>
    <row r="304" spans="1:23" ht="30.95" outlineLevel="2">
      <c r="A304" s="52" t="s">
        <v>2164</v>
      </c>
      <c r="B304" s="70" t="s">
        <v>2165</v>
      </c>
      <c r="C304" s="52" t="s">
        <v>242</v>
      </c>
      <c r="E304" s="37">
        <f t="shared" si="76"/>
        <v>1031.9540000000002</v>
      </c>
      <c r="F304" s="37">
        <f t="shared" si="77"/>
        <v>1663.8084540000004</v>
      </c>
      <c r="G304" s="37">
        <f t="shared" si="78"/>
        <v>1977.8000000000002</v>
      </c>
      <c r="I304" s="38">
        <f t="shared" si="65"/>
        <v>1031.9540000000002</v>
      </c>
      <c r="K304" s="38">
        <f t="shared" si="66"/>
        <v>1707.8600000000001</v>
      </c>
      <c r="M304" s="38">
        <f t="shared" si="67"/>
        <v>1964.0494500000004</v>
      </c>
      <c r="O304" s="38">
        <f t="shared" si="68"/>
        <v>1637.3788200000001</v>
      </c>
      <c r="Q304" s="38">
        <f t="shared" si="69"/>
        <v>1977.8000000000002</v>
      </c>
      <c r="S304" s="38">
        <v>938.14</v>
      </c>
      <c r="T304" s="38">
        <v>1552.6</v>
      </c>
      <c r="U304" s="38">
        <v>1785.4995000000004</v>
      </c>
      <c r="V304" s="38">
        <v>1488.5262</v>
      </c>
      <c r="W304" s="38">
        <v>1798</v>
      </c>
    </row>
    <row r="305" spans="1:23" ht="46.5" outlineLevel="2">
      <c r="A305" s="52" t="s">
        <v>2166</v>
      </c>
      <c r="B305" s="70" t="s">
        <v>2167</v>
      </c>
      <c r="C305" s="52" t="s">
        <v>242</v>
      </c>
      <c r="E305" s="37">
        <f t="shared" si="76"/>
        <v>487.33300000000003</v>
      </c>
      <c r="F305" s="37">
        <f t="shared" si="77"/>
        <v>748.08641599999999</v>
      </c>
      <c r="G305" s="37">
        <f t="shared" si="78"/>
        <v>927.37656000000015</v>
      </c>
      <c r="I305" s="38">
        <f t="shared" si="65"/>
        <v>487.33300000000003</v>
      </c>
      <c r="K305" s="38">
        <f t="shared" si="66"/>
        <v>826.58400000000017</v>
      </c>
      <c r="M305" s="38">
        <f t="shared" si="67"/>
        <v>927.37656000000015</v>
      </c>
      <c r="O305" s="38">
        <f t="shared" si="68"/>
        <v>773.13851999999997</v>
      </c>
      <c r="Q305" s="38">
        <f t="shared" si="69"/>
        <v>726.00000000000011</v>
      </c>
      <c r="S305" s="38">
        <v>443.03</v>
      </c>
      <c r="T305" s="38">
        <v>751.44</v>
      </c>
      <c r="U305" s="38">
        <v>843.06960000000004</v>
      </c>
      <c r="V305" s="38">
        <v>702.8531999999999</v>
      </c>
      <c r="W305" s="38">
        <v>660</v>
      </c>
    </row>
    <row r="306" spans="1:23" ht="46.5" outlineLevel="2">
      <c r="A306" s="52" t="s">
        <v>2168</v>
      </c>
      <c r="B306" s="70" t="s">
        <v>2169</v>
      </c>
      <c r="C306" s="52" t="s">
        <v>242</v>
      </c>
      <c r="E306" s="37">
        <f t="shared" si="76"/>
        <v>699.96300000000008</v>
      </c>
      <c r="F306" s="37">
        <f t="shared" si="77"/>
        <v>1103.9769620000002</v>
      </c>
      <c r="G306" s="37">
        <f t="shared" si="78"/>
        <v>1332.01475</v>
      </c>
      <c r="I306" s="38">
        <f t="shared" si="65"/>
        <v>699.96300000000008</v>
      </c>
      <c r="K306" s="38">
        <f t="shared" si="66"/>
        <v>1187.23</v>
      </c>
      <c r="M306" s="38">
        <f t="shared" si="67"/>
        <v>1332.01475</v>
      </c>
      <c r="O306" s="38">
        <f t="shared" si="68"/>
        <v>1110.4770599999999</v>
      </c>
      <c r="Q306" s="38">
        <f t="shared" si="69"/>
        <v>1190.2</v>
      </c>
      <c r="S306" s="38">
        <v>636.33000000000004</v>
      </c>
      <c r="T306" s="38">
        <v>1079.3</v>
      </c>
      <c r="U306" s="38">
        <v>1210.9224999999999</v>
      </c>
      <c r="V306" s="38">
        <v>1009.5246</v>
      </c>
      <c r="W306" s="38">
        <v>1082</v>
      </c>
    </row>
    <row r="307" spans="1:23" ht="46.5" outlineLevel="2">
      <c r="A307" s="52" t="s">
        <v>2170</v>
      </c>
      <c r="B307" s="70" t="s">
        <v>2171</v>
      </c>
      <c r="C307" s="52" t="s">
        <v>242</v>
      </c>
      <c r="E307" s="37">
        <f t="shared" si="76"/>
        <v>961.57600000000002</v>
      </c>
      <c r="F307" s="37">
        <f t="shared" si="77"/>
        <v>1464.0173900000002</v>
      </c>
      <c r="G307" s="37">
        <f t="shared" si="78"/>
        <v>1829.91875</v>
      </c>
      <c r="I307" s="38">
        <f t="shared" si="65"/>
        <v>961.57600000000002</v>
      </c>
      <c r="K307" s="38">
        <f t="shared" si="66"/>
        <v>1458.6220000000001</v>
      </c>
      <c r="M307" s="38">
        <f t="shared" si="67"/>
        <v>1829.91875</v>
      </c>
      <c r="O307" s="38">
        <f t="shared" si="68"/>
        <v>1525.5701999999999</v>
      </c>
      <c r="Q307" s="38">
        <f t="shared" si="69"/>
        <v>1544.4</v>
      </c>
      <c r="S307" s="38">
        <v>874.16</v>
      </c>
      <c r="T307" s="38">
        <v>1326.02</v>
      </c>
      <c r="U307" s="38">
        <v>1663.5625</v>
      </c>
      <c r="V307" s="38">
        <v>1386.8819999999998</v>
      </c>
      <c r="W307" s="38">
        <v>1404</v>
      </c>
    </row>
    <row r="308" spans="1:23" ht="30.95" outlineLevel="2">
      <c r="A308" s="52" t="s">
        <v>2172</v>
      </c>
      <c r="B308" s="70" t="s">
        <v>2173</v>
      </c>
      <c r="C308" s="52" t="s">
        <v>242</v>
      </c>
      <c r="E308" s="37">
        <f t="shared" si="76"/>
        <v>331.00099999999998</v>
      </c>
      <c r="F308" s="37">
        <f t="shared" si="77"/>
        <v>545.71039600000006</v>
      </c>
      <c r="G308" s="37">
        <f t="shared" si="78"/>
        <v>800.80000000000007</v>
      </c>
      <c r="I308" s="38">
        <f t="shared" si="65"/>
        <v>331.00099999999998</v>
      </c>
      <c r="K308" s="38">
        <f t="shared" si="66"/>
        <v>561.50599999999997</v>
      </c>
      <c r="M308" s="38">
        <f t="shared" si="67"/>
        <v>510.04800000000006</v>
      </c>
      <c r="O308" s="38">
        <f t="shared" si="68"/>
        <v>525.19698000000005</v>
      </c>
      <c r="Q308" s="38">
        <f t="shared" si="69"/>
        <v>800.80000000000007</v>
      </c>
      <c r="S308" s="38">
        <v>300.90999999999997</v>
      </c>
      <c r="T308" s="38">
        <v>510.46</v>
      </c>
      <c r="U308" s="38">
        <v>463.68</v>
      </c>
      <c r="V308" s="38">
        <v>477.45179999999999</v>
      </c>
      <c r="W308" s="38">
        <v>728</v>
      </c>
    </row>
    <row r="309" spans="1:23" ht="46.5" outlineLevel="2">
      <c r="A309" s="52" t="s">
        <v>2174</v>
      </c>
      <c r="B309" s="70" t="s">
        <v>2175</v>
      </c>
      <c r="C309" s="52" t="s">
        <v>242</v>
      </c>
      <c r="E309" s="37">
        <f t="shared" si="76"/>
        <v>453.03500000000003</v>
      </c>
      <c r="F309" s="37">
        <f t="shared" si="77"/>
        <v>766.25065000000006</v>
      </c>
      <c r="G309" s="37">
        <f t="shared" si="78"/>
        <v>1214.4000000000001</v>
      </c>
      <c r="I309" s="38">
        <f t="shared" si="65"/>
        <v>453.03500000000003</v>
      </c>
      <c r="K309" s="38">
        <f t="shared" si="66"/>
        <v>749.7600000000001</v>
      </c>
      <c r="M309" s="38">
        <f t="shared" si="67"/>
        <v>695.24400000000003</v>
      </c>
      <c r="O309" s="38">
        <f t="shared" si="68"/>
        <v>718.81425000000002</v>
      </c>
      <c r="Q309" s="38">
        <f t="shared" si="69"/>
        <v>1214.4000000000001</v>
      </c>
      <c r="S309" s="38">
        <v>411.84999999999997</v>
      </c>
      <c r="T309" s="38">
        <v>681.6</v>
      </c>
      <c r="U309" s="38">
        <v>632.04</v>
      </c>
      <c r="V309" s="38">
        <v>653.46749999999997</v>
      </c>
      <c r="W309" s="38">
        <v>1104</v>
      </c>
    </row>
    <row r="310" spans="1:23" ht="46.5" outlineLevel="2">
      <c r="A310" s="52" t="s">
        <v>2176</v>
      </c>
      <c r="B310" s="70" t="s">
        <v>2177</v>
      </c>
      <c r="C310" s="52" t="s">
        <v>242</v>
      </c>
      <c r="E310" s="37">
        <f t="shared" si="76"/>
        <v>465.26700000000005</v>
      </c>
      <c r="F310" s="37">
        <f t="shared" si="77"/>
        <v>582.30919999999992</v>
      </c>
      <c r="G310" s="37">
        <f t="shared" si="78"/>
        <v>836.00000000000011</v>
      </c>
      <c r="I310" s="38">
        <f t="shared" si="65"/>
        <v>603.779</v>
      </c>
      <c r="K310" s="38">
        <f t="shared" si="66"/>
        <v>499.62</v>
      </c>
      <c r="M310" s="38">
        <f t="shared" si="67"/>
        <v>465.26700000000005</v>
      </c>
      <c r="O310" s="38">
        <f t="shared" si="68"/>
        <v>506.88000000000005</v>
      </c>
      <c r="Q310" s="38">
        <f t="shared" si="69"/>
        <v>836.00000000000011</v>
      </c>
      <c r="S310" s="38">
        <v>548.89</v>
      </c>
      <c r="T310" s="38">
        <v>454.2</v>
      </c>
      <c r="U310" s="38">
        <v>422.97</v>
      </c>
      <c r="V310" s="38">
        <v>460.8</v>
      </c>
      <c r="W310" s="38">
        <v>760</v>
      </c>
    </row>
    <row r="311" spans="1:23" ht="15" outlineLevel="1">
      <c r="A311" s="31" t="s">
        <v>2178</v>
      </c>
      <c r="B311" s="71" t="s">
        <v>2179</v>
      </c>
      <c r="C311" s="31"/>
      <c r="I311" t="str">
        <f t="shared" si="65"/>
        <v/>
      </c>
      <c r="K311" t="str">
        <f t="shared" si="66"/>
        <v/>
      </c>
      <c r="M311" t="str">
        <f t="shared" si="67"/>
        <v/>
      </c>
      <c r="O311" t="str">
        <f t="shared" si="68"/>
        <v/>
      </c>
      <c r="Q311" t="str">
        <f t="shared" si="69"/>
        <v/>
      </c>
      <c r="T311"/>
      <c r="U311"/>
      <c r="V311"/>
      <c r="W311"/>
    </row>
    <row r="312" spans="1:23" ht="30.95" outlineLevel="2">
      <c r="A312" s="74" t="s">
        <v>2180</v>
      </c>
      <c r="B312" s="70" t="s">
        <v>2181</v>
      </c>
      <c r="C312" s="74" t="s">
        <v>242</v>
      </c>
      <c r="E312" s="37">
        <f t="shared" ref="E312:E318" si="79">MIN(I312,K312,M312,O312,Q312)</f>
        <v>208.97800000000001</v>
      </c>
      <c r="F312" s="37">
        <f t="shared" ref="F312:F318" si="80">AVERAGE(I312,K312,M312,O312,Q312)</f>
        <v>637.18263400000001</v>
      </c>
      <c r="G312" s="37">
        <f t="shared" ref="G312:G318" si="81">MAX(I312,K312,M312,O312,Q312)</f>
        <v>807.40000000000009</v>
      </c>
      <c r="I312" s="38">
        <f t="shared" si="65"/>
        <v>208.97800000000001</v>
      </c>
      <c r="K312" s="38">
        <f t="shared" si="66"/>
        <v>697.88400000000013</v>
      </c>
      <c r="M312" s="38">
        <f t="shared" si="67"/>
        <v>802.56660000000011</v>
      </c>
      <c r="O312" s="38">
        <f t="shared" si="68"/>
        <v>669.08456999999999</v>
      </c>
      <c r="Q312" s="38">
        <f t="shared" si="69"/>
        <v>807.40000000000009</v>
      </c>
      <c r="S312" s="38">
        <v>189.98</v>
      </c>
      <c r="T312" s="38">
        <v>634.44000000000005</v>
      </c>
      <c r="U312" s="38">
        <v>729.60599999999999</v>
      </c>
      <c r="V312" s="38">
        <v>608.25869999999998</v>
      </c>
      <c r="W312" s="38">
        <v>734</v>
      </c>
    </row>
    <row r="313" spans="1:23" ht="30.95" outlineLevel="2">
      <c r="A313" s="52" t="s">
        <v>2182</v>
      </c>
      <c r="B313" s="70" t="s">
        <v>2183</v>
      </c>
      <c r="C313" s="52" t="s">
        <v>242</v>
      </c>
      <c r="E313" s="37">
        <f t="shared" si="79"/>
        <v>384.43900000000002</v>
      </c>
      <c r="F313" s="37">
        <f t="shared" si="80"/>
        <v>1091.7758940000001</v>
      </c>
      <c r="G313" s="37">
        <f t="shared" si="81"/>
        <v>1403.6000000000001</v>
      </c>
      <c r="I313" s="38">
        <f t="shared" si="65"/>
        <v>384.43900000000002</v>
      </c>
      <c r="K313" s="38">
        <f t="shared" si="66"/>
        <v>1112.2320000000002</v>
      </c>
      <c r="M313" s="38">
        <f t="shared" si="67"/>
        <v>1395.3456000000001</v>
      </c>
      <c r="O313" s="38">
        <f t="shared" si="68"/>
        <v>1163.2628699999998</v>
      </c>
      <c r="Q313" s="38">
        <f t="shared" si="69"/>
        <v>1403.6000000000001</v>
      </c>
      <c r="S313" s="38">
        <v>349.49</v>
      </c>
      <c r="T313" s="38">
        <v>1011.12</v>
      </c>
      <c r="U313" s="38">
        <v>1268.4960000000001</v>
      </c>
      <c r="V313" s="38">
        <v>1057.5116999999998</v>
      </c>
      <c r="W313" s="38">
        <v>1276</v>
      </c>
    </row>
    <row r="314" spans="1:23" ht="30.95" outlineLevel="2">
      <c r="A314" s="52" t="s">
        <v>2184</v>
      </c>
      <c r="B314" s="70" t="s">
        <v>2185</v>
      </c>
      <c r="C314" s="52" t="s">
        <v>242</v>
      </c>
      <c r="E314" s="37">
        <f t="shared" si="79"/>
        <v>1352.9670000000001</v>
      </c>
      <c r="F314" s="37">
        <f t="shared" si="80"/>
        <v>2143.774864</v>
      </c>
      <c r="G314" s="37">
        <f t="shared" si="81"/>
        <v>2591.6000000000004</v>
      </c>
      <c r="I314" s="38">
        <f t="shared" si="65"/>
        <v>1352.9670000000001</v>
      </c>
      <c r="K314" s="38">
        <f t="shared" si="66"/>
        <v>2052.556</v>
      </c>
      <c r="M314" s="38">
        <f t="shared" si="67"/>
        <v>2575.0175000000004</v>
      </c>
      <c r="O314" s="38">
        <f t="shared" si="68"/>
        <v>2146.7338199999999</v>
      </c>
      <c r="Q314" s="38">
        <f t="shared" si="69"/>
        <v>2591.6000000000004</v>
      </c>
      <c r="S314" s="38">
        <v>1229.97</v>
      </c>
      <c r="T314" s="38">
        <v>1865.96</v>
      </c>
      <c r="U314" s="38">
        <v>2340.9250000000002</v>
      </c>
      <c r="V314" s="38">
        <v>1951.5761999999997</v>
      </c>
      <c r="W314" s="38">
        <v>2356</v>
      </c>
    </row>
    <row r="315" spans="1:23" ht="15.6" outlineLevel="2">
      <c r="A315" s="52" t="s">
        <v>2186</v>
      </c>
      <c r="B315" s="70" t="s">
        <v>2187</v>
      </c>
      <c r="C315" s="52" t="s">
        <v>242</v>
      </c>
      <c r="E315" s="37">
        <f t="shared" si="79"/>
        <v>370.084</v>
      </c>
      <c r="F315" s="37">
        <f t="shared" si="80"/>
        <v>588.26495200000011</v>
      </c>
      <c r="G315" s="37">
        <f t="shared" si="81"/>
        <v>800.80000000000007</v>
      </c>
      <c r="I315" s="38">
        <f t="shared" si="65"/>
        <v>370.084</v>
      </c>
      <c r="K315" s="38">
        <f t="shared" si="66"/>
        <v>612.48</v>
      </c>
      <c r="M315" s="38">
        <f t="shared" si="67"/>
        <v>570.76800000000003</v>
      </c>
      <c r="O315" s="38">
        <f t="shared" si="68"/>
        <v>587.19276000000002</v>
      </c>
      <c r="Q315" s="38">
        <f t="shared" si="69"/>
        <v>800.80000000000007</v>
      </c>
      <c r="S315" s="38">
        <v>336.44</v>
      </c>
      <c r="T315" s="38">
        <v>556.79999999999995</v>
      </c>
      <c r="U315" s="38">
        <v>518.88</v>
      </c>
      <c r="V315" s="38">
        <v>533.8116</v>
      </c>
      <c r="W315" s="38">
        <v>728</v>
      </c>
    </row>
    <row r="316" spans="1:23" ht="15.6" outlineLevel="2">
      <c r="A316" s="52" t="s">
        <v>2188</v>
      </c>
      <c r="B316" s="70" t="s">
        <v>2189</v>
      </c>
      <c r="C316" s="52" t="s">
        <v>242</v>
      </c>
      <c r="E316" s="37">
        <f t="shared" si="79"/>
        <v>562.298</v>
      </c>
      <c r="F316" s="37">
        <f t="shared" si="80"/>
        <v>864.81416999999999</v>
      </c>
      <c r="G316" s="37">
        <f t="shared" si="81"/>
        <v>1216.6000000000001</v>
      </c>
      <c r="I316" s="38">
        <f t="shared" si="65"/>
        <v>562.298</v>
      </c>
      <c r="K316" s="38">
        <f t="shared" si="66"/>
        <v>787.71</v>
      </c>
      <c r="M316" s="38">
        <f t="shared" si="67"/>
        <v>865.2600000000001</v>
      </c>
      <c r="O316" s="38">
        <f t="shared" si="68"/>
        <v>892.20285000000001</v>
      </c>
      <c r="Q316" s="38">
        <f t="shared" si="69"/>
        <v>1216.6000000000001</v>
      </c>
      <c r="S316" s="38">
        <v>511.18</v>
      </c>
      <c r="T316" s="38">
        <v>716.1</v>
      </c>
      <c r="U316" s="38">
        <v>786.6</v>
      </c>
      <c r="V316" s="38">
        <v>811.09349999999995</v>
      </c>
      <c r="W316" s="38">
        <v>1106</v>
      </c>
    </row>
    <row r="317" spans="1:23" ht="15.6" outlineLevel="2">
      <c r="A317" s="52" t="s">
        <v>2190</v>
      </c>
      <c r="B317" s="70" t="s">
        <v>2191</v>
      </c>
      <c r="C317" s="52" t="s">
        <v>242</v>
      </c>
      <c r="E317" s="37">
        <f t="shared" si="79"/>
        <v>586.24500000000012</v>
      </c>
      <c r="F317" s="37">
        <f t="shared" si="80"/>
        <v>711.27100000000007</v>
      </c>
      <c r="G317" s="37">
        <f t="shared" si="81"/>
        <v>836.00000000000011</v>
      </c>
      <c r="I317" s="38">
        <f t="shared" si="65"/>
        <v>772.86000000000013</v>
      </c>
      <c r="K317" s="38">
        <f t="shared" si="66"/>
        <v>586.24500000000012</v>
      </c>
      <c r="M317" s="38">
        <f t="shared" si="67"/>
        <v>595.05600000000004</v>
      </c>
      <c r="O317" s="38">
        <f t="shared" si="68"/>
        <v>766.19400000000007</v>
      </c>
      <c r="Q317" s="38">
        <f t="shared" si="69"/>
        <v>836.00000000000011</v>
      </c>
      <c r="S317" s="38">
        <v>702.6</v>
      </c>
      <c r="T317" s="38">
        <v>532.95000000000005</v>
      </c>
      <c r="U317" s="38">
        <v>540.96</v>
      </c>
      <c r="V317" s="38">
        <v>696.54</v>
      </c>
      <c r="W317" s="38">
        <v>760</v>
      </c>
    </row>
    <row r="318" spans="1:23" ht="15.6" outlineLevel="2">
      <c r="A318" s="52" t="s">
        <v>2192</v>
      </c>
      <c r="B318" s="70" t="s">
        <v>2193</v>
      </c>
      <c r="C318" s="52" t="s">
        <v>242</v>
      </c>
      <c r="E318" s="37">
        <f t="shared" si="79"/>
        <v>708.45500000000004</v>
      </c>
      <c r="F318" s="37">
        <f t="shared" si="80"/>
        <v>831.54279999999994</v>
      </c>
      <c r="G318" s="37">
        <f t="shared" si="81"/>
        <v>1010.9000000000001</v>
      </c>
      <c r="I318" s="38">
        <f t="shared" si="65"/>
        <v>933.97699999999998</v>
      </c>
      <c r="K318" s="38">
        <f t="shared" si="66"/>
        <v>708.45500000000004</v>
      </c>
      <c r="M318" s="38">
        <f t="shared" si="67"/>
        <v>720.29100000000005</v>
      </c>
      <c r="O318" s="38">
        <f t="shared" si="68"/>
        <v>784.09100000000001</v>
      </c>
      <c r="Q318" s="38">
        <f t="shared" si="69"/>
        <v>1010.9000000000001</v>
      </c>
      <c r="S318" s="38">
        <v>849.06999999999994</v>
      </c>
      <c r="T318" s="38">
        <v>644.04999999999995</v>
      </c>
      <c r="U318" s="38">
        <v>654.80999999999995</v>
      </c>
      <c r="V318" s="38">
        <v>712.81</v>
      </c>
      <c r="W318" s="38">
        <v>919</v>
      </c>
    </row>
    <row r="319" spans="1:23" ht="15" outlineLevel="1">
      <c r="A319" s="31" t="s">
        <v>2194</v>
      </c>
      <c r="B319" s="71" t="s">
        <v>2195</v>
      </c>
      <c r="C319" s="31"/>
      <c r="I319" t="str">
        <f t="shared" si="65"/>
        <v/>
      </c>
      <c r="K319" t="str">
        <f t="shared" si="66"/>
        <v/>
      </c>
      <c r="M319" t="str">
        <f t="shared" si="67"/>
        <v/>
      </c>
      <c r="O319" t="str">
        <f t="shared" si="68"/>
        <v/>
      </c>
      <c r="Q319" t="str">
        <f t="shared" si="69"/>
        <v/>
      </c>
      <c r="T319"/>
      <c r="U319"/>
      <c r="V319"/>
      <c r="W319"/>
    </row>
    <row r="320" spans="1:23" ht="46.5" outlineLevel="2">
      <c r="A320" s="52" t="s">
        <v>2196</v>
      </c>
      <c r="B320" s="70" t="s">
        <v>2197</v>
      </c>
      <c r="C320" s="52" t="s">
        <v>242</v>
      </c>
      <c r="E320" s="37">
        <f t="shared" ref="E320:E329" si="82">MIN(I320,K320,M320,O320,Q320)</f>
        <v>0</v>
      </c>
      <c r="F320" s="37">
        <f t="shared" ref="F320:F329" si="83">AVERAGE(I320,K320,M320,O320,Q320)</f>
        <v>427.37420000000003</v>
      </c>
      <c r="G320" s="37">
        <f t="shared" ref="G320:G329" si="84">MAX(I320,K320,M320,O320,Q320)</f>
        <v>893.2</v>
      </c>
      <c r="I320" s="38">
        <f t="shared" si="65"/>
        <v>241.83500000000001</v>
      </c>
      <c r="K320" s="38">
        <f t="shared" si="66"/>
        <v>513.04</v>
      </c>
      <c r="M320" s="38">
        <f t="shared" si="67"/>
        <v>488.79600000000005</v>
      </c>
      <c r="O320" s="38">
        <f t="shared" si="68"/>
        <v>0</v>
      </c>
      <c r="Q320" s="38">
        <f t="shared" si="69"/>
        <v>893.2</v>
      </c>
      <c r="S320" s="38">
        <v>219.85</v>
      </c>
      <c r="T320" s="38">
        <v>466.4</v>
      </c>
      <c r="U320" s="38">
        <v>444.36</v>
      </c>
      <c r="V320" s="38">
        <v>0</v>
      </c>
      <c r="W320" s="38">
        <v>812</v>
      </c>
    </row>
    <row r="321" spans="1:23" ht="46.5" outlineLevel="2">
      <c r="A321" s="74" t="s">
        <v>2198</v>
      </c>
      <c r="B321" s="70" t="s">
        <v>2199</v>
      </c>
      <c r="C321" s="74" t="s">
        <v>242</v>
      </c>
      <c r="E321" s="37">
        <f t="shared" si="82"/>
        <v>432.61899999999997</v>
      </c>
      <c r="F321" s="37">
        <f t="shared" si="83"/>
        <v>672.36723400000005</v>
      </c>
      <c r="G321" s="37">
        <f t="shared" si="84"/>
        <v>789.80000000000007</v>
      </c>
      <c r="I321" s="38">
        <f t="shared" si="65"/>
        <v>432.61899999999997</v>
      </c>
      <c r="K321" s="38">
        <f t="shared" si="66"/>
        <v>699.77600000000007</v>
      </c>
      <c r="M321" s="38">
        <f t="shared" si="67"/>
        <v>785.10959999999989</v>
      </c>
      <c r="O321" s="38">
        <f t="shared" si="68"/>
        <v>654.53156999999999</v>
      </c>
      <c r="Q321" s="38">
        <f t="shared" si="69"/>
        <v>789.80000000000007</v>
      </c>
      <c r="S321" s="38">
        <v>393.28999999999996</v>
      </c>
      <c r="T321" s="38">
        <v>636.16</v>
      </c>
      <c r="U321" s="38">
        <v>713.73599999999988</v>
      </c>
      <c r="V321" s="38">
        <v>595.02869999999996</v>
      </c>
      <c r="W321" s="38">
        <v>718</v>
      </c>
    </row>
    <row r="322" spans="1:23" ht="46.5" outlineLevel="2">
      <c r="A322" s="52" t="s">
        <v>2200</v>
      </c>
      <c r="B322" s="70" t="s">
        <v>2201</v>
      </c>
      <c r="C322" s="52" t="s">
        <v>242</v>
      </c>
      <c r="E322" s="37">
        <f t="shared" si="82"/>
        <v>510.45500000000004</v>
      </c>
      <c r="F322" s="37">
        <f t="shared" si="83"/>
        <v>1155.4133360000001</v>
      </c>
      <c r="G322" s="37">
        <f t="shared" si="84"/>
        <v>1421.2</v>
      </c>
      <c r="I322" s="38">
        <f t="shared" si="65"/>
        <v>510.45500000000004</v>
      </c>
      <c r="K322" s="38">
        <f t="shared" si="66"/>
        <v>1257.7840000000001</v>
      </c>
      <c r="M322" s="38">
        <f t="shared" si="67"/>
        <v>1411.1631600000003</v>
      </c>
      <c r="O322" s="38">
        <f t="shared" si="68"/>
        <v>1176.46452</v>
      </c>
      <c r="Q322" s="38">
        <f t="shared" si="69"/>
        <v>1421.2</v>
      </c>
      <c r="S322" s="38">
        <v>464.05</v>
      </c>
      <c r="T322" s="38">
        <v>1143.44</v>
      </c>
      <c r="U322" s="38">
        <v>1282.8756000000001</v>
      </c>
      <c r="V322" s="38">
        <v>1069.5131999999999</v>
      </c>
      <c r="W322" s="38">
        <v>1292</v>
      </c>
    </row>
    <row r="323" spans="1:23" ht="15.6" outlineLevel="2">
      <c r="A323" s="52" t="s">
        <v>2202</v>
      </c>
      <c r="B323" s="70" t="s">
        <v>2203</v>
      </c>
      <c r="C323" s="52" t="s">
        <v>242</v>
      </c>
      <c r="E323" s="37">
        <f t="shared" si="82"/>
        <v>426.71200000000005</v>
      </c>
      <c r="F323" s="37">
        <f t="shared" si="83"/>
        <v>681.78382799999997</v>
      </c>
      <c r="G323" s="37">
        <f t="shared" si="84"/>
        <v>924.00000000000011</v>
      </c>
      <c r="I323" s="38">
        <f t="shared" si="65"/>
        <v>426.71200000000005</v>
      </c>
      <c r="K323" s="38">
        <f t="shared" si="66"/>
        <v>723.86599999999999</v>
      </c>
      <c r="M323" s="38">
        <f t="shared" si="67"/>
        <v>657.29399999999998</v>
      </c>
      <c r="O323" s="38">
        <f t="shared" si="68"/>
        <v>677.04714000000001</v>
      </c>
      <c r="Q323" s="38">
        <f t="shared" si="69"/>
        <v>924.00000000000011</v>
      </c>
      <c r="S323" s="38">
        <v>387.92</v>
      </c>
      <c r="T323" s="38">
        <v>658.06</v>
      </c>
      <c r="U323" s="38">
        <v>597.54</v>
      </c>
      <c r="V323" s="38">
        <v>615.49739999999997</v>
      </c>
      <c r="W323" s="38">
        <v>840</v>
      </c>
    </row>
    <row r="324" spans="1:23" ht="15.6" outlineLevel="2">
      <c r="A324" s="52" t="s">
        <v>2204</v>
      </c>
      <c r="B324" s="70" t="s">
        <v>2205</v>
      </c>
      <c r="C324" s="52" t="s">
        <v>242</v>
      </c>
      <c r="E324" s="37">
        <f t="shared" si="82"/>
        <v>665.98400000000004</v>
      </c>
      <c r="F324" s="37">
        <f t="shared" si="83"/>
        <v>1063.926424</v>
      </c>
      <c r="G324" s="37">
        <f t="shared" si="84"/>
        <v>1441.0000000000002</v>
      </c>
      <c r="I324" s="38">
        <f t="shared" ref="I324:I387" si="85" xml:space="preserve"> IF(ISBLANK(S324),"",_k_EIFFAGE * S324)</f>
        <v>665.98400000000004</v>
      </c>
      <c r="K324" s="38">
        <f t="shared" ref="K324:K387" si="86" xml:space="preserve"> IF(ISBLANK(T324),"",_k_ERI * T324)</f>
        <v>1129.7660000000001</v>
      </c>
      <c r="M324" s="38">
        <f t="shared" ref="M324:M387" si="87" xml:space="preserve"> IF(ISBLANK(U324),"",_k_INEO * U324)</f>
        <v>1026.1680000000001</v>
      </c>
      <c r="O324" s="38">
        <f t="shared" ref="O324:O387" si="88" xml:space="preserve"> IF(ISBLANK(V324),"",_k_SDEL * V324)</f>
        <v>1056.7141200000001</v>
      </c>
      <c r="Q324" s="38">
        <f t="shared" ref="Q324:Q387" si="89" xml:space="preserve"> IF(ISBLANK(W324),"",_k_SOGETREL * W324)</f>
        <v>1441.0000000000002</v>
      </c>
      <c r="S324" s="38">
        <v>605.43999999999994</v>
      </c>
      <c r="T324" s="38">
        <v>1027.06</v>
      </c>
      <c r="U324" s="38">
        <v>932.88</v>
      </c>
      <c r="V324" s="38">
        <v>960.64919999999995</v>
      </c>
      <c r="W324" s="38">
        <v>1310</v>
      </c>
    </row>
    <row r="325" spans="1:23" ht="15.6" outlineLevel="2">
      <c r="A325" s="52" t="s">
        <v>2206</v>
      </c>
      <c r="B325" s="70" t="s">
        <v>2207</v>
      </c>
      <c r="C325" s="52" t="s">
        <v>242</v>
      </c>
      <c r="E325" s="37">
        <f t="shared" si="82"/>
        <v>928.38900000000012</v>
      </c>
      <c r="F325" s="37">
        <f t="shared" si="83"/>
        <v>1410.8534440000001</v>
      </c>
      <c r="G325" s="37">
        <f t="shared" si="84"/>
        <v>2008.6000000000001</v>
      </c>
      <c r="I325" s="38">
        <f t="shared" si="85"/>
        <v>928.38900000000012</v>
      </c>
      <c r="K325" s="38">
        <f t="shared" si="86"/>
        <v>1408.924</v>
      </c>
      <c r="M325" s="38">
        <f t="shared" si="87"/>
        <v>1431.4739999999999</v>
      </c>
      <c r="O325" s="38">
        <f t="shared" si="88"/>
        <v>1276.88022</v>
      </c>
      <c r="Q325" s="38">
        <f t="shared" si="89"/>
        <v>2008.6000000000001</v>
      </c>
      <c r="S325" s="38">
        <v>843.99</v>
      </c>
      <c r="T325" s="38">
        <v>1280.8399999999999</v>
      </c>
      <c r="U325" s="38">
        <v>1301.3399999999999</v>
      </c>
      <c r="V325" s="38">
        <v>1160.8001999999999</v>
      </c>
      <c r="W325" s="38">
        <v>1826</v>
      </c>
    </row>
    <row r="326" spans="1:23" ht="15.6" outlineLevel="2">
      <c r="A326" s="52" t="s">
        <v>2208</v>
      </c>
      <c r="B326" s="70" t="s">
        <v>2209</v>
      </c>
      <c r="C326" s="52" t="s">
        <v>242</v>
      </c>
      <c r="E326" s="37">
        <f t="shared" si="82"/>
        <v>1154.1090000000002</v>
      </c>
      <c r="F326" s="37">
        <f t="shared" si="83"/>
        <v>1802.8957980000002</v>
      </c>
      <c r="G326" s="37">
        <f t="shared" si="84"/>
        <v>2499.2000000000003</v>
      </c>
      <c r="I326" s="38">
        <f t="shared" si="85"/>
        <v>1154.1090000000002</v>
      </c>
      <c r="K326" s="38">
        <f t="shared" si="86"/>
        <v>1750.8700000000001</v>
      </c>
      <c r="M326" s="38">
        <f t="shared" si="87"/>
        <v>1779.096</v>
      </c>
      <c r="O326" s="38">
        <f t="shared" si="88"/>
        <v>1831.20399</v>
      </c>
      <c r="Q326" s="38">
        <f t="shared" si="89"/>
        <v>2499.2000000000003</v>
      </c>
      <c r="S326" s="38">
        <v>1049.19</v>
      </c>
      <c r="T326" s="38">
        <v>1591.7</v>
      </c>
      <c r="U326" s="38">
        <v>1617.36</v>
      </c>
      <c r="V326" s="38">
        <v>1664.7308999999998</v>
      </c>
      <c r="W326" s="38">
        <v>2272</v>
      </c>
    </row>
    <row r="327" spans="1:23" ht="46.5" outlineLevel="2">
      <c r="A327" s="52" t="s">
        <v>2210</v>
      </c>
      <c r="B327" s="70" t="s">
        <v>2211</v>
      </c>
      <c r="C327" s="52" t="s">
        <v>242</v>
      </c>
      <c r="E327" s="37">
        <f t="shared" si="82"/>
        <v>417.62599999999998</v>
      </c>
      <c r="F327" s="37">
        <f t="shared" si="83"/>
        <v>673.32262800000012</v>
      </c>
      <c r="G327" s="37">
        <f t="shared" si="84"/>
        <v>800.80000000000007</v>
      </c>
      <c r="I327" s="38">
        <f t="shared" si="85"/>
        <v>417.62599999999998</v>
      </c>
      <c r="K327" s="38">
        <f t="shared" si="86"/>
        <v>691.0200000000001</v>
      </c>
      <c r="M327" s="38">
        <f t="shared" si="87"/>
        <v>794.67300000000012</v>
      </c>
      <c r="O327" s="38">
        <f t="shared" si="88"/>
        <v>662.49414000000013</v>
      </c>
      <c r="Q327" s="38">
        <f t="shared" si="89"/>
        <v>800.80000000000007</v>
      </c>
      <c r="S327" s="38">
        <v>379.65999999999997</v>
      </c>
      <c r="T327" s="38">
        <v>628.20000000000005</v>
      </c>
      <c r="U327" s="38">
        <v>722.43000000000006</v>
      </c>
      <c r="V327" s="38">
        <v>602.26740000000007</v>
      </c>
      <c r="W327" s="38">
        <v>728</v>
      </c>
    </row>
    <row r="328" spans="1:23" ht="46.5" outlineLevel="2">
      <c r="A328" s="52" t="s">
        <v>2212</v>
      </c>
      <c r="B328" s="70" t="s">
        <v>2213</v>
      </c>
      <c r="C328" s="52" t="s">
        <v>242</v>
      </c>
      <c r="E328" s="37">
        <f t="shared" si="82"/>
        <v>751.65200000000004</v>
      </c>
      <c r="F328" s="37">
        <f t="shared" si="83"/>
        <v>1217.5972820000002</v>
      </c>
      <c r="G328" s="37">
        <f t="shared" si="84"/>
        <v>1438.8000000000002</v>
      </c>
      <c r="I328" s="38">
        <f t="shared" si="85"/>
        <v>751.65200000000004</v>
      </c>
      <c r="K328" s="38">
        <f t="shared" si="86"/>
        <v>1274.8340000000001</v>
      </c>
      <c r="M328" s="38">
        <f t="shared" si="87"/>
        <v>1430.2899600000001</v>
      </c>
      <c r="O328" s="38">
        <f t="shared" si="88"/>
        <v>1192.4104500000001</v>
      </c>
      <c r="Q328" s="38">
        <f t="shared" si="89"/>
        <v>1438.8000000000002</v>
      </c>
      <c r="S328" s="38">
        <v>683.31999999999994</v>
      </c>
      <c r="T328" s="38">
        <v>1158.94</v>
      </c>
      <c r="U328" s="38">
        <v>1300.2636</v>
      </c>
      <c r="V328" s="38">
        <v>1084.0094999999999</v>
      </c>
      <c r="W328" s="38">
        <v>1308</v>
      </c>
    </row>
    <row r="329" spans="1:23" ht="46.5" outlineLevel="2">
      <c r="A329" s="52" t="s">
        <v>2214</v>
      </c>
      <c r="B329" s="70" t="s">
        <v>2215</v>
      </c>
      <c r="C329" s="52" t="s">
        <v>242</v>
      </c>
      <c r="E329" s="37">
        <f t="shared" si="82"/>
        <v>1012.3850000000001</v>
      </c>
      <c r="F329" s="37">
        <f t="shared" si="83"/>
        <v>1236.3824000000002</v>
      </c>
      <c r="G329" s="37">
        <f t="shared" si="84"/>
        <v>1444.3000000000002</v>
      </c>
      <c r="I329" s="38">
        <f t="shared" si="85"/>
        <v>1334.6849999999999</v>
      </c>
      <c r="K329" s="38">
        <f t="shared" si="86"/>
        <v>1012.3850000000001</v>
      </c>
      <c r="M329" s="38">
        <f t="shared" si="87"/>
        <v>1270.0820000000003</v>
      </c>
      <c r="O329" s="38">
        <f t="shared" si="88"/>
        <v>1120.46</v>
      </c>
      <c r="Q329" s="38">
        <f t="shared" si="89"/>
        <v>1444.3000000000002</v>
      </c>
      <c r="S329" s="38">
        <v>1213.3499999999999</v>
      </c>
      <c r="T329" s="38">
        <v>920.35</v>
      </c>
      <c r="U329" s="38">
        <v>1154.6200000000001</v>
      </c>
      <c r="V329" s="38">
        <v>1018.6</v>
      </c>
      <c r="W329" s="38">
        <v>1313</v>
      </c>
    </row>
    <row r="330" spans="1:23" ht="15" outlineLevel="1">
      <c r="A330" s="31" t="s">
        <v>2216</v>
      </c>
      <c r="B330" s="71" t="s">
        <v>2217</v>
      </c>
      <c r="C330" s="31"/>
      <c r="I330" t="str">
        <f t="shared" si="85"/>
        <v/>
      </c>
      <c r="K330" t="str">
        <f t="shared" si="86"/>
        <v/>
      </c>
      <c r="M330" t="str">
        <f t="shared" si="87"/>
        <v/>
      </c>
      <c r="O330" t="str">
        <f t="shared" si="88"/>
        <v/>
      </c>
      <c r="Q330" t="str">
        <f t="shared" si="89"/>
        <v/>
      </c>
      <c r="T330"/>
      <c r="U330"/>
      <c r="V330"/>
      <c r="W330"/>
    </row>
    <row r="331" spans="1:23" ht="15.6" outlineLevel="2">
      <c r="A331" s="52" t="s">
        <v>2218</v>
      </c>
      <c r="B331" s="70" t="s">
        <v>2219</v>
      </c>
      <c r="C331" s="52" t="s">
        <v>242</v>
      </c>
      <c r="E331" s="37">
        <f t="shared" ref="E331:E336" si="90">MIN(I331,K331,M331,O331,Q331)</f>
        <v>121.49675999999999</v>
      </c>
      <c r="F331" s="37">
        <f t="shared" ref="F331:F336" si="91">AVERAGE(I331,K331,M331,O331,Q331)</f>
        <v>247.79735200000005</v>
      </c>
      <c r="G331" s="37">
        <f t="shared" ref="G331:G336" si="92">MAX(I331,K331,M331,O331,Q331)</f>
        <v>431.20000000000005</v>
      </c>
      <c r="I331" s="38">
        <f t="shared" si="85"/>
        <v>398.79399999999998</v>
      </c>
      <c r="K331" s="38">
        <f t="shared" si="86"/>
        <v>137.214</v>
      </c>
      <c r="M331" s="38">
        <f t="shared" si="87"/>
        <v>150.28200000000001</v>
      </c>
      <c r="O331" s="38">
        <f t="shared" si="88"/>
        <v>121.49675999999999</v>
      </c>
      <c r="Q331" s="38">
        <f t="shared" si="89"/>
        <v>431.20000000000005</v>
      </c>
      <c r="S331" s="38">
        <v>362.53999999999996</v>
      </c>
      <c r="T331" s="38">
        <v>124.74</v>
      </c>
      <c r="U331" s="38">
        <v>136.62</v>
      </c>
      <c r="V331" s="38">
        <v>110.45159999999998</v>
      </c>
      <c r="W331" s="38">
        <v>392</v>
      </c>
    </row>
    <row r="332" spans="1:23" ht="15.6" outlineLevel="2">
      <c r="A332" s="74" t="s">
        <v>2220</v>
      </c>
      <c r="B332" s="70" t="s">
        <v>2221</v>
      </c>
      <c r="C332" s="74" t="s">
        <v>242</v>
      </c>
      <c r="E332" s="37">
        <f t="shared" si="90"/>
        <v>208.01000000000002</v>
      </c>
      <c r="F332" s="37">
        <f t="shared" si="91"/>
        <v>340.073734</v>
      </c>
      <c r="G332" s="37">
        <f t="shared" si="92"/>
        <v>451.00000000000006</v>
      </c>
      <c r="I332" s="38">
        <f t="shared" si="85"/>
        <v>208.01000000000002</v>
      </c>
      <c r="K332" s="38">
        <f t="shared" si="86"/>
        <v>315.524</v>
      </c>
      <c r="M332" s="38">
        <f t="shared" si="87"/>
        <v>395.83500000000004</v>
      </c>
      <c r="O332" s="38">
        <f t="shared" si="88"/>
        <v>329.99966999999998</v>
      </c>
      <c r="Q332" s="38">
        <f t="shared" si="89"/>
        <v>451.00000000000006</v>
      </c>
      <c r="S332" s="38">
        <v>189.1</v>
      </c>
      <c r="T332" s="38">
        <v>286.83999999999997</v>
      </c>
      <c r="U332" s="38">
        <v>359.85</v>
      </c>
      <c r="V332" s="38">
        <v>299.99969999999996</v>
      </c>
      <c r="W332" s="38">
        <v>410</v>
      </c>
    </row>
    <row r="333" spans="1:23" ht="46.5" outlineLevel="2">
      <c r="A333" s="74" t="s">
        <v>2222</v>
      </c>
      <c r="B333" s="70" t="s">
        <v>2223</v>
      </c>
      <c r="C333" s="74" t="s">
        <v>242</v>
      </c>
      <c r="E333" s="37">
        <f t="shared" si="90"/>
        <v>322.38800000000003</v>
      </c>
      <c r="F333" s="37">
        <f t="shared" si="91"/>
        <v>580.09696800000006</v>
      </c>
      <c r="G333" s="37">
        <f t="shared" si="92"/>
        <v>880.44</v>
      </c>
      <c r="I333" s="38">
        <f t="shared" si="85"/>
        <v>322.38800000000003</v>
      </c>
      <c r="K333" s="38">
        <f t="shared" si="86"/>
        <v>488.90600000000001</v>
      </c>
      <c r="M333" s="38">
        <f t="shared" si="87"/>
        <v>880.44</v>
      </c>
      <c r="O333" s="38">
        <f t="shared" si="88"/>
        <v>511.35084000000001</v>
      </c>
      <c r="Q333" s="38">
        <f t="shared" si="89"/>
        <v>697.40000000000009</v>
      </c>
      <c r="S333" s="38">
        <v>293.08</v>
      </c>
      <c r="T333" s="38">
        <v>444.46</v>
      </c>
      <c r="U333" s="38">
        <v>800.4</v>
      </c>
      <c r="V333" s="38">
        <v>464.86439999999999</v>
      </c>
      <c r="W333" s="38">
        <v>634</v>
      </c>
    </row>
    <row r="334" spans="1:23" ht="46.5" outlineLevel="2">
      <c r="A334" s="74" t="s">
        <v>2224</v>
      </c>
      <c r="B334" s="70" t="s">
        <v>2225</v>
      </c>
      <c r="C334" s="74" t="s">
        <v>242</v>
      </c>
      <c r="E334" s="37">
        <f t="shared" si="90"/>
        <v>383.96600000000001</v>
      </c>
      <c r="F334" s="37">
        <f t="shared" si="91"/>
        <v>693.9780320000001</v>
      </c>
      <c r="G334" s="37">
        <f t="shared" si="92"/>
        <v>1062.6000000000001</v>
      </c>
      <c r="I334" s="38">
        <f t="shared" si="85"/>
        <v>383.96600000000001</v>
      </c>
      <c r="K334" s="38">
        <f t="shared" si="86"/>
        <v>582.49400000000003</v>
      </c>
      <c r="M334" s="38">
        <f t="shared" si="87"/>
        <v>1062.6000000000001</v>
      </c>
      <c r="O334" s="38">
        <f t="shared" si="88"/>
        <v>609.23016000000007</v>
      </c>
      <c r="Q334" s="38">
        <f t="shared" si="89"/>
        <v>831.6</v>
      </c>
      <c r="S334" s="38">
        <v>349.06</v>
      </c>
      <c r="T334" s="38">
        <v>529.54</v>
      </c>
      <c r="U334" s="38">
        <v>966</v>
      </c>
      <c r="V334" s="38">
        <v>553.84559999999999</v>
      </c>
      <c r="W334" s="38">
        <v>756</v>
      </c>
    </row>
    <row r="335" spans="1:23" ht="46.5" outlineLevel="2">
      <c r="A335" s="74" t="s">
        <v>2226</v>
      </c>
      <c r="B335" s="70" t="s">
        <v>2227</v>
      </c>
      <c r="C335" s="74" t="s">
        <v>242</v>
      </c>
      <c r="E335" s="37">
        <f t="shared" si="90"/>
        <v>432.56400000000002</v>
      </c>
      <c r="F335" s="37">
        <f t="shared" si="91"/>
        <v>736.77245400000015</v>
      </c>
      <c r="G335" s="37">
        <f t="shared" si="92"/>
        <v>971.5200000000001</v>
      </c>
      <c r="I335" s="38">
        <f t="shared" si="85"/>
        <v>432.56400000000002</v>
      </c>
      <c r="K335" s="38">
        <f t="shared" si="86"/>
        <v>656.23800000000006</v>
      </c>
      <c r="M335" s="38">
        <f t="shared" si="87"/>
        <v>971.5200000000001</v>
      </c>
      <c r="O335" s="38">
        <f t="shared" si="88"/>
        <v>686.34027000000003</v>
      </c>
      <c r="Q335" s="38">
        <f t="shared" si="89"/>
        <v>937.2</v>
      </c>
      <c r="S335" s="38">
        <v>393.24</v>
      </c>
      <c r="T335" s="38">
        <v>596.58000000000004</v>
      </c>
      <c r="U335" s="38">
        <v>883.2</v>
      </c>
      <c r="V335" s="38">
        <v>623.94569999999999</v>
      </c>
      <c r="W335" s="38">
        <v>852</v>
      </c>
    </row>
    <row r="336" spans="1:23" ht="46.5" outlineLevel="2">
      <c r="A336" s="74" t="s">
        <v>2228</v>
      </c>
      <c r="B336" s="70" t="s">
        <v>2229</v>
      </c>
      <c r="C336" s="74" t="s">
        <v>242</v>
      </c>
      <c r="E336" s="37">
        <f t="shared" si="90"/>
        <v>494.351</v>
      </c>
      <c r="F336" s="37">
        <f t="shared" si="91"/>
        <v>910.98387600000001</v>
      </c>
      <c r="G336" s="37">
        <f t="shared" si="92"/>
        <v>1457.28</v>
      </c>
      <c r="I336" s="38">
        <f t="shared" si="85"/>
        <v>494.351</v>
      </c>
      <c r="K336" s="38">
        <f t="shared" si="86"/>
        <v>749.84799999999996</v>
      </c>
      <c r="M336" s="38">
        <f t="shared" si="87"/>
        <v>1457.28</v>
      </c>
      <c r="O336" s="38">
        <f t="shared" si="88"/>
        <v>784.24038000000007</v>
      </c>
      <c r="Q336" s="38">
        <f t="shared" si="89"/>
        <v>1069.2</v>
      </c>
      <c r="S336" s="38">
        <v>449.40999999999997</v>
      </c>
      <c r="T336" s="38">
        <v>681.68</v>
      </c>
      <c r="U336" s="38">
        <v>1324.8</v>
      </c>
      <c r="V336" s="38">
        <v>712.94579999999996</v>
      </c>
      <c r="W336" s="38">
        <v>972</v>
      </c>
    </row>
    <row r="337" spans="1:23" ht="15" outlineLevel="1">
      <c r="A337" s="31" t="s">
        <v>2230</v>
      </c>
      <c r="B337" s="71" t="s">
        <v>2231</v>
      </c>
      <c r="C337" s="31"/>
      <c r="I337" t="str">
        <f t="shared" si="85"/>
        <v/>
      </c>
      <c r="K337" t="str">
        <f t="shared" si="86"/>
        <v/>
      </c>
      <c r="M337" t="str">
        <f t="shared" si="87"/>
        <v/>
      </c>
      <c r="O337" t="str">
        <f t="shared" si="88"/>
        <v/>
      </c>
      <c r="Q337" t="str">
        <f t="shared" si="89"/>
        <v/>
      </c>
      <c r="T337"/>
      <c r="U337"/>
      <c r="V337"/>
      <c r="W337"/>
    </row>
    <row r="338" spans="1:23" ht="30.95" outlineLevel="2">
      <c r="A338" s="52" t="s">
        <v>2232</v>
      </c>
      <c r="B338" s="70" t="s">
        <v>2233</v>
      </c>
      <c r="C338" s="52" t="s">
        <v>242</v>
      </c>
      <c r="E338" s="37">
        <f>MIN(I338,K338,M338,O338,Q338)</f>
        <v>0</v>
      </c>
      <c r="F338" s="37">
        <f>AVERAGE(I338,K338,M338,O338,Q338)</f>
        <v>255.337962</v>
      </c>
      <c r="G338" s="37">
        <f>MAX(I338,K338,M338,O338,Q338)</f>
        <v>473.77000000000004</v>
      </c>
      <c r="I338" s="38">
        <f t="shared" si="85"/>
        <v>318.84600000000006</v>
      </c>
      <c r="K338" s="38">
        <f t="shared" si="86"/>
        <v>473.77000000000004</v>
      </c>
      <c r="M338" s="38">
        <f t="shared" si="87"/>
        <v>0</v>
      </c>
      <c r="O338" s="38">
        <f t="shared" si="88"/>
        <v>202.47380999999999</v>
      </c>
      <c r="Q338" s="38">
        <f t="shared" si="89"/>
        <v>281.60000000000002</v>
      </c>
      <c r="S338" s="38">
        <v>289.86</v>
      </c>
      <c r="T338" s="38">
        <v>430.7</v>
      </c>
      <c r="U338" s="38">
        <v>0</v>
      </c>
      <c r="V338" s="38">
        <v>184.06709999999998</v>
      </c>
      <c r="W338" s="38">
        <v>256</v>
      </c>
    </row>
    <row r="339" spans="1:23" ht="15" outlineLevel="1">
      <c r="A339" s="31" t="s">
        <v>2234</v>
      </c>
      <c r="B339" s="71" t="s">
        <v>2235</v>
      </c>
      <c r="C339" s="31"/>
      <c r="I339" t="str">
        <f t="shared" si="85"/>
        <v/>
      </c>
      <c r="K339" t="str">
        <f t="shared" si="86"/>
        <v/>
      </c>
      <c r="M339" t="str">
        <f t="shared" si="87"/>
        <v/>
      </c>
      <c r="O339" t="str">
        <f t="shared" si="88"/>
        <v/>
      </c>
      <c r="Q339" t="str">
        <f t="shared" si="89"/>
        <v/>
      </c>
      <c r="T339"/>
      <c r="U339"/>
      <c r="V339"/>
      <c r="W339"/>
    </row>
    <row r="340" spans="1:23" ht="108.6" outlineLevel="2">
      <c r="A340" s="52" t="s">
        <v>2236</v>
      </c>
      <c r="B340" s="70" t="s">
        <v>2237</v>
      </c>
      <c r="C340" s="52" t="s">
        <v>242</v>
      </c>
      <c r="E340" s="37">
        <f t="shared" ref="E340:E345" si="93">MIN(I340,K340,M340,O340,Q340)</f>
        <v>279.15800000000002</v>
      </c>
      <c r="F340" s="37">
        <f t="shared" ref="F340:F345" si="94">AVERAGE(I340,K340,M340,O340,Q340)</f>
        <v>511.68209400000006</v>
      </c>
      <c r="G340" s="37">
        <f t="shared" ref="G340:G345" si="95">MAX(I340,K340,M340,O340,Q340)</f>
        <v>757.73445000000015</v>
      </c>
      <c r="I340" s="38">
        <f t="shared" si="85"/>
        <v>279.15800000000002</v>
      </c>
      <c r="K340" s="38">
        <f t="shared" si="86"/>
        <v>660.74800000000005</v>
      </c>
      <c r="M340" s="38">
        <f t="shared" si="87"/>
        <v>757.73445000000015</v>
      </c>
      <c r="O340" s="38">
        <f t="shared" si="88"/>
        <v>458.17002000000008</v>
      </c>
      <c r="Q340" s="38">
        <f t="shared" si="89"/>
        <v>402.6</v>
      </c>
      <c r="S340" s="38">
        <v>253.78</v>
      </c>
      <c r="T340" s="38">
        <v>600.67999999999995</v>
      </c>
      <c r="U340" s="38">
        <v>688.84950000000003</v>
      </c>
      <c r="V340" s="38">
        <v>416.51820000000004</v>
      </c>
      <c r="W340" s="38">
        <v>366</v>
      </c>
    </row>
    <row r="341" spans="1:23" ht="108.6" outlineLevel="2">
      <c r="A341" s="52" t="s">
        <v>2238</v>
      </c>
      <c r="B341" s="70" t="s">
        <v>2239</v>
      </c>
      <c r="C341" s="52" t="s">
        <v>242</v>
      </c>
      <c r="E341" s="37">
        <f t="shared" si="93"/>
        <v>590.21600000000001</v>
      </c>
      <c r="F341" s="37">
        <f t="shared" si="94"/>
        <v>1040.6547800000001</v>
      </c>
      <c r="G341" s="37">
        <f t="shared" si="95"/>
        <v>1664.4496000000001</v>
      </c>
      <c r="I341" s="38">
        <f t="shared" si="85"/>
        <v>590.21600000000001</v>
      </c>
      <c r="K341" s="38">
        <f t="shared" si="86"/>
        <v>1212.9480000000001</v>
      </c>
      <c r="M341" s="38">
        <f t="shared" si="87"/>
        <v>1664.4496000000001</v>
      </c>
      <c r="O341" s="38">
        <f t="shared" si="88"/>
        <v>822.66030000000001</v>
      </c>
      <c r="Q341" s="38">
        <f t="shared" si="89"/>
        <v>913.00000000000011</v>
      </c>
      <c r="S341" s="38">
        <v>536.55999999999995</v>
      </c>
      <c r="T341" s="38">
        <v>1102.68</v>
      </c>
      <c r="U341" s="38">
        <v>1513.136</v>
      </c>
      <c r="V341" s="38">
        <v>747.87299999999993</v>
      </c>
      <c r="W341" s="38">
        <v>830</v>
      </c>
    </row>
    <row r="342" spans="1:23" ht="108.6" outlineLevel="2">
      <c r="A342" s="52" t="s">
        <v>2240</v>
      </c>
      <c r="B342" s="70" t="s">
        <v>2241</v>
      </c>
      <c r="C342" s="52" t="s">
        <v>242</v>
      </c>
      <c r="E342" s="37">
        <f t="shared" si="93"/>
        <v>614.14099999999996</v>
      </c>
      <c r="F342" s="37">
        <f t="shared" si="94"/>
        <v>1070.95153</v>
      </c>
      <c r="G342" s="37">
        <f t="shared" si="95"/>
        <v>1701.9073500000002</v>
      </c>
      <c r="I342" s="38">
        <f t="shared" si="85"/>
        <v>614.14099999999996</v>
      </c>
      <c r="K342" s="38">
        <f t="shared" si="86"/>
        <v>1242.538</v>
      </c>
      <c r="M342" s="38">
        <f t="shared" si="87"/>
        <v>1701.9073500000002</v>
      </c>
      <c r="O342" s="38">
        <f t="shared" si="88"/>
        <v>841.37130000000002</v>
      </c>
      <c r="Q342" s="38">
        <f t="shared" si="89"/>
        <v>954.80000000000007</v>
      </c>
      <c r="S342" s="38">
        <v>558.30999999999995</v>
      </c>
      <c r="T342" s="38">
        <v>1129.58</v>
      </c>
      <c r="U342" s="38">
        <v>1547.1885</v>
      </c>
      <c r="V342" s="38">
        <v>764.88299999999992</v>
      </c>
      <c r="W342" s="38">
        <v>868</v>
      </c>
    </row>
    <row r="343" spans="1:23" ht="108.6" outlineLevel="2">
      <c r="A343" s="52" t="s">
        <v>2242</v>
      </c>
      <c r="B343" s="70" t="s">
        <v>2243</v>
      </c>
      <c r="C343" s="52" t="s">
        <v>242</v>
      </c>
      <c r="E343" s="37">
        <f t="shared" si="93"/>
        <v>797.58800000000008</v>
      </c>
      <c r="F343" s="37">
        <f t="shared" si="94"/>
        <v>1324.9781600000001</v>
      </c>
      <c r="G343" s="37">
        <f t="shared" si="95"/>
        <v>2211.7644999999998</v>
      </c>
      <c r="I343" s="38">
        <f t="shared" si="85"/>
        <v>797.58800000000008</v>
      </c>
      <c r="K343" s="38">
        <f t="shared" si="86"/>
        <v>1602.6560000000002</v>
      </c>
      <c r="M343" s="38">
        <f t="shared" si="87"/>
        <v>2211.7644999999998</v>
      </c>
      <c r="O343" s="38">
        <f t="shared" si="88"/>
        <v>860.08230000000003</v>
      </c>
      <c r="Q343" s="38">
        <f t="shared" si="89"/>
        <v>1152.8000000000002</v>
      </c>
      <c r="S343" s="38">
        <v>725.08</v>
      </c>
      <c r="T343" s="38">
        <v>1456.96</v>
      </c>
      <c r="U343" s="38">
        <v>2010.6949999999997</v>
      </c>
      <c r="V343" s="38">
        <v>781.89299999999992</v>
      </c>
      <c r="W343" s="38">
        <v>1048</v>
      </c>
    </row>
    <row r="344" spans="1:23" ht="30.95" outlineLevel="2">
      <c r="A344" s="52" t="s">
        <v>2244</v>
      </c>
      <c r="B344" s="70" t="s">
        <v>2245</v>
      </c>
      <c r="C344" s="52" t="s">
        <v>242</v>
      </c>
      <c r="E344" s="37">
        <f t="shared" si="93"/>
        <v>462.60500000000008</v>
      </c>
      <c r="F344" s="37">
        <f t="shared" si="94"/>
        <v>705.0425140000001</v>
      </c>
      <c r="G344" s="37">
        <f t="shared" si="95"/>
        <v>1173.1115</v>
      </c>
      <c r="I344" s="38">
        <f t="shared" si="85"/>
        <v>462.60500000000008</v>
      </c>
      <c r="K344" s="38">
        <f t="shared" si="86"/>
        <v>568.70000000000005</v>
      </c>
      <c r="M344" s="38">
        <f t="shared" si="87"/>
        <v>1173.1115</v>
      </c>
      <c r="O344" s="38">
        <f t="shared" si="88"/>
        <v>603.59606999999994</v>
      </c>
      <c r="Q344" s="38">
        <f t="shared" si="89"/>
        <v>717.2</v>
      </c>
      <c r="S344" s="38">
        <v>420.55</v>
      </c>
      <c r="T344" s="38">
        <v>517</v>
      </c>
      <c r="U344" s="38">
        <v>1066.4649999999999</v>
      </c>
      <c r="V344" s="38">
        <v>548.72369999999989</v>
      </c>
      <c r="W344" s="38">
        <v>652</v>
      </c>
    </row>
    <row r="345" spans="1:23" ht="30.95" outlineLevel="2">
      <c r="A345" s="52" t="s">
        <v>2246</v>
      </c>
      <c r="B345" s="70" t="s">
        <v>2247</v>
      </c>
      <c r="C345" s="52" t="s">
        <v>242</v>
      </c>
      <c r="E345" s="37">
        <f t="shared" si="93"/>
        <v>638.077</v>
      </c>
      <c r="F345" s="37">
        <f t="shared" si="94"/>
        <v>946.20125600000006</v>
      </c>
      <c r="G345" s="37">
        <f t="shared" si="95"/>
        <v>1527.2620000000002</v>
      </c>
      <c r="I345" s="38">
        <f t="shared" si="85"/>
        <v>638.077</v>
      </c>
      <c r="K345" s="38">
        <f t="shared" si="86"/>
        <v>827.04600000000005</v>
      </c>
      <c r="M345" s="38">
        <f t="shared" si="87"/>
        <v>1527.2620000000002</v>
      </c>
      <c r="O345" s="38">
        <f t="shared" si="88"/>
        <v>757.42128000000002</v>
      </c>
      <c r="Q345" s="38">
        <f t="shared" si="89"/>
        <v>981.2</v>
      </c>
      <c r="S345" s="38">
        <v>580.06999999999994</v>
      </c>
      <c r="T345" s="38">
        <v>751.86</v>
      </c>
      <c r="U345" s="38">
        <v>1388.42</v>
      </c>
      <c r="V345" s="38">
        <v>688.56479999999999</v>
      </c>
      <c r="W345" s="38">
        <v>892</v>
      </c>
    </row>
    <row r="346" spans="1:23" ht="15" outlineLevel="1">
      <c r="A346" s="31" t="s">
        <v>2248</v>
      </c>
      <c r="B346" s="71" t="s">
        <v>2249</v>
      </c>
      <c r="C346" s="31"/>
      <c r="I346" t="str">
        <f t="shared" si="85"/>
        <v/>
      </c>
      <c r="K346" t="str">
        <f t="shared" si="86"/>
        <v/>
      </c>
      <c r="M346" t="str">
        <f t="shared" si="87"/>
        <v/>
      </c>
      <c r="O346" t="str">
        <f t="shared" si="88"/>
        <v/>
      </c>
      <c r="Q346" t="str">
        <f t="shared" si="89"/>
        <v/>
      </c>
      <c r="T346"/>
      <c r="U346"/>
      <c r="V346"/>
      <c r="W346"/>
    </row>
    <row r="347" spans="1:23" ht="15.6" outlineLevel="2">
      <c r="A347" s="52" t="s">
        <v>2250</v>
      </c>
      <c r="B347" s="70" t="s">
        <v>2251</v>
      </c>
      <c r="C347" s="52" t="s">
        <v>253</v>
      </c>
      <c r="E347" s="37">
        <f t="shared" ref="E347:E357" si="96">MIN(I347,K347,M347,O347,Q347)</f>
        <v>0.44000000000000006</v>
      </c>
      <c r="F347" s="37">
        <f t="shared" ref="F347:F357" si="97">AVERAGE(I347,K347,M347,O347,Q347)</f>
        <v>1.2931600000000001</v>
      </c>
      <c r="G347" s="37">
        <f t="shared" ref="G347:G357" si="98">MAX(I347,K347,M347,O347,Q347)</f>
        <v>2.24532</v>
      </c>
      <c r="I347" s="38">
        <f t="shared" si="85"/>
        <v>1.4410000000000003</v>
      </c>
      <c r="K347" s="38">
        <f t="shared" si="86"/>
        <v>1.034</v>
      </c>
      <c r="M347" s="38">
        <f t="shared" si="87"/>
        <v>1.3054800000000002</v>
      </c>
      <c r="O347" s="38">
        <f t="shared" si="88"/>
        <v>2.24532</v>
      </c>
      <c r="Q347" s="38">
        <f t="shared" si="89"/>
        <v>0.44000000000000006</v>
      </c>
      <c r="S347" s="38">
        <v>1.31</v>
      </c>
      <c r="T347" s="38">
        <v>0.94</v>
      </c>
      <c r="U347" s="38">
        <v>1.1868000000000001</v>
      </c>
      <c r="V347" s="38">
        <v>2.0411999999999999</v>
      </c>
      <c r="W347" s="38">
        <v>0.4</v>
      </c>
    </row>
    <row r="348" spans="1:23" ht="15.6" outlineLevel="2">
      <c r="A348" s="52" t="s">
        <v>2252</v>
      </c>
      <c r="B348" s="70" t="s">
        <v>2253</v>
      </c>
      <c r="C348" s="52" t="s">
        <v>242</v>
      </c>
      <c r="E348" s="37">
        <f t="shared" si="96"/>
        <v>4.5209999999999999</v>
      </c>
      <c r="F348" s="37">
        <f t="shared" si="97"/>
        <v>6.6090860000000005</v>
      </c>
      <c r="G348" s="37">
        <f t="shared" si="98"/>
        <v>8.5918800000000015</v>
      </c>
      <c r="I348" s="38">
        <f t="shared" si="85"/>
        <v>4.5209999999999999</v>
      </c>
      <c r="K348" s="38">
        <f t="shared" si="86"/>
        <v>7.48</v>
      </c>
      <c r="M348" s="38">
        <f t="shared" si="87"/>
        <v>8.5918800000000015</v>
      </c>
      <c r="O348" s="38">
        <f t="shared" si="88"/>
        <v>7.1725500000000011</v>
      </c>
      <c r="Q348" s="38">
        <f t="shared" si="89"/>
        <v>5.28</v>
      </c>
      <c r="S348" s="38">
        <v>4.1099999999999994</v>
      </c>
      <c r="T348" s="38">
        <v>6.8</v>
      </c>
      <c r="U348" s="38">
        <v>7.8108000000000004</v>
      </c>
      <c r="V348" s="38">
        <v>6.5205000000000002</v>
      </c>
      <c r="W348" s="38">
        <v>4.8</v>
      </c>
    </row>
    <row r="349" spans="1:23" ht="15.6" outlineLevel="2">
      <c r="A349" s="52" t="s">
        <v>2254</v>
      </c>
      <c r="B349" s="70" t="s">
        <v>2255</v>
      </c>
      <c r="C349" s="52" t="s">
        <v>242</v>
      </c>
      <c r="E349" s="37">
        <f t="shared" si="96"/>
        <v>6.3029999999999999</v>
      </c>
      <c r="F349" s="37">
        <f t="shared" si="97"/>
        <v>9.2054379999999991</v>
      </c>
      <c r="G349" s="37">
        <f t="shared" si="98"/>
        <v>11.992200000000002</v>
      </c>
      <c r="I349" s="38">
        <f t="shared" si="85"/>
        <v>6.3029999999999999</v>
      </c>
      <c r="K349" s="38">
        <f t="shared" si="86"/>
        <v>10.692000000000002</v>
      </c>
      <c r="M349" s="38">
        <f t="shared" si="87"/>
        <v>11.992200000000002</v>
      </c>
      <c r="O349" s="38">
        <f t="shared" si="88"/>
        <v>9.9999900000000004</v>
      </c>
      <c r="Q349" s="38">
        <f t="shared" si="89"/>
        <v>7.0400000000000009</v>
      </c>
      <c r="S349" s="38">
        <v>5.7299999999999995</v>
      </c>
      <c r="T349" s="38">
        <v>9.7200000000000006</v>
      </c>
      <c r="U349" s="38">
        <v>10.902000000000001</v>
      </c>
      <c r="V349" s="38">
        <v>9.0908999999999995</v>
      </c>
      <c r="W349" s="38">
        <v>6.4</v>
      </c>
    </row>
    <row r="350" spans="1:23" ht="15.6" outlineLevel="2">
      <c r="A350" s="52" t="s">
        <v>2256</v>
      </c>
      <c r="B350" s="70" t="s">
        <v>2257</v>
      </c>
      <c r="C350" s="52" t="s">
        <v>242</v>
      </c>
      <c r="E350" s="37">
        <f t="shared" si="96"/>
        <v>5.8079999999999998</v>
      </c>
      <c r="F350" s="37">
        <f t="shared" si="97"/>
        <v>8.3818239999999982</v>
      </c>
      <c r="G350" s="37">
        <f t="shared" si="98"/>
        <v>11.05115</v>
      </c>
      <c r="I350" s="38">
        <f t="shared" si="85"/>
        <v>5.8079999999999998</v>
      </c>
      <c r="K350" s="38">
        <f t="shared" si="86"/>
        <v>8.8000000000000007</v>
      </c>
      <c r="M350" s="38">
        <f t="shared" si="87"/>
        <v>11.05115</v>
      </c>
      <c r="O350" s="38">
        <f t="shared" si="88"/>
        <v>9.2099699999999984</v>
      </c>
      <c r="Q350" s="38">
        <f t="shared" si="89"/>
        <v>7.0400000000000009</v>
      </c>
      <c r="S350" s="38">
        <v>5.2799999999999994</v>
      </c>
      <c r="T350" s="38">
        <v>8</v>
      </c>
      <c r="U350" s="38">
        <v>10.046499999999998</v>
      </c>
      <c r="V350" s="38">
        <v>8.3726999999999983</v>
      </c>
      <c r="W350" s="38">
        <v>6.4</v>
      </c>
    </row>
    <row r="351" spans="1:23" ht="15.6" outlineLevel="2">
      <c r="A351" s="52" t="s">
        <v>2258</v>
      </c>
      <c r="B351" s="70" t="s">
        <v>2259</v>
      </c>
      <c r="C351" s="52" t="s">
        <v>242</v>
      </c>
      <c r="E351" s="37">
        <f t="shared" si="96"/>
        <v>6.1269999999999998</v>
      </c>
      <c r="F351" s="37">
        <f t="shared" si="97"/>
        <v>8.9836340000000003</v>
      </c>
      <c r="G351" s="37">
        <f t="shared" si="98"/>
        <v>11.658240000000001</v>
      </c>
      <c r="I351" s="38">
        <f t="shared" si="85"/>
        <v>6.1269999999999998</v>
      </c>
      <c r="K351" s="38">
        <f t="shared" si="86"/>
        <v>10.384</v>
      </c>
      <c r="M351" s="38">
        <f t="shared" si="87"/>
        <v>11.658240000000001</v>
      </c>
      <c r="O351" s="38">
        <f t="shared" si="88"/>
        <v>9.7089300000000005</v>
      </c>
      <c r="Q351" s="38">
        <f t="shared" si="89"/>
        <v>7.0400000000000009</v>
      </c>
      <c r="S351" s="38">
        <v>5.5699999999999994</v>
      </c>
      <c r="T351" s="38">
        <v>9.44</v>
      </c>
      <c r="U351" s="38">
        <v>10.5984</v>
      </c>
      <c r="V351" s="38">
        <v>8.8262999999999998</v>
      </c>
      <c r="W351" s="38">
        <v>6.4</v>
      </c>
    </row>
    <row r="352" spans="1:23" ht="15.6" outlineLevel="2">
      <c r="A352" s="52" t="s">
        <v>2260</v>
      </c>
      <c r="B352" s="70" t="s">
        <v>2261</v>
      </c>
      <c r="C352" s="52" t="s">
        <v>242</v>
      </c>
      <c r="E352" s="37">
        <f t="shared" si="96"/>
        <v>6.5120000000000005</v>
      </c>
      <c r="F352" s="37">
        <f t="shared" si="97"/>
        <v>9.4983020000000007</v>
      </c>
      <c r="G352" s="37">
        <f t="shared" si="98"/>
        <v>12.386880000000001</v>
      </c>
      <c r="I352" s="38">
        <f t="shared" si="85"/>
        <v>6.5120000000000005</v>
      </c>
      <c r="K352" s="38">
        <f t="shared" si="86"/>
        <v>10.780000000000001</v>
      </c>
      <c r="M352" s="38">
        <f t="shared" si="87"/>
        <v>12.386880000000001</v>
      </c>
      <c r="O352" s="38">
        <f t="shared" si="88"/>
        <v>10.332629999999998</v>
      </c>
      <c r="Q352" s="38">
        <f t="shared" si="89"/>
        <v>7.48</v>
      </c>
      <c r="S352" s="38">
        <v>5.92</v>
      </c>
      <c r="T352" s="38">
        <v>9.8000000000000007</v>
      </c>
      <c r="U352" s="38">
        <v>11.2608</v>
      </c>
      <c r="V352" s="38">
        <v>9.3932999999999982</v>
      </c>
      <c r="W352" s="38">
        <v>6.8</v>
      </c>
    </row>
    <row r="353" spans="1:23" ht="15.6" outlineLevel="2">
      <c r="A353" s="52" t="s">
        <v>2262</v>
      </c>
      <c r="B353" s="70" t="s">
        <v>2263</v>
      </c>
      <c r="C353" s="52" t="s">
        <v>242</v>
      </c>
      <c r="E353" s="37">
        <f t="shared" si="96"/>
        <v>7.2270000000000003</v>
      </c>
      <c r="F353" s="37">
        <f t="shared" si="97"/>
        <v>10.834758000000001</v>
      </c>
      <c r="G353" s="37">
        <f t="shared" si="98"/>
        <v>13.755500000000001</v>
      </c>
      <c r="I353" s="38">
        <f t="shared" si="85"/>
        <v>7.2270000000000003</v>
      </c>
      <c r="K353" s="38">
        <f t="shared" si="86"/>
        <v>10.956000000000001</v>
      </c>
      <c r="M353" s="38">
        <f t="shared" si="87"/>
        <v>13.755500000000001</v>
      </c>
      <c r="O353" s="38">
        <f t="shared" si="88"/>
        <v>11.455290000000002</v>
      </c>
      <c r="Q353" s="38">
        <f t="shared" si="89"/>
        <v>10.780000000000001</v>
      </c>
      <c r="S353" s="38">
        <v>6.5699999999999994</v>
      </c>
      <c r="T353" s="38">
        <v>9.9600000000000009</v>
      </c>
      <c r="U353" s="38">
        <v>12.505000000000001</v>
      </c>
      <c r="V353" s="38">
        <v>10.4139</v>
      </c>
      <c r="W353" s="38">
        <v>9.8000000000000007</v>
      </c>
    </row>
    <row r="354" spans="1:23" ht="15.6" outlineLevel="2">
      <c r="A354" s="52" t="s">
        <v>2264</v>
      </c>
      <c r="B354" s="70" t="s">
        <v>2265</v>
      </c>
      <c r="C354" s="52" t="s">
        <v>242</v>
      </c>
      <c r="E354" s="37">
        <f t="shared" si="96"/>
        <v>1.4740000000000002</v>
      </c>
      <c r="F354" s="37">
        <f t="shared" si="97"/>
        <v>10.779362000000001</v>
      </c>
      <c r="G354" s="37">
        <f t="shared" si="98"/>
        <v>17.1875</v>
      </c>
      <c r="I354" s="38">
        <f t="shared" si="85"/>
        <v>9.0310000000000006</v>
      </c>
      <c r="K354" s="38">
        <f t="shared" si="86"/>
        <v>1.4740000000000002</v>
      </c>
      <c r="M354" s="38">
        <f t="shared" si="87"/>
        <v>17.1875</v>
      </c>
      <c r="O354" s="38">
        <f t="shared" si="88"/>
        <v>14.324309999999999</v>
      </c>
      <c r="Q354" s="38">
        <f t="shared" si="89"/>
        <v>11.880000000000003</v>
      </c>
      <c r="S354" s="38">
        <v>8.2099999999999991</v>
      </c>
      <c r="T354" s="38">
        <v>1.34</v>
      </c>
      <c r="U354" s="38">
        <v>15.625</v>
      </c>
      <c r="V354" s="38">
        <v>13.022099999999998</v>
      </c>
      <c r="W354" s="38">
        <v>10.8</v>
      </c>
    </row>
    <row r="355" spans="1:23" ht="15.6" outlineLevel="2">
      <c r="A355" s="52" t="s">
        <v>2266</v>
      </c>
      <c r="B355" s="70" t="s">
        <v>2267</v>
      </c>
      <c r="C355" s="52" t="s">
        <v>242</v>
      </c>
      <c r="E355" s="37">
        <f t="shared" si="96"/>
        <v>9.5809999999999995</v>
      </c>
      <c r="F355" s="37">
        <f t="shared" si="97"/>
        <v>16.325694000000002</v>
      </c>
      <c r="G355" s="37">
        <f t="shared" si="98"/>
        <v>23.04335</v>
      </c>
      <c r="I355" s="38">
        <f t="shared" si="85"/>
        <v>9.5809999999999995</v>
      </c>
      <c r="K355" s="38">
        <f t="shared" si="86"/>
        <v>18.37</v>
      </c>
      <c r="M355" s="38">
        <f t="shared" si="87"/>
        <v>23.04335</v>
      </c>
      <c r="O355" s="38">
        <f t="shared" si="88"/>
        <v>17.214120000000001</v>
      </c>
      <c r="Q355" s="38">
        <f t="shared" si="89"/>
        <v>13.42</v>
      </c>
      <c r="S355" s="38">
        <v>8.7099999999999991</v>
      </c>
      <c r="T355" s="38">
        <v>16.7</v>
      </c>
      <c r="U355" s="38">
        <v>20.948499999999999</v>
      </c>
      <c r="V355" s="38">
        <v>15.649199999999999</v>
      </c>
      <c r="W355" s="38">
        <v>12.2</v>
      </c>
    </row>
    <row r="356" spans="1:23" ht="15.6" outlineLevel="2">
      <c r="A356" s="52" t="s">
        <v>2268</v>
      </c>
      <c r="B356" s="70" t="s">
        <v>2269</v>
      </c>
      <c r="C356" s="52" t="s">
        <v>242</v>
      </c>
      <c r="E356" s="37">
        <f t="shared" si="96"/>
        <v>11.176000000000002</v>
      </c>
      <c r="F356" s="37">
        <f t="shared" si="97"/>
        <v>17.432233500000002</v>
      </c>
      <c r="G356" s="37">
        <f t="shared" si="98"/>
        <v>24.470187500000002</v>
      </c>
      <c r="I356" s="38">
        <f t="shared" si="85"/>
        <v>11.176000000000002</v>
      </c>
      <c r="K356" s="38">
        <f t="shared" si="86"/>
        <v>19.513999999999999</v>
      </c>
      <c r="M356" s="38">
        <f t="shared" si="87"/>
        <v>24.470187500000002</v>
      </c>
      <c r="O356" s="38">
        <f t="shared" si="88"/>
        <v>17.92098</v>
      </c>
      <c r="Q356" s="38">
        <f t="shared" si="89"/>
        <v>14.080000000000002</v>
      </c>
      <c r="S356" s="38">
        <v>10.16</v>
      </c>
      <c r="T356" s="38">
        <v>17.739999999999998</v>
      </c>
      <c r="U356" s="38">
        <v>22.245625</v>
      </c>
      <c r="V356" s="38">
        <v>16.291799999999999</v>
      </c>
      <c r="W356" s="38">
        <v>12.8</v>
      </c>
    </row>
    <row r="357" spans="1:23" ht="15.6" outlineLevel="2">
      <c r="A357" s="52" t="s">
        <v>2270</v>
      </c>
      <c r="B357" s="70" t="s">
        <v>2271</v>
      </c>
      <c r="C357" s="52" t="s">
        <v>242</v>
      </c>
      <c r="E357" s="37">
        <f t="shared" si="96"/>
        <v>7.370000000000001</v>
      </c>
      <c r="F357" s="37">
        <f t="shared" si="97"/>
        <v>10.890308000000001</v>
      </c>
      <c r="G357" s="37">
        <f t="shared" si="98"/>
        <v>12.948540000000003</v>
      </c>
      <c r="I357" s="38">
        <f t="shared" si="85"/>
        <v>12.771000000000001</v>
      </c>
      <c r="K357" s="38">
        <f t="shared" si="86"/>
        <v>10.318000000000001</v>
      </c>
      <c r="M357" s="38">
        <f t="shared" si="87"/>
        <v>12.948540000000003</v>
      </c>
      <c r="O357" s="38">
        <f t="shared" si="88"/>
        <v>11.044</v>
      </c>
      <c r="Q357" s="38">
        <f t="shared" si="89"/>
        <v>7.370000000000001</v>
      </c>
      <c r="S357" s="38">
        <v>11.61</v>
      </c>
      <c r="T357" s="38">
        <v>9.3800000000000008</v>
      </c>
      <c r="U357" s="38">
        <v>11.771400000000002</v>
      </c>
      <c r="V357" s="38">
        <v>10.039999999999999</v>
      </c>
      <c r="W357" s="38">
        <v>6.7</v>
      </c>
    </row>
    <row r="358" spans="1:23" ht="15" outlineLevel="1">
      <c r="A358" s="31" t="s">
        <v>2272</v>
      </c>
      <c r="B358" s="71" t="s">
        <v>2273</v>
      </c>
      <c r="C358" s="31"/>
      <c r="I358" t="str">
        <f t="shared" si="85"/>
        <v/>
      </c>
      <c r="K358" t="str">
        <f t="shared" si="86"/>
        <v/>
      </c>
      <c r="M358" t="str">
        <f t="shared" si="87"/>
        <v/>
      </c>
      <c r="O358" t="str">
        <f t="shared" si="88"/>
        <v/>
      </c>
      <c r="Q358" t="str">
        <f t="shared" si="89"/>
        <v/>
      </c>
      <c r="T358"/>
      <c r="U358"/>
      <c r="V358"/>
      <c r="W358"/>
    </row>
    <row r="359" spans="1:23" ht="30.95" outlineLevel="2">
      <c r="A359" s="52" t="s">
        <v>2274</v>
      </c>
      <c r="B359" s="70" t="s">
        <v>2275</v>
      </c>
      <c r="C359" s="52" t="s">
        <v>242</v>
      </c>
      <c r="E359" s="37">
        <f>MIN(I359,K359,M359,O359,Q359)</f>
        <v>19.360000000000003</v>
      </c>
      <c r="F359" s="37">
        <f>AVERAGE(I359,K359,M359,O359,Q359)</f>
        <v>132.63610799999998</v>
      </c>
      <c r="G359" s="37">
        <f>MAX(I359,K359,M359,O359,Q359)</f>
        <v>199.40469999999999</v>
      </c>
      <c r="I359" s="38">
        <f t="shared" si="85"/>
        <v>104.77500000000001</v>
      </c>
      <c r="K359" s="38">
        <f t="shared" si="86"/>
        <v>173.404</v>
      </c>
      <c r="M359" s="38">
        <f t="shared" si="87"/>
        <v>199.40469999999999</v>
      </c>
      <c r="O359" s="38">
        <f t="shared" si="88"/>
        <v>166.23684</v>
      </c>
      <c r="Q359" s="38">
        <f t="shared" si="89"/>
        <v>19.360000000000003</v>
      </c>
      <c r="S359" s="38">
        <v>95.25</v>
      </c>
      <c r="T359" s="38">
        <v>157.63999999999999</v>
      </c>
      <c r="U359" s="38">
        <v>181.27699999999999</v>
      </c>
      <c r="V359" s="38">
        <v>151.12439999999998</v>
      </c>
      <c r="W359" s="38">
        <v>17.600000000000001</v>
      </c>
    </row>
    <row r="360" spans="1:23" ht="30.95" outlineLevel="2">
      <c r="A360" s="52" t="s">
        <v>2276</v>
      </c>
      <c r="B360" s="70" t="s">
        <v>2277</v>
      </c>
      <c r="C360" s="52" t="s">
        <v>242</v>
      </c>
      <c r="E360" s="37">
        <f>MIN(I360,K360,M360,O360,Q360)</f>
        <v>22.660000000000004</v>
      </c>
      <c r="F360" s="37">
        <f>AVERAGE(I360,K360,M360,O360,Q360)</f>
        <v>207.94199800000007</v>
      </c>
      <c r="G360" s="37">
        <f>MAX(I360,K360,M360,O360,Q360)</f>
        <v>315.53170000000006</v>
      </c>
      <c r="I360" s="38">
        <f t="shared" si="85"/>
        <v>165.792</v>
      </c>
      <c r="K360" s="38">
        <f t="shared" si="86"/>
        <v>272.71199999999999</v>
      </c>
      <c r="M360" s="38">
        <f t="shared" si="87"/>
        <v>315.53170000000006</v>
      </c>
      <c r="O360" s="38">
        <f t="shared" si="88"/>
        <v>263.01429000000002</v>
      </c>
      <c r="Q360" s="38">
        <f t="shared" si="89"/>
        <v>22.660000000000004</v>
      </c>
      <c r="S360" s="38">
        <v>150.72</v>
      </c>
      <c r="T360" s="38">
        <v>247.92</v>
      </c>
      <c r="U360" s="38">
        <v>286.84700000000004</v>
      </c>
      <c r="V360" s="38">
        <v>239.10389999999998</v>
      </c>
      <c r="W360" s="38">
        <v>20.6</v>
      </c>
    </row>
    <row r="361" spans="1:23" ht="30.95" outlineLevel="2">
      <c r="A361" s="52" t="s">
        <v>2278</v>
      </c>
      <c r="B361" s="70" t="s">
        <v>2279</v>
      </c>
      <c r="C361" s="52" t="s">
        <v>242</v>
      </c>
      <c r="E361" s="37">
        <f>MIN(I361,K361,M361,O361,Q361)</f>
        <v>26.180000000000003</v>
      </c>
      <c r="F361" s="37">
        <f>AVERAGE(I361,K361,M361,O361,Q361)</f>
        <v>283.96134800000004</v>
      </c>
      <c r="G361" s="37">
        <f>MAX(I361,K361,M361,O361,Q361)</f>
        <v>431.66200000000003</v>
      </c>
      <c r="I361" s="38">
        <f t="shared" si="85"/>
        <v>226.80900000000003</v>
      </c>
      <c r="K361" s="38">
        <f t="shared" si="86"/>
        <v>375.36400000000003</v>
      </c>
      <c r="M361" s="38">
        <f t="shared" si="87"/>
        <v>431.66200000000003</v>
      </c>
      <c r="O361" s="38">
        <f t="shared" si="88"/>
        <v>359.79174</v>
      </c>
      <c r="Q361" s="38">
        <f t="shared" si="89"/>
        <v>26.180000000000003</v>
      </c>
      <c r="S361" s="38">
        <v>206.19</v>
      </c>
      <c r="T361" s="38">
        <v>341.24</v>
      </c>
      <c r="U361" s="38">
        <v>392.42</v>
      </c>
      <c r="V361" s="38">
        <v>327.08339999999998</v>
      </c>
      <c r="W361" s="38">
        <v>23.8</v>
      </c>
    </row>
    <row r="362" spans="1:23" ht="30.95" outlineLevel="2">
      <c r="A362" s="52" t="s">
        <v>2280</v>
      </c>
      <c r="B362" s="70" t="s">
        <v>2281</v>
      </c>
      <c r="C362" s="52" t="s">
        <v>242</v>
      </c>
      <c r="E362" s="37">
        <f>MIN(I362,K362,M362,O362,Q362)</f>
        <v>29.700000000000003</v>
      </c>
      <c r="F362" s="37">
        <f>AVERAGE(I362,K362,M362,O362,Q362)</f>
        <v>359.64563800000008</v>
      </c>
      <c r="G362" s="37">
        <f>MAX(I362,K362,M362,O362,Q362)</f>
        <v>547.7890000000001</v>
      </c>
      <c r="I362" s="38">
        <f t="shared" si="85"/>
        <v>287.82599999999996</v>
      </c>
      <c r="K362" s="38">
        <f t="shared" si="86"/>
        <v>476.34400000000005</v>
      </c>
      <c r="M362" s="38">
        <f t="shared" si="87"/>
        <v>547.7890000000001</v>
      </c>
      <c r="O362" s="38">
        <f t="shared" si="88"/>
        <v>456.56919000000005</v>
      </c>
      <c r="Q362" s="38">
        <f t="shared" si="89"/>
        <v>29.700000000000003</v>
      </c>
      <c r="S362" s="38">
        <v>261.65999999999997</v>
      </c>
      <c r="T362" s="38">
        <v>433.04</v>
      </c>
      <c r="U362" s="38">
        <v>497.99</v>
      </c>
      <c r="V362" s="38">
        <v>415.06290000000001</v>
      </c>
      <c r="W362" s="38">
        <v>27</v>
      </c>
    </row>
    <row r="363" spans="1:23" ht="30.95" outlineLevel="2">
      <c r="A363" s="52" t="s">
        <v>2282</v>
      </c>
      <c r="B363" s="70" t="s">
        <v>2283</v>
      </c>
      <c r="C363" s="52" t="s">
        <v>242</v>
      </c>
      <c r="E363" s="37">
        <f>MIN(I363,K363,M363,O363,Q363)</f>
        <v>35.860000000000007</v>
      </c>
      <c r="F363" s="37">
        <f>AVERAGE(I363,K363,M363,O363,Q363)</f>
        <v>435.855728</v>
      </c>
      <c r="G363" s="37">
        <f>MAX(I363,K363,M363,O363,Q363)</f>
        <v>663.91599999999994</v>
      </c>
      <c r="I363" s="38">
        <f t="shared" si="85"/>
        <v>348.83200000000005</v>
      </c>
      <c r="K363" s="38">
        <f t="shared" si="86"/>
        <v>577.32400000000007</v>
      </c>
      <c r="M363" s="38">
        <f t="shared" si="87"/>
        <v>663.91599999999994</v>
      </c>
      <c r="O363" s="38">
        <f t="shared" si="88"/>
        <v>553.34663999999998</v>
      </c>
      <c r="Q363" s="38">
        <f t="shared" si="89"/>
        <v>35.860000000000007</v>
      </c>
      <c r="S363" s="38">
        <v>317.12</v>
      </c>
      <c r="T363" s="38">
        <v>524.84</v>
      </c>
      <c r="U363" s="38">
        <v>603.55999999999995</v>
      </c>
      <c r="V363" s="38">
        <v>503.04239999999993</v>
      </c>
      <c r="W363" s="38">
        <v>32.6</v>
      </c>
    </row>
    <row r="364" spans="1:23" ht="15" outlineLevel="1">
      <c r="A364" s="31" t="s">
        <v>2284</v>
      </c>
      <c r="B364" s="71" t="s">
        <v>2285</v>
      </c>
      <c r="C364" s="31"/>
      <c r="I364" t="str">
        <f t="shared" si="85"/>
        <v/>
      </c>
      <c r="K364" t="str">
        <f t="shared" si="86"/>
        <v/>
      </c>
      <c r="M364" t="str">
        <f t="shared" si="87"/>
        <v/>
      </c>
      <c r="O364" t="str">
        <f t="shared" si="88"/>
        <v/>
      </c>
      <c r="Q364" t="str">
        <f t="shared" si="89"/>
        <v/>
      </c>
      <c r="T364"/>
      <c r="U364"/>
      <c r="V364"/>
      <c r="W364"/>
    </row>
    <row r="365" spans="1:23" ht="15.6" outlineLevel="2">
      <c r="A365" s="52" t="s">
        <v>2286</v>
      </c>
      <c r="B365" s="70" t="s">
        <v>2287</v>
      </c>
      <c r="C365" s="52" t="s">
        <v>253</v>
      </c>
      <c r="E365" s="37">
        <f t="shared" ref="E365:E375" si="99">MIN(I365,K365,M365,O365,Q365)</f>
        <v>0.66</v>
      </c>
      <c r="F365" s="37">
        <f t="shared" ref="F365:F375" si="100">AVERAGE(I365,K365,M365,O365,Q365)</f>
        <v>2.12663</v>
      </c>
      <c r="G365" s="37">
        <f t="shared" ref="G365:G375" si="101">MAX(I365,K365,M365,O365,Q365)</f>
        <v>5.0820000000000007</v>
      </c>
      <c r="I365" s="38">
        <f t="shared" si="85"/>
        <v>1.6060000000000001</v>
      </c>
      <c r="K365" s="38">
        <f t="shared" si="86"/>
        <v>5.0820000000000007</v>
      </c>
      <c r="M365" s="38">
        <f t="shared" si="87"/>
        <v>1.518</v>
      </c>
      <c r="O365" s="38">
        <f t="shared" si="88"/>
        <v>1.76715</v>
      </c>
      <c r="Q365" s="38">
        <f t="shared" si="89"/>
        <v>0.66</v>
      </c>
      <c r="S365" s="38">
        <v>1.46</v>
      </c>
      <c r="T365" s="38">
        <v>4.62</v>
      </c>
      <c r="U365" s="38">
        <v>1.38</v>
      </c>
      <c r="V365" s="38">
        <v>1.6064999999999998</v>
      </c>
      <c r="W365" s="38">
        <v>0.6</v>
      </c>
    </row>
    <row r="366" spans="1:23" ht="15.6" outlineLevel="2">
      <c r="A366" s="52" t="s">
        <v>2288</v>
      </c>
      <c r="B366" s="70" t="s">
        <v>2289</v>
      </c>
      <c r="C366" s="52" t="s">
        <v>242</v>
      </c>
      <c r="E366" s="37">
        <f t="shared" si="99"/>
        <v>4.95</v>
      </c>
      <c r="F366" s="37">
        <f t="shared" si="100"/>
        <v>10.050766000000001</v>
      </c>
      <c r="G366" s="37">
        <f t="shared" si="101"/>
        <v>22.044</v>
      </c>
      <c r="I366" s="38">
        <f t="shared" si="85"/>
        <v>4.95</v>
      </c>
      <c r="K366" s="38">
        <f t="shared" si="86"/>
        <v>7.5020000000000007</v>
      </c>
      <c r="M366" s="38">
        <f t="shared" si="87"/>
        <v>22.044</v>
      </c>
      <c r="O366" s="38">
        <f t="shared" si="88"/>
        <v>7.8378300000000003</v>
      </c>
      <c r="Q366" s="38">
        <f t="shared" si="89"/>
        <v>7.9200000000000008</v>
      </c>
      <c r="S366" s="38">
        <v>4.5</v>
      </c>
      <c r="T366" s="38">
        <v>6.82</v>
      </c>
      <c r="U366" s="38">
        <v>20.04</v>
      </c>
      <c r="V366" s="38">
        <v>7.1252999999999993</v>
      </c>
      <c r="W366" s="38">
        <v>7.2</v>
      </c>
    </row>
    <row r="367" spans="1:23" ht="15.6" outlineLevel="2">
      <c r="A367" s="52" t="s">
        <v>2290</v>
      </c>
      <c r="B367" s="70" t="s">
        <v>2291</v>
      </c>
      <c r="C367" s="52" t="s">
        <v>242</v>
      </c>
      <c r="E367" s="37">
        <f t="shared" si="99"/>
        <v>7.1390000000000011</v>
      </c>
      <c r="F367" s="37">
        <f t="shared" si="100"/>
        <v>13.884552000000003</v>
      </c>
      <c r="G367" s="37">
        <f t="shared" si="101"/>
        <v>28.270000000000003</v>
      </c>
      <c r="I367" s="38">
        <f t="shared" si="85"/>
        <v>7.1390000000000011</v>
      </c>
      <c r="K367" s="38">
        <f t="shared" si="86"/>
        <v>10.824</v>
      </c>
      <c r="M367" s="38">
        <f t="shared" si="87"/>
        <v>28.270000000000003</v>
      </c>
      <c r="O367" s="38">
        <f t="shared" si="88"/>
        <v>11.309760000000002</v>
      </c>
      <c r="Q367" s="38">
        <f t="shared" si="89"/>
        <v>11.880000000000003</v>
      </c>
      <c r="S367" s="38">
        <v>6.49</v>
      </c>
      <c r="T367" s="38">
        <v>9.84</v>
      </c>
      <c r="U367" s="38">
        <v>25.7</v>
      </c>
      <c r="V367" s="38">
        <v>10.281600000000001</v>
      </c>
      <c r="W367" s="38">
        <v>10.8</v>
      </c>
    </row>
    <row r="368" spans="1:23" ht="15.6" outlineLevel="2">
      <c r="A368" s="52" t="s">
        <v>2292</v>
      </c>
      <c r="B368" s="70" t="s">
        <v>2293</v>
      </c>
      <c r="C368" s="52" t="s">
        <v>242</v>
      </c>
      <c r="E368" s="37">
        <f t="shared" si="99"/>
        <v>5.7750000000000004</v>
      </c>
      <c r="F368" s="37">
        <f t="shared" si="100"/>
        <v>8.5924080000000007</v>
      </c>
      <c r="G368" s="37">
        <f t="shared" si="101"/>
        <v>10.990649999999999</v>
      </c>
      <c r="I368" s="38">
        <f t="shared" si="85"/>
        <v>5.7750000000000004</v>
      </c>
      <c r="K368" s="38">
        <f t="shared" si="86"/>
        <v>9.548</v>
      </c>
      <c r="M368" s="38">
        <f t="shared" si="87"/>
        <v>10.990649999999999</v>
      </c>
      <c r="O368" s="38">
        <f t="shared" si="88"/>
        <v>9.1683900000000005</v>
      </c>
      <c r="Q368" s="38">
        <f t="shared" si="89"/>
        <v>7.48</v>
      </c>
      <c r="S368" s="38">
        <v>5.25</v>
      </c>
      <c r="T368" s="38">
        <v>8.68</v>
      </c>
      <c r="U368" s="38">
        <v>9.9914999999999985</v>
      </c>
      <c r="V368" s="38">
        <v>8.3348999999999993</v>
      </c>
      <c r="W368" s="38">
        <v>6.8</v>
      </c>
    </row>
    <row r="369" spans="1:23" ht="15.6" outlineLevel="2">
      <c r="A369" s="52" t="s">
        <v>2294</v>
      </c>
      <c r="B369" s="70" t="s">
        <v>2295</v>
      </c>
      <c r="C369" s="52" t="s">
        <v>242</v>
      </c>
      <c r="E369" s="37">
        <f t="shared" si="99"/>
        <v>6.6110000000000007</v>
      </c>
      <c r="F369" s="37">
        <f t="shared" si="100"/>
        <v>9.6540619999999997</v>
      </c>
      <c r="G369" s="37">
        <f t="shared" si="101"/>
        <v>12.569150000000002</v>
      </c>
      <c r="I369" s="38">
        <f t="shared" si="85"/>
        <v>6.6110000000000007</v>
      </c>
      <c r="K369" s="38">
        <f t="shared" si="86"/>
        <v>10.472</v>
      </c>
      <c r="M369" s="38">
        <f t="shared" si="87"/>
        <v>12.569150000000002</v>
      </c>
      <c r="O369" s="38">
        <f t="shared" si="88"/>
        <v>10.478159999999999</v>
      </c>
      <c r="Q369" s="38">
        <f t="shared" si="89"/>
        <v>8.14</v>
      </c>
      <c r="S369" s="38">
        <v>6.01</v>
      </c>
      <c r="T369" s="38">
        <v>9.52</v>
      </c>
      <c r="U369" s="38">
        <v>11.426500000000001</v>
      </c>
      <c r="V369" s="38">
        <v>9.525599999999999</v>
      </c>
      <c r="W369" s="38">
        <v>7.4</v>
      </c>
    </row>
    <row r="370" spans="1:23" ht="15.6" outlineLevel="2">
      <c r="A370" s="52" t="s">
        <v>2296</v>
      </c>
      <c r="B370" s="70" t="s">
        <v>2297</v>
      </c>
      <c r="C370" s="52" t="s">
        <v>242</v>
      </c>
      <c r="E370" s="37">
        <f t="shared" si="99"/>
        <v>6.6110000000000007</v>
      </c>
      <c r="F370" s="37">
        <f t="shared" si="100"/>
        <v>9.878461999999999</v>
      </c>
      <c r="G370" s="37">
        <f t="shared" si="101"/>
        <v>12.569150000000002</v>
      </c>
      <c r="I370" s="38">
        <f t="shared" si="85"/>
        <v>6.6110000000000007</v>
      </c>
      <c r="K370" s="38">
        <f t="shared" si="86"/>
        <v>10.934000000000001</v>
      </c>
      <c r="M370" s="38">
        <f t="shared" si="87"/>
        <v>12.569150000000002</v>
      </c>
      <c r="O370" s="38">
        <f t="shared" si="88"/>
        <v>10.478159999999999</v>
      </c>
      <c r="Q370" s="38">
        <f t="shared" si="89"/>
        <v>8.8000000000000007</v>
      </c>
      <c r="S370" s="38">
        <v>6.01</v>
      </c>
      <c r="T370" s="38">
        <v>9.94</v>
      </c>
      <c r="U370" s="38">
        <v>11.426500000000001</v>
      </c>
      <c r="V370" s="38">
        <v>9.525599999999999</v>
      </c>
      <c r="W370" s="38">
        <v>8</v>
      </c>
    </row>
    <row r="371" spans="1:23" ht="15.6" outlineLevel="2">
      <c r="A371" s="52" t="s">
        <v>2298</v>
      </c>
      <c r="B371" s="70" t="s">
        <v>2299</v>
      </c>
      <c r="C371" s="52" t="s">
        <v>242</v>
      </c>
      <c r="E371" s="37">
        <f t="shared" si="99"/>
        <v>7.4359999999999999</v>
      </c>
      <c r="F371" s="37">
        <f t="shared" si="100"/>
        <v>11.101486000000001</v>
      </c>
      <c r="G371" s="37">
        <f t="shared" si="101"/>
        <v>14.151500000000002</v>
      </c>
      <c r="I371" s="38">
        <f t="shared" si="85"/>
        <v>7.4359999999999999</v>
      </c>
      <c r="K371" s="38">
        <f t="shared" si="86"/>
        <v>12.012</v>
      </c>
      <c r="M371" s="38">
        <f t="shared" si="87"/>
        <v>14.151500000000002</v>
      </c>
      <c r="O371" s="38">
        <f t="shared" si="88"/>
        <v>11.787929999999999</v>
      </c>
      <c r="Q371" s="38">
        <f t="shared" si="89"/>
        <v>10.119999999999999</v>
      </c>
      <c r="S371" s="38">
        <v>6.76</v>
      </c>
      <c r="T371" s="38">
        <v>10.92</v>
      </c>
      <c r="U371" s="38">
        <v>12.865</v>
      </c>
      <c r="V371" s="38">
        <v>10.716299999999999</v>
      </c>
      <c r="W371" s="38">
        <v>9.1999999999999993</v>
      </c>
    </row>
    <row r="372" spans="1:23" ht="15.6" outlineLevel="2">
      <c r="A372" s="52" t="s">
        <v>2300</v>
      </c>
      <c r="B372" s="70" t="s">
        <v>2301</v>
      </c>
      <c r="C372" s="52" t="s">
        <v>242</v>
      </c>
      <c r="E372" s="37">
        <f t="shared" si="99"/>
        <v>6.0500000000000007</v>
      </c>
      <c r="F372" s="37">
        <f t="shared" si="100"/>
        <v>7.9843500000000009</v>
      </c>
      <c r="G372" s="37">
        <f t="shared" si="101"/>
        <v>9.548</v>
      </c>
      <c r="I372" s="38">
        <f t="shared" si="85"/>
        <v>9.548</v>
      </c>
      <c r="K372" s="38">
        <f t="shared" si="86"/>
        <v>7.2380000000000004</v>
      </c>
      <c r="M372" s="38">
        <f t="shared" si="87"/>
        <v>9.07775</v>
      </c>
      <c r="O372" s="38">
        <f t="shared" si="88"/>
        <v>8.0080000000000009</v>
      </c>
      <c r="Q372" s="38">
        <f t="shared" si="89"/>
        <v>6.0500000000000007</v>
      </c>
      <c r="S372" s="38">
        <v>8.68</v>
      </c>
      <c r="T372" s="38">
        <v>6.58</v>
      </c>
      <c r="U372" s="38">
        <v>8.2524999999999995</v>
      </c>
      <c r="V372" s="38">
        <v>7.28</v>
      </c>
      <c r="W372" s="38">
        <v>5.5</v>
      </c>
    </row>
    <row r="373" spans="1:23" ht="15.6" outlineLevel="2">
      <c r="A373" s="52" t="s">
        <v>2302</v>
      </c>
      <c r="B373" s="70" t="s">
        <v>2303</v>
      </c>
      <c r="C373" s="52" t="s">
        <v>242</v>
      </c>
      <c r="E373" s="37">
        <f t="shared" si="99"/>
        <v>9.5809999999999995</v>
      </c>
      <c r="F373" s="37">
        <f t="shared" si="100"/>
        <v>15.7722015</v>
      </c>
      <c r="G373" s="37">
        <f t="shared" si="101"/>
        <v>20.306000000000001</v>
      </c>
      <c r="I373" s="38">
        <f t="shared" si="85"/>
        <v>9.5809999999999995</v>
      </c>
      <c r="K373" s="38">
        <f t="shared" si="86"/>
        <v>20.306000000000001</v>
      </c>
      <c r="M373" s="38">
        <f t="shared" si="87"/>
        <v>17.0319875</v>
      </c>
      <c r="O373" s="38">
        <f t="shared" si="88"/>
        <v>17.422020000000003</v>
      </c>
      <c r="Q373" s="38">
        <f t="shared" si="89"/>
        <v>14.52</v>
      </c>
      <c r="S373" s="38">
        <v>8.7099999999999991</v>
      </c>
      <c r="T373" s="38">
        <v>18.46</v>
      </c>
      <c r="U373" s="38">
        <v>15.483625</v>
      </c>
      <c r="V373" s="38">
        <v>15.838200000000001</v>
      </c>
      <c r="W373" s="38">
        <v>13.2</v>
      </c>
    </row>
    <row r="374" spans="1:23" ht="15.6" outlineLevel="2">
      <c r="A374" s="52" t="s">
        <v>2304</v>
      </c>
      <c r="B374" s="70" t="s">
        <v>2305</v>
      </c>
      <c r="C374" s="52" t="s">
        <v>242</v>
      </c>
      <c r="E374" s="37">
        <f t="shared" si="99"/>
        <v>11.176000000000002</v>
      </c>
      <c r="F374" s="37">
        <f t="shared" si="100"/>
        <v>16.989010499999999</v>
      </c>
      <c r="G374" s="37">
        <f t="shared" si="101"/>
        <v>22.308000000000003</v>
      </c>
      <c r="I374" s="38">
        <f t="shared" si="85"/>
        <v>11.176000000000002</v>
      </c>
      <c r="K374" s="38">
        <f t="shared" si="86"/>
        <v>22.308000000000003</v>
      </c>
      <c r="M374" s="38">
        <f t="shared" si="87"/>
        <v>18.313212499999999</v>
      </c>
      <c r="O374" s="38">
        <f t="shared" si="88"/>
        <v>18.627840000000003</v>
      </c>
      <c r="Q374" s="38">
        <f t="shared" si="89"/>
        <v>14.52</v>
      </c>
      <c r="S374" s="38">
        <v>10.16</v>
      </c>
      <c r="T374" s="38">
        <v>20.28</v>
      </c>
      <c r="U374" s="38">
        <v>16.648374999999998</v>
      </c>
      <c r="V374" s="38">
        <v>16.9344</v>
      </c>
      <c r="W374" s="38">
        <v>13.2</v>
      </c>
    </row>
    <row r="375" spans="1:23" ht="15.6" outlineLevel="2">
      <c r="A375" s="52" t="s">
        <v>2306</v>
      </c>
      <c r="B375" s="70" t="s">
        <v>2307</v>
      </c>
      <c r="C375" s="52" t="s">
        <v>242</v>
      </c>
      <c r="E375" s="37">
        <f t="shared" si="99"/>
        <v>12.771000000000001</v>
      </c>
      <c r="F375" s="37">
        <f t="shared" si="100"/>
        <v>19.277301999999999</v>
      </c>
      <c r="G375" s="37">
        <f t="shared" si="101"/>
        <v>23.232000000000003</v>
      </c>
      <c r="I375" s="38">
        <f t="shared" si="85"/>
        <v>12.771000000000001</v>
      </c>
      <c r="K375" s="38">
        <f t="shared" si="86"/>
        <v>23.232000000000003</v>
      </c>
      <c r="M375" s="38">
        <f t="shared" si="87"/>
        <v>19.5822</v>
      </c>
      <c r="O375" s="38">
        <f t="shared" si="88"/>
        <v>20.561310000000002</v>
      </c>
      <c r="Q375" s="38">
        <f t="shared" si="89"/>
        <v>20.239999999999998</v>
      </c>
      <c r="S375" s="38">
        <v>11.61</v>
      </c>
      <c r="T375" s="38">
        <v>21.12</v>
      </c>
      <c r="U375" s="38">
        <v>17.802</v>
      </c>
      <c r="V375" s="38">
        <v>18.6921</v>
      </c>
      <c r="W375" s="38">
        <v>18.399999999999999</v>
      </c>
    </row>
    <row r="376" spans="1:23" ht="15" outlineLevel="1">
      <c r="A376" s="31" t="s">
        <v>2308</v>
      </c>
      <c r="B376" s="71" t="s">
        <v>2309</v>
      </c>
      <c r="C376" s="31"/>
      <c r="I376" t="str">
        <f t="shared" si="85"/>
        <v/>
      </c>
      <c r="K376" t="str">
        <f t="shared" si="86"/>
        <v/>
      </c>
      <c r="M376" t="str">
        <f t="shared" si="87"/>
        <v/>
      </c>
      <c r="O376" t="str">
        <f t="shared" si="88"/>
        <v/>
      </c>
      <c r="Q376" t="str">
        <f t="shared" si="89"/>
        <v/>
      </c>
      <c r="T376"/>
      <c r="U376"/>
      <c r="V376"/>
      <c r="W376"/>
    </row>
    <row r="377" spans="1:23" ht="15.6" outlineLevel="2">
      <c r="A377" s="52" t="s">
        <v>2310</v>
      </c>
      <c r="B377" s="70" t="s">
        <v>2311</v>
      </c>
      <c r="C377" s="52" t="s">
        <v>253</v>
      </c>
      <c r="E377" s="37">
        <f t="shared" ref="E377:E387" si="102">MIN(I377,K377,M377,O377,Q377)</f>
        <v>1.6060000000000001</v>
      </c>
      <c r="F377" s="37">
        <f t="shared" ref="F377:F387" si="103">AVERAGE(I377,K377,M377,O377,Q377)</f>
        <v>2.7614179999999999</v>
      </c>
      <c r="G377" s="37">
        <f t="shared" ref="G377:G387" si="104">MAX(I377,K377,M377,O377,Q377)</f>
        <v>5.2140000000000004</v>
      </c>
      <c r="I377" s="38">
        <f t="shared" si="85"/>
        <v>1.6060000000000001</v>
      </c>
      <c r="K377" s="38">
        <f t="shared" si="86"/>
        <v>5.2140000000000004</v>
      </c>
      <c r="M377" s="38">
        <f t="shared" si="87"/>
        <v>2.4914999999999998</v>
      </c>
      <c r="O377" s="38">
        <f t="shared" si="88"/>
        <v>2.51559</v>
      </c>
      <c r="Q377" s="38">
        <f t="shared" si="89"/>
        <v>1.9800000000000002</v>
      </c>
      <c r="S377" s="38">
        <v>1.46</v>
      </c>
      <c r="T377" s="38">
        <v>4.74</v>
      </c>
      <c r="U377" s="38">
        <v>2.2649999999999997</v>
      </c>
      <c r="V377" s="38">
        <v>2.2868999999999997</v>
      </c>
      <c r="W377" s="38">
        <v>1.8</v>
      </c>
    </row>
    <row r="378" spans="1:23" ht="15.6" outlineLevel="2">
      <c r="A378" s="52" t="s">
        <v>2312</v>
      </c>
      <c r="B378" s="70" t="s">
        <v>2313</v>
      </c>
      <c r="C378" s="52" t="s">
        <v>242</v>
      </c>
      <c r="E378" s="37">
        <f t="shared" si="102"/>
        <v>7.7440000000000007</v>
      </c>
      <c r="F378" s="37">
        <f t="shared" si="103"/>
        <v>11.761420000000001</v>
      </c>
      <c r="G378" s="37">
        <f t="shared" si="104"/>
        <v>14.729000000000001</v>
      </c>
      <c r="I378" s="38">
        <f t="shared" si="85"/>
        <v>7.7440000000000007</v>
      </c>
      <c r="K378" s="38">
        <f t="shared" si="86"/>
        <v>11.748000000000001</v>
      </c>
      <c r="M378" s="38">
        <f t="shared" si="87"/>
        <v>14.729000000000001</v>
      </c>
      <c r="O378" s="38">
        <f t="shared" si="88"/>
        <v>12.266100000000002</v>
      </c>
      <c r="Q378" s="38">
        <f t="shared" si="89"/>
        <v>12.32</v>
      </c>
      <c r="S378" s="38">
        <v>7.04</v>
      </c>
      <c r="T378" s="38">
        <v>10.68</v>
      </c>
      <c r="U378" s="38">
        <v>13.39</v>
      </c>
      <c r="V378" s="38">
        <v>11.151</v>
      </c>
      <c r="W378" s="38">
        <v>11.2</v>
      </c>
    </row>
    <row r="379" spans="1:23" ht="15.6" outlineLevel="2">
      <c r="A379" s="52" t="s">
        <v>2314</v>
      </c>
      <c r="B379" s="70" t="s">
        <v>2315</v>
      </c>
      <c r="C379" s="52" t="s">
        <v>242</v>
      </c>
      <c r="E379" s="37">
        <f t="shared" si="102"/>
        <v>12.683</v>
      </c>
      <c r="F379" s="37">
        <f t="shared" si="103"/>
        <v>19.287444000000001</v>
      </c>
      <c r="G379" s="37">
        <f t="shared" si="104"/>
        <v>24.139500000000002</v>
      </c>
      <c r="I379" s="38">
        <f t="shared" si="85"/>
        <v>12.683</v>
      </c>
      <c r="K379" s="38">
        <f t="shared" si="86"/>
        <v>19.25</v>
      </c>
      <c r="M379" s="38">
        <f t="shared" si="87"/>
        <v>24.139500000000002</v>
      </c>
      <c r="O379" s="38">
        <f t="shared" si="88"/>
        <v>20.12472</v>
      </c>
      <c r="Q379" s="38">
        <f t="shared" si="89"/>
        <v>20.239999999999998</v>
      </c>
      <c r="S379" s="38">
        <v>11.53</v>
      </c>
      <c r="T379" s="38">
        <v>17.5</v>
      </c>
      <c r="U379" s="38">
        <v>21.945</v>
      </c>
      <c r="V379" s="38">
        <v>18.295199999999998</v>
      </c>
      <c r="W379" s="38">
        <v>18.399999999999999</v>
      </c>
    </row>
    <row r="380" spans="1:23" ht="15.6" outlineLevel="2">
      <c r="A380" s="52" t="s">
        <v>2316</v>
      </c>
      <c r="B380" s="70" t="s">
        <v>2317</v>
      </c>
      <c r="C380" s="52" t="s">
        <v>242</v>
      </c>
      <c r="E380" s="37">
        <f t="shared" si="102"/>
        <v>6.3029999999999999</v>
      </c>
      <c r="F380" s="37">
        <f t="shared" si="103"/>
        <v>9.2846380000000011</v>
      </c>
      <c r="G380" s="37">
        <f t="shared" si="104"/>
        <v>11.992200000000002</v>
      </c>
      <c r="I380" s="38">
        <f t="shared" si="85"/>
        <v>6.3029999999999999</v>
      </c>
      <c r="K380" s="38">
        <f t="shared" si="86"/>
        <v>10.428000000000001</v>
      </c>
      <c r="M380" s="38">
        <f t="shared" si="87"/>
        <v>11.992200000000002</v>
      </c>
      <c r="O380" s="38">
        <f t="shared" si="88"/>
        <v>9.9999900000000004</v>
      </c>
      <c r="Q380" s="38">
        <f t="shared" si="89"/>
        <v>7.7000000000000011</v>
      </c>
      <c r="S380" s="38">
        <v>5.7299999999999995</v>
      </c>
      <c r="T380" s="38">
        <v>9.48</v>
      </c>
      <c r="U380" s="38">
        <v>10.902000000000001</v>
      </c>
      <c r="V380" s="38">
        <v>9.0908999999999995</v>
      </c>
      <c r="W380" s="38">
        <v>7</v>
      </c>
    </row>
    <row r="381" spans="1:23" ht="15.6" outlineLevel="2">
      <c r="A381" s="52" t="s">
        <v>2318</v>
      </c>
      <c r="B381" s="70" t="s">
        <v>2319</v>
      </c>
      <c r="C381" s="52" t="s">
        <v>242</v>
      </c>
      <c r="E381" s="37">
        <f t="shared" si="102"/>
        <v>7.26</v>
      </c>
      <c r="F381" s="37">
        <f t="shared" si="103"/>
        <v>10.786292</v>
      </c>
      <c r="G381" s="37">
        <f t="shared" si="104"/>
        <v>13.813800000000001</v>
      </c>
      <c r="I381" s="38">
        <f t="shared" si="85"/>
        <v>7.26</v>
      </c>
      <c r="K381" s="38">
        <f t="shared" si="86"/>
        <v>12.32</v>
      </c>
      <c r="M381" s="38">
        <f t="shared" si="87"/>
        <v>13.813800000000001</v>
      </c>
      <c r="O381" s="38">
        <f t="shared" si="88"/>
        <v>11.517659999999999</v>
      </c>
      <c r="Q381" s="38">
        <f t="shared" si="89"/>
        <v>9.02</v>
      </c>
      <c r="S381" s="38">
        <v>6.6</v>
      </c>
      <c r="T381" s="38">
        <v>11.2</v>
      </c>
      <c r="U381" s="38">
        <v>12.558</v>
      </c>
      <c r="V381" s="38">
        <v>10.470599999999999</v>
      </c>
      <c r="W381" s="38">
        <v>8.1999999999999993</v>
      </c>
    </row>
    <row r="382" spans="1:23" ht="15.6" outlineLevel="2">
      <c r="A382" s="52" t="s">
        <v>2320</v>
      </c>
      <c r="B382" s="70" t="s">
        <v>2321</v>
      </c>
      <c r="C382" s="52" t="s">
        <v>242</v>
      </c>
      <c r="E382" s="37">
        <f t="shared" si="102"/>
        <v>8.2170000000000005</v>
      </c>
      <c r="F382" s="37">
        <f t="shared" si="103"/>
        <v>12.274746000000002</v>
      </c>
      <c r="G382" s="37">
        <f t="shared" si="104"/>
        <v>15.635400000000002</v>
      </c>
      <c r="I382" s="38">
        <f t="shared" si="85"/>
        <v>8.2170000000000005</v>
      </c>
      <c r="K382" s="38">
        <f t="shared" si="86"/>
        <v>13.926000000000002</v>
      </c>
      <c r="M382" s="38">
        <f t="shared" si="87"/>
        <v>15.635400000000002</v>
      </c>
      <c r="O382" s="38">
        <f t="shared" si="88"/>
        <v>13.03533</v>
      </c>
      <c r="Q382" s="38">
        <f t="shared" si="89"/>
        <v>10.56</v>
      </c>
      <c r="S382" s="38">
        <v>7.47</v>
      </c>
      <c r="T382" s="38">
        <v>12.66</v>
      </c>
      <c r="U382" s="38">
        <v>14.214</v>
      </c>
      <c r="V382" s="38">
        <v>11.850299999999999</v>
      </c>
      <c r="W382" s="38">
        <v>9.6</v>
      </c>
    </row>
    <row r="383" spans="1:23" ht="15.6" outlineLevel="2">
      <c r="A383" s="52" t="s">
        <v>2322</v>
      </c>
      <c r="B383" s="70" t="s">
        <v>2323</v>
      </c>
      <c r="C383" s="52" t="s">
        <v>242</v>
      </c>
      <c r="E383" s="37">
        <f t="shared" si="102"/>
        <v>6.8200000000000012</v>
      </c>
      <c r="F383" s="37">
        <f t="shared" si="103"/>
        <v>8.5569000000000006</v>
      </c>
      <c r="G383" s="37">
        <f t="shared" si="104"/>
        <v>10.131</v>
      </c>
      <c r="I383" s="38">
        <f t="shared" si="85"/>
        <v>10.131</v>
      </c>
      <c r="K383" s="38">
        <f t="shared" si="86"/>
        <v>7.6890000000000009</v>
      </c>
      <c r="M383" s="38">
        <f t="shared" si="87"/>
        <v>9.6414999999999988</v>
      </c>
      <c r="O383" s="38">
        <f t="shared" si="88"/>
        <v>8.5030000000000019</v>
      </c>
      <c r="Q383" s="38">
        <f t="shared" si="89"/>
        <v>6.8200000000000012</v>
      </c>
      <c r="S383" s="38">
        <v>9.2099999999999991</v>
      </c>
      <c r="T383" s="38">
        <v>6.99</v>
      </c>
      <c r="U383" s="38">
        <v>8.7649999999999988</v>
      </c>
      <c r="V383" s="38">
        <v>7.73</v>
      </c>
      <c r="W383" s="38">
        <v>6.2</v>
      </c>
    </row>
    <row r="384" spans="1:23" ht="15.6" outlineLevel="2">
      <c r="A384" s="52" t="s">
        <v>2324</v>
      </c>
      <c r="B384" s="70" t="s">
        <v>2325</v>
      </c>
      <c r="C384" s="52" t="s">
        <v>242</v>
      </c>
      <c r="E384" s="37">
        <f t="shared" si="102"/>
        <v>14.904999999999999</v>
      </c>
      <c r="F384" s="37">
        <f t="shared" si="103"/>
        <v>21.991046000000001</v>
      </c>
      <c r="G384" s="37">
        <f t="shared" si="104"/>
        <v>28.358000000000001</v>
      </c>
      <c r="I384" s="38">
        <f t="shared" si="85"/>
        <v>14.904999999999999</v>
      </c>
      <c r="K384" s="38">
        <f t="shared" si="86"/>
        <v>22.594000000000001</v>
      </c>
      <c r="M384" s="38">
        <f t="shared" si="87"/>
        <v>28.358000000000001</v>
      </c>
      <c r="O384" s="38">
        <f t="shared" si="88"/>
        <v>23.638229999999997</v>
      </c>
      <c r="Q384" s="38">
        <f t="shared" si="89"/>
        <v>20.460000000000004</v>
      </c>
      <c r="S384" s="38">
        <v>13.549999999999999</v>
      </c>
      <c r="T384" s="38">
        <v>20.54</v>
      </c>
      <c r="U384" s="38">
        <v>25.779999999999998</v>
      </c>
      <c r="V384" s="38">
        <v>21.489299999999997</v>
      </c>
      <c r="W384" s="38">
        <v>18.600000000000001</v>
      </c>
    </row>
    <row r="385" spans="1:23" ht="15.6" outlineLevel="2">
      <c r="A385" s="52" t="s">
        <v>2326</v>
      </c>
      <c r="B385" s="70" t="s">
        <v>2327</v>
      </c>
      <c r="C385" s="52" t="s">
        <v>242</v>
      </c>
      <c r="E385" s="37">
        <f t="shared" si="102"/>
        <v>9.5809999999999995</v>
      </c>
      <c r="F385" s="37">
        <f t="shared" si="103"/>
        <v>16.877212000000004</v>
      </c>
      <c r="G385" s="37">
        <f t="shared" si="104"/>
        <v>21.78</v>
      </c>
      <c r="I385" s="38">
        <f t="shared" si="85"/>
        <v>9.5809999999999995</v>
      </c>
      <c r="K385" s="38">
        <f t="shared" si="86"/>
        <v>21.78</v>
      </c>
      <c r="M385" s="38">
        <f t="shared" si="87"/>
        <v>18.094560000000001</v>
      </c>
      <c r="O385" s="38">
        <f t="shared" si="88"/>
        <v>19.750499999999999</v>
      </c>
      <c r="Q385" s="38">
        <f t="shared" si="89"/>
        <v>15.180000000000001</v>
      </c>
      <c r="S385" s="38">
        <v>8.7099999999999991</v>
      </c>
      <c r="T385" s="38">
        <v>19.8</v>
      </c>
      <c r="U385" s="38">
        <v>16.4496</v>
      </c>
      <c r="V385" s="38">
        <v>17.954999999999998</v>
      </c>
      <c r="W385" s="38">
        <v>13.8</v>
      </c>
    </row>
    <row r="386" spans="1:23" ht="15.6" outlineLevel="2">
      <c r="A386" s="52" t="s">
        <v>2328</v>
      </c>
      <c r="B386" s="70" t="s">
        <v>2329</v>
      </c>
      <c r="C386" s="52" t="s">
        <v>242</v>
      </c>
      <c r="E386" s="37">
        <f t="shared" si="102"/>
        <v>11.176000000000002</v>
      </c>
      <c r="F386" s="37">
        <f t="shared" si="103"/>
        <v>19.394892000000006</v>
      </c>
      <c r="G386" s="37">
        <f t="shared" si="104"/>
        <v>25.718</v>
      </c>
      <c r="I386" s="38">
        <f t="shared" si="85"/>
        <v>11.176000000000002</v>
      </c>
      <c r="K386" s="38">
        <f t="shared" si="86"/>
        <v>25.718</v>
      </c>
      <c r="M386" s="38">
        <f t="shared" si="87"/>
        <v>22.011000000000003</v>
      </c>
      <c r="O386" s="38">
        <f t="shared" si="88"/>
        <v>20.249460000000003</v>
      </c>
      <c r="Q386" s="38">
        <f t="shared" si="89"/>
        <v>17.82</v>
      </c>
      <c r="S386" s="38">
        <v>10.16</v>
      </c>
      <c r="T386" s="38">
        <v>23.38</v>
      </c>
      <c r="U386" s="38">
        <v>20.010000000000002</v>
      </c>
      <c r="V386" s="38">
        <v>18.4086</v>
      </c>
      <c r="W386" s="38">
        <v>16.2</v>
      </c>
    </row>
    <row r="387" spans="1:23" ht="15.6" outlineLevel="2">
      <c r="A387" s="52" t="s">
        <v>2330</v>
      </c>
      <c r="B387" s="70" t="s">
        <v>2331</v>
      </c>
      <c r="C387" s="52" t="s">
        <v>242</v>
      </c>
      <c r="E387" s="37">
        <f t="shared" si="102"/>
        <v>12.771000000000001</v>
      </c>
      <c r="F387" s="37">
        <f t="shared" si="103"/>
        <v>22.552376000000002</v>
      </c>
      <c r="G387" s="37">
        <f t="shared" si="104"/>
        <v>29.106000000000002</v>
      </c>
      <c r="I387" s="38">
        <f t="shared" si="85"/>
        <v>12.771000000000001</v>
      </c>
      <c r="K387" s="38">
        <f t="shared" si="86"/>
        <v>29.106000000000002</v>
      </c>
      <c r="M387" s="38">
        <f t="shared" si="87"/>
        <v>25.927440000000001</v>
      </c>
      <c r="O387" s="38">
        <f t="shared" si="88"/>
        <v>23.617439999999998</v>
      </c>
      <c r="Q387" s="38">
        <f t="shared" si="89"/>
        <v>21.34</v>
      </c>
      <c r="S387" s="38">
        <v>11.61</v>
      </c>
      <c r="T387" s="38">
        <v>26.46</v>
      </c>
      <c r="U387" s="38">
        <v>23.570399999999999</v>
      </c>
      <c r="V387" s="38">
        <v>21.470399999999998</v>
      </c>
      <c r="W387" s="38">
        <v>19.399999999999999</v>
      </c>
    </row>
    <row r="388" spans="1:23" ht="15" outlineLevel="1">
      <c r="A388" s="31" t="s">
        <v>2332</v>
      </c>
      <c r="B388" s="71" t="s">
        <v>2333</v>
      </c>
      <c r="C388" s="31"/>
      <c r="I388" t="str">
        <f t="shared" ref="I388:I451" si="105" xml:space="preserve"> IF(ISBLANK(S388),"",_k_EIFFAGE * S388)</f>
        <v/>
      </c>
      <c r="K388" t="str">
        <f t="shared" ref="K388:K451" si="106" xml:space="preserve"> IF(ISBLANK(T388),"",_k_ERI * T388)</f>
        <v/>
      </c>
      <c r="M388" t="str">
        <f t="shared" ref="M388:M451" si="107" xml:space="preserve"> IF(ISBLANK(U388),"",_k_INEO * U388)</f>
        <v/>
      </c>
      <c r="O388" t="str">
        <f t="shared" ref="O388:O451" si="108" xml:space="preserve"> IF(ISBLANK(V388),"",_k_SDEL * V388)</f>
        <v/>
      </c>
      <c r="Q388" t="str">
        <f t="shared" ref="Q388:Q451" si="109" xml:space="preserve"> IF(ISBLANK(W388),"",_k_SOGETREL * W388)</f>
        <v/>
      </c>
      <c r="T388"/>
      <c r="U388"/>
      <c r="V388"/>
      <c r="W388"/>
    </row>
    <row r="389" spans="1:23" ht="15.6" outlineLevel="2">
      <c r="A389" s="47" t="s">
        <v>2334</v>
      </c>
      <c r="B389" s="75" t="s">
        <v>2335</v>
      </c>
      <c r="C389" s="47" t="s">
        <v>242</v>
      </c>
      <c r="E389" s="37">
        <f>MIN(I389,K389,M389,O389,Q389)</f>
        <v>4.1580000000000004</v>
      </c>
      <c r="F389" s="37">
        <f>AVERAGE(I389,K389,M389,O389,Q389)</f>
        <v>6.793666</v>
      </c>
      <c r="G389" s="37">
        <f>MAX(I389,K389,M389,O389,Q389)</f>
        <v>8.5965000000000007</v>
      </c>
      <c r="I389" s="38">
        <f t="shared" si="105"/>
        <v>4.1580000000000004</v>
      </c>
      <c r="K389" s="38">
        <f t="shared" si="106"/>
        <v>7.6560000000000006</v>
      </c>
      <c r="M389" s="38">
        <f t="shared" si="107"/>
        <v>8.5965000000000007</v>
      </c>
      <c r="O389" s="38">
        <f t="shared" si="108"/>
        <v>7.8378300000000003</v>
      </c>
      <c r="Q389" s="38">
        <f t="shared" si="109"/>
        <v>5.7200000000000006</v>
      </c>
      <c r="S389" s="38">
        <v>3.78</v>
      </c>
      <c r="T389" s="38">
        <v>6.96</v>
      </c>
      <c r="U389" s="38">
        <v>7.8149999999999995</v>
      </c>
      <c r="V389" s="38">
        <v>7.1252999999999993</v>
      </c>
      <c r="W389" s="38">
        <v>5.2</v>
      </c>
    </row>
    <row r="390" spans="1:23" ht="15.6" outlineLevel="2">
      <c r="A390" s="49" t="s">
        <v>2336</v>
      </c>
      <c r="B390" s="76" t="s">
        <v>2337</v>
      </c>
      <c r="C390" s="49" t="s">
        <v>242</v>
      </c>
      <c r="E390" s="37">
        <f>MIN(I390,K390,M390,O390,Q390)</f>
        <v>4.07</v>
      </c>
      <c r="F390" s="37">
        <f>AVERAGE(I390,K390,M390,O390,Q390)</f>
        <v>8.9838539999999991</v>
      </c>
      <c r="G390" s="37">
        <f>MAX(I390,K390,M390,O390,Q390)</f>
        <v>14.729000000000001</v>
      </c>
      <c r="I390" s="38">
        <f t="shared" si="105"/>
        <v>4.07</v>
      </c>
      <c r="K390" s="38">
        <f t="shared" si="106"/>
        <v>13.134</v>
      </c>
      <c r="M390" s="38">
        <f t="shared" si="107"/>
        <v>14.729000000000001</v>
      </c>
      <c r="O390" s="38">
        <f t="shared" si="108"/>
        <v>8.586269999999999</v>
      </c>
      <c r="Q390" s="38">
        <f t="shared" si="109"/>
        <v>4.4000000000000004</v>
      </c>
      <c r="S390" s="38">
        <v>3.6999999999999997</v>
      </c>
      <c r="T390" s="38">
        <v>11.94</v>
      </c>
      <c r="U390" s="38">
        <v>13.39</v>
      </c>
      <c r="V390" s="38">
        <v>7.805699999999999</v>
      </c>
      <c r="W390" s="38">
        <v>4</v>
      </c>
    </row>
    <row r="391" spans="1:23" ht="15.6" outlineLevel="2">
      <c r="A391" s="49" t="s">
        <v>2338</v>
      </c>
      <c r="B391" s="76" t="s">
        <v>2339</v>
      </c>
      <c r="C391" s="49" t="s">
        <v>242</v>
      </c>
      <c r="E391" s="37">
        <f>MIN(I391,K391,M391,O391,Q391)</f>
        <v>2.4200000000000004</v>
      </c>
      <c r="F391" s="37">
        <f>AVERAGE(I391,K391,M391,O391,Q391)</f>
        <v>4.4199980000000005</v>
      </c>
      <c r="G391" s="37">
        <f>MAX(I391,K391,M391,O391,Q391)</f>
        <v>7.9209900000000006</v>
      </c>
      <c r="I391" s="38">
        <f t="shared" si="105"/>
        <v>2.5629999999999997</v>
      </c>
      <c r="K391" s="38">
        <f t="shared" si="106"/>
        <v>4.3340000000000005</v>
      </c>
      <c r="M391" s="38">
        <f t="shared" si="107"/>
        <v>4.8620000000000001</v>
      </c>
      <c r="O391" s="38">
        <f t="shared" si="108"/>
        <v>7.9209900000000006</v>
      </c>
      <c r="Q391" s="38">
        <f t="shared" si="109"/>
        <v>2.4200000000000004</v>
      </c>
      <c r="S391" s="38">
        <v>2.3299999999999996</v>
      </c>
      <c r="T391" s="38">
        <v>3.94</v>
      </c>
      <c r="U391" s="38">
        <v>4.42</v>
      </c>
      <c r="V391" s="38">
        <v>7.2008999999999999</v>
      </c>
      <c r="W391" s="38">
        <v>2.2000000000000002</v>
      </c>
    </row>
    <row r="392" spans="1:23" ht="15.6" outlineLevel="2">
      <c r="A392" s="49" t="s">
        <v>2340</v>
      </c>
      <c r="B392" s="76" t="s">
        <v>2341</v>
      </c>
      <c r="C392" s="49" t="s">
        <v>242</v>
      </c>
      <c r="E392" s="37">
        <f>MIN(I392,K392,M392,O392,Q392)</f>
        <v>2.4200000000000004</v>
      </c>
      <c r="F392" s="37">
        <f>AVERAGE(I392,K392,M392,O392,Q392)</f>
        <v>3.6466100000000004</v>
      </c>
      <c r="G392" s="37">
        <f>MAX(I392,K392,M392,O392,Q392)</f>
        <v>4.8620000000000001</v>
      </c>
      <c r="I392" s="38">
        <f t="shared" si="105"/>
        <v>2.5629999999999997</v>
      </c>
      <c r="K392" s="38">
        <f t="shared" si="106"/>
        <v>4.3340000000000005</v>
      </c>
      <c r="M392" s="38">
        <f t="shared" si="107"/>
        <v>4.8620000000000001</v>
      </c>
      <c r="O392" s="38">
        <f t="shared" si="108"/>
        <v>4.0540500000000002</v>
      </c>
      <c r="Q392" s="38">
        <f t="shared" si="109"/>
        <v>2.4200000000000004</v>
      </c>
      <c r="S392" s="38">
        <v>2.3299999999999996</v>
      </c>
      <c r="T392" s="38">
        <v>3.94</v>
      </c>
      <c r="U392" s="38">
        <v>4.42</v>
      </c>
      <c r="V392" s="38">
        <v>3.6854999999999998</v>
      </c>
      <c r="W392" s="38">
        <v>2.2000000000000002</v>
      </c>
    </row>
    <row r="393" spans="1:23" ht="15.95" outlineLevel="2" thickBot="1">
      <c r="A393" s="49" t="s">
        <v>2342</v>
      </c>
      <c r="B393" s="76" t="s">
        <v>2343</v>
      </c>
      <c r="C393" s="49" t="s">
        <v>242</v>
      </c>
      <c r="E393" s="37">
        <f>MIN(I393,K393,M393,O393,Q393)</f>
        <v>1.6830000000000003</v>
      </c>
      <c r="F393" s="37">
        <f>AVERAGE(I393,K393,M393,O393,Q393)</f>
        <v>2.4704240000000004</v>
      </c>
      <c r="G393" s="37">
        <f>MAX(I393,K393,M393,O393,Q393)</f>
        <v>3.19</v>
      </c>
      <c r="I393" s="38">
        <f t="shared" si="105"/>
        <v>1.6830000000000003</v>
      </c>
      <c r="K393" s="38">
        <f t="shared" si="106"/>
        <v>2.8380000000000005</v>
      </c>
      <c r="M393" s="38">
        <f t="shared" si="107"/>
        <v>3.19</v>
      </c>
      <c r="O393" s="38">
        <f t="shared" si="108"/>
        <v>2.6611200000000004</v>
      </c>
      <c r="Q393" s="38">
        <f t="shared" si="109"/>
        <v>1.9800000000000002</v>
      </c>
      <c r="S393" s="38">
        <v>1.53</v>
      </c>
      <c r="T393" s="38">
        <v>2.58</v>
      </c>
      <c r="U393" s="38">
        <v>2.9</v>
      </c>
      <c r="V393" s="38">
        <v>2.4192</v>
      </c>
      <c r="W393" s="38">
        <v>1.8</v>
      </c>
    </row>
    <row r="394" spans="1:23" ht="15.6" thickBot="1">
      <c r="A394" s="24" t="s">
        <v>2344</v>
      </c>
      <c r="B394" s="77" t="s">
        <v>2345</v>
      </c>
      <c r="C394" s="24"/>
      <c r="I394" t="str">
        <f t="shared" si="105"/>
        <v/>
      </c>
      <c r="K394" t="str">
        <f t="shared" si="106"/>
        <v/>
      </c>
      <c r="M394" t="str">
        <f t="shared" si="107"/>
        <v/>
      </c>
      <c r="O394" t="str">
        <f t="shared" si="108"/>
        <v/>
      </c>
      <c r="Q394" t="str">
        <f t="shared" si="109"/>
        <v/>
      </c>
      <c r="T394"/>
      <c r="U394"/>
      <c r="V394"/>
      <c r="W394"/>
    </row>
    <row r="395" spans="1:23" ht="15" outlineLevel="1">
      <c r="A395" s="27" t="s">
        <v>2346</v>
      </c>
      <c r="B395" s="78" t="s">
        <v>2347</v>
      </c>
      <c r="C395" s="27"/>
      <c r="I395">
        <f t="shared" si="105"/>
        <v>0</v>
      </c>
      <c r="K395">
        <f t="shared" si="106"/>
        <v>0</v>
      </c>
      <c r="M395">
        <f t="shared" si="107"/>
        <v>0</v>
      </c>
      <c r="O395">
        <f t="shared" si="108"/>
        <v>0</v>
      </c>
      <c r="Q395">
        <f t="shared" si="109"/>
        <v>0</v>
      </c>
      <c r="S395">
        <v>0</v>
      </c>
      <c r="T395">
        <v>0</v>
      </c>
      <c r="U395">
        <v>0</v>
      </c>
      <c r="V395">
        <v>0</v>
      </c>
      <c r="W395">
        <v>0</v>
      </c>
    </row>
    <row r="396" spans="1:23" ht="15.6" outlineLevel="2">
      <c r="A396" s="52" t="s">
        <v>2348</v>
      </c>
      <c r="B396" s="70" t="s">
        <v>2349</v>
      </c>
      <c r="C396" s="52" t="s">
        <v>242</v>
      </c>
      <c r="E396" s="37">
        <f>MIN(I396,K396,M396,O396,Q396)</f>
        <v>65.637</v>
      </c>
      <c r="F396" s="37">
        <f>AVERAGE(I396,K396,M396,O396,Q396)</f>
        <v>82.609856287475196</v>
      </c>
      <c r="G396" s="37">
        <f>MAX(I396,K396,M396,O396,Q396)</f>
        <v>95.182281437375948</v>
      </c>
      <c r="I396" s="38">
        <f t="shared" si="105"/>
        <v>65.637</v>
      </c>
      <c r="K396" s="38">
        <f t="shared" si="106"/>
        <v>94.710000000000008</v>
      </c>
      <c r="M396" s="38">
        <f t="shared" si="107"/>
        <v>91.08</v>
      </c>
      <c r="O396" s="38">
        <f t="shared" si="108"/>
        <v>95.182281437375948</v>
      </c>
      <c r="Q396" s="38">
        <f t="shared" si="109"/>
        <v>66.44</v>
      </c>
      <c r="S396" s="38">
        <v>59.669999999999995</v>
      </c>
      <c r="T396" s="38">
        <v>86.1</v>
      </c>
      <c r="U396" s="38">
        <v>82.8</v>
      </c>
      <c r="V396" s="38">
        <v>86.529346761250849</v>
      </c>
      <c r="W396" s="38">
        <v>60.4</v>
      </c>
    </row>
    <row r="397" spans="1:23" ht="15.6" outlineLevel="2">
      <c r="A397" s="52" t="s">
        <v>2350</v>
      </c>
      <c r="B397" s="70" t="s">
        <v>2351</v>
      </c>
      <c r="C397" s="52" t="s">
        <v>242</v>
      </c>
      <c r="E397" s="37">
        <f>MIN(I397,K397,M397,O397,Q397)</f>
        <v>83.12700000000001</v>
      </c>
      <c r="F397" s="37">
        <f>AVERAGE(I397,K397,M397,O397,Q397)</f>
        <v>100.15195254068735</v>
      </c>
      <c r="G397" s="37">
        <f>MAX(I397,K397,M397,O397,Q397)</f>
        <v>118.40400000000002</v>
      </c>
      <c r="I397" s="38">
        <f t="shared" si="105"/>
        <v>83.12700000000001</v>
      </c>
      <c r="K397" s="38">
        <f t="shared" si="106"/>
        <v>102.82800000000002</v>
      </c>
      <c r="M397" s="38">
        <f t="shared" si="107"/>
        <v>118.40400000000002</v>
      </c>
      <c r="O397" s="38">
        <f t="shared" si="108"/>
        <v>103.34076270343671</v>
      </c>
      <c r="Q397" s="38">
        <f t="shared" si="109"/>
        <v>93.06</v>
      </c>
      <c r="S397" s="38">
        <v>75.570000000000007</v>
      </c>
      <c r="T397" s="38">
        <v>93.48</v>
      </c>
      <c r="U397" s="38">
        <v>107.64000000000001</v>
      </c>
      <c r="V397" s="38">
        <v>93.946147912215181</v>
      </c>
      <c r="W397" s="38">
        <v>84.6</v>
      </c>
    </row>
    <row r="398" spans="1:23" ht="15.6" outlineLevel="2">
      <c r="A398" s="52" t="s">
        <v>2352</v>
      </c>
      <c r="B398" s="70" t="s">
        <v>2353</v>
      </c>
      <c r="C398" s="52" t="s">
        <v>242</v>
      </c>
      <c r="E398" s="37">
        <f>MIN(I398,K398,M398,O398,Q398)</f>
        <v>64.944000000000003</v>
      </c>
      <c r="F398" s="37">
        <f>AVERAGE(I398,K398,M398,O398,Q398)</f>
        <v>90.55150161449447</v>
      </c>
      <c r="G398" s="37">
        <f>MAX(I398,K398,M398,O398,Q398)</f>
        <v>135.57500000000002</v>
      </c>
      <c r="I398" s="38">
        <f t="shared" si="105"/>
        <v>135.57500000000002</v>
      </c>
      <c r="K398" s="38">
        <f t="shared" si="106"/>
        <v>64.944000000000003</v>
      </c>
      <c r="M398" s="38">
        <f t="shared" si="107"/>
        <v>74.382000000000005</v>
      </c>
      <c r="O398" s="38">
        <f t="shared" si="108"/>
        <v>69.066508072472331</v>
      </c>
      <c r="Q398" s="38">
        <f t="shared" si="109"/>
        <v>108.79000000000002</v>
      </c>
      <c r="S398" s="38">
        <v>123.25</v>
      </c>
      <c r="T398" s="38">
        <v>59.04</v>
      </c>
      <c r="U398" s="38">
        <v>67.62</v>
      </c>
      <c r="V398" s="38">
        <v>62.787734611338472</v>
      </c>
      <c r="W398" s="38">
        <v>98.9</v>
      </c>
    </row>
    <row r="399" spans="1:23" ht="15.6" outlineLevel="2">
      <c r="A399" s="52" t="s">
        <v>2354</v>
      </c>
      <c r="B399" s="61" t="s">
        <v>2355</v>
      </c>
      <c r="C399" s="52" t="s">
        <v>242</v>
      </c>
      <c r="E399" s="37">
        <f>MIN(I399,K399,M399,O399,Q399)</f>
        <v>130.68</v>
      </c>
      <c r="F399" s="37">
        <f>AVERAGE(I399,K399,M399,O399,Q399)</f>
        <v>168.82852863261255</v>
      </c>
      <c r="G399" s="37">
        <f>MAX(I399,K399,M399,O399,Q399)</f>
        <v>227.07300000000001</v>
      </c>
      <c r="I399" s="38">
        <f t="shared" si="105"/>
        <v>227.07300000000001</v>
      </c>
      <c r="K399" s="38">
        <f t="shared" si="106"/>
        <v>130.68</v>
      </c>
      <c r="M399" s="38">
        <f t="shared" si="107"/>
        <v>166.98000000000002</v>
      </c>
      <c r="O399" s="38">
        <f t="shared" si="108"/>
        <v>155.39964316306276</v>
      </c>
      <c r="Q399" s="38">
        <f t="shared" si="109"/>
        <v>164.01000000000002</v>
      </c>
      <c r="S399" s="38">
        <v>206.42999999999998</v>
      </c>
      <c r="T399" s="38">
        <v>118.8</v>
      </c>
      <c r="U399" s="38">
        <v>151.80000000000001</v>
      </c>
      <c r="V399" s="38">
        <v>141.2724028755116</v>
      </c>
      <c r="W399" s="38">
        <v>149.1</v>
      </c>
    </row>
    <row r="400" spans="1:23" ht="15.6" outlineLevel="2">
      <c r="A400" s="52" t="s">
        <v>2356</v>
      </c>
      <c r="B400" s="61" t="s">
        <v>2357</v>
      </c>
      <c r="C400" s="52" t="s">
        <v>242</v>
      </c>
      <c r="E400" s="37">
        <f>MIN(I400,K400,M400,O400,Q400)</f>
        <v>403.92</v>
      </c>
      <c r="F400" s="37">
        <f>AVERAGE(I400,K400,M400,O400,Q400)</f>
        <v>499.22096520129537</v>
      </c>
      <c r="G400" s="37">
        <f>MAX(I400,K400,M400,O400,Q400)</f>
        <v>576.84</v>
      </c>
      <c r="I400" s="38">
        <f t="shared" si="105"/>
        <v>403.92</v>
      </c>
      <c r="K400" s="38">
        <f t="shared" si="106"/>
        <v>454.96000000000004</v>
      </c>
      <c r="M400" s="38">
        <f t="shared" si="107"/>
        <v>576.84</v>
      </c>
      <c r="O400" s="38">
        <f t="shared" si="108"/>
        <v>511.26482600647648</v>
      </c>
      <c r="Q400" s="38">
        <f t="shared" si="109"/>
        <v>549.12</v>
      </c>
      <c r="S400" s="38">
        <v>367.2</v>
      </c>
      <c r="T400" s="38">
        <v>413.6</v>
      </c>
      <c r="U400" s="38">
        <v>524.4</v>
      </c>
      <c r="V400" s="38">
        <v>464.78620546043311</v>
      </c>
      <c r="W400" s="38">
        <v>499.2</v>
      </c>
    </row>
    <row r="401" spans="1:23" ht="15" outlineLevel="1">
      <c r="A401" s="33" t="s">
        <v>2358</v>
      </c>
      <c r="B401" s="69" t="s">
        <v>2359</v>
      </c>
      <c r="C401" s="33"/>
      <c r="I401" t="str">
        <f t="shared" si="105"/>
        <v/>
      </c>
      <c r="K401" t="str">
        <f t="shared" si="106"/>
        <v/>
      </c>
      <c r="M401" t="str">
        <f t="shared" si="107"/>
        <v/>
      </c>
      <c r="O401" t="str">
        <f t="shared" si="108"/>
        <v/>
      </c>
      <c r="Q401" t="str">
        <f t="shared" si="109"/>
        <v/>
      </c>
      <c r="T401"/>
      <c r="U401"/>
      <c r="V401"/>
      <c r="W401"/>
    </row>
    <row r="402" spans="1:23" ht="15.6" outlineLevel="2">
      <c r="A402" s="49" t="s">
        <v>2360</v>
      </c>
      <c r="B402" s="73" t="s">
        <v>2361</v>
      </c>
      <c r="C402" s="49" t="s">
        <v>242</v>
      </c>
      <c r="E402" s="37">
        <f>MIN(I402,K402,M402,O402,Q402)</f>
        <v>27.995000000000005</v>
      </c>
      <c r="F402" s="37">
        <f>AVERAGE(I402,K402,M402,O402,Q402)</f>
        <v>43.052056671947255</v>
      </c>
      <c r="G402" s="37">
        <f>MAX(I402,K402,M402,O402,Q402)</f>
        <v>55.220000000000006</v>
      </c>
      <c r="I402" s="38">
        <f t="shared" si="105"/>
        <v>27.995000000000005</v>
      </c>
      <c r="K402" s="38">
        <f t="shared" si="106"/>
        <v>40.590000000000003</v>
      </c>
      <c r="M402" s="38">
        <f t="shared" si="107"/>
        <v>42.504000000000005</v>
      </c>
      <c r="O402" s="38">
        <f t="shared" si="108"/>
        <v>48.951283359736294</v>
      </c>
      <c r="Q402" s="38">
        <f t="shared" si="109"/>
        <v>55.220000000000006</v>
      </c>
      <c r="S402" s="38">
        <v>25.450000000000003</v>
      </c>
      <c r="T402" s="38">
        <v>36.9</v>
      </c>
      <c r="U402" s="38">
        <v>38.64</v>
      </c>
      <c r="V402" s="38">
        <v>44.501166690669358</v>
      </c>
      <c r="W402" s="38">
        <v>50.2</v>
      </c>
    </row>
    <row r="403" spans="1:23" ht="15.6" outlineLevel="2">
      <c r="A403" s="49" t="s">
        <v>2362</v>
      </c>
      <c r="B403" s="73" t="s">
        <v>2363</v>
      </c>
      <c r="C403" s="49" t="s">
        <v>242</v>
      </c>
      <c r="E403" s="37">
        <f>MIN(I403,K403,M403,O403,Q403)</f>
        <v>52.635000000000005</v>
      </c>
      <c r="F403" s="37">
        <f>AVERAGE(I403,K403,M403,O403,Q403)</f>
        <v>68.934178711037859</v>
      </c>
      <c r="G403" s="37">
        <f>MAX(I403,K403,M403,O403,Q403)</f>
        <v>86.240000000000009</v>
      </c>
      <c r="I403" s="38">
        <f t="shared" si="105"/>
        <v>52.635000000000005</v>
      </c>
      <c r="K403" s="38">
        <f t="shared" si="106"/>
        <v>64.944000000000003</v>
      </c>
      <c r="M403" s="38">
        <f t="shared" si="107"/>
        <v>72.864000000000004</v>
      </c>
      <c r="O403" s="38">
        <f t="shared" si="108"/>
        <v>67.987893555189316</v>
      </c>
      <c r="Q403" s="38">
        <f t="shared" si="109"/>
        <v>86.240000000000009</v>
      </c>
      <c r="S403" s="38">
        <v>47.85</v>
      </c>
      <c r="T403" s="38">
        <v>59.04</v>
      </c>
      <c r="U403" s="38">
        <v>66.239999999999995</v>
      </c>
      <c r="V403" s="38">
        <v>61.807175959263013</v>
      </c>
      <c r="W403" s="38">
        <v>78.400000000000006</v>
      </c>
    </row>
    <row r="404" spans="1:23" ht="15.6" outlineLevel="2">
      <c r="A404" s="49" t="s">
        <v>2364</v>
      </c>
      <c r="B404" s="73" t="s">
        <v>2365</v>
      </c>
      <c r="C404" s="49" t="s">
        <v>242</v>
      </c>
      <c r="E404" s="37">
        <f>MIN(I404,K404,M404,O404,Q404)</f>
        <v>101.563</v>
      </c>
      <c r="F404" s="37">
        <f>AVERAGE(I404,K404,M404,O404,Q404)</f>
        <v>147.08251964077755</v>
      </c>
      <c r="G404" s="37">
        <f>MAX(I404,K404,M404,O404,Q404)</f>
        <v>221.10000000000002</v>
      </c>
      <c r="I404" s="38">
        <f t="shared" si="105"/>
        <v>101.563</v>
      </c>
      <c r="K404" s="38">
        <f t="shared" si="106"/>
        <v>163.68000000000004</v>
      </c>
      <c r="M404" s="38">
        <f t="shared" si="107"/>
        <v>145.72800000000001</v>
      </c>
      <c r="O404" s="38">
        <f t="shared" si="108"/>
        <v>103.34159820388777</v>
      </c>
      <c r="Q404" s="38">
        <f t="shared" si="109"/>
        <v>221.10000000000002</v>
      </c>
      <c r="S404" s="38">
        <v>92.33</v>
      </c>
      <c r="T404" s="38">
        <v>148.80000000000001</v>
      </c>
      <c r="U404" s="38">
        <v>132.47999999999999</v>
      </c>
      <c r="V404" s="38">
        <v>93.946907458079778</v>
      </c>
      <c r="W404" s="38">
        <v>201</v>
      </c>
    </row>
    <row r="405" spans="1:23" ht="15.6" outlineLevel="2">
      <c r="A405" s="49" t="s">
        <v>2366</v>
      </c>
      <c r="B405" s="73" t="s">
        <v>2367</v>
      </c>
      <c r="C405" s="49" t="s">
        <v>242</v>
      </c>
      <c r="E405" s="37">
        <f>MIN(I405,K405,M405,O405,Q405)</f>
        <v>38.071000000000005</v>
      </c>
      <c r="F405" s="37">
        <f>AVERAGE(I405,K405,M405,O405,Q405)</f>
        <v>83.955403898569983</v>
      </c>
      <c r="G405" s="37">
        <f>MAX(I405,K405,M405,O405,Q405)</f>
        <v>131.12</v>
      </c>
      <c r="I405" s="38">
        <f t="shared" si="105"/>
        <v>38.071000000000005</v>
      </c>
      <c r="K405" s="38">
        <f t="shared" si="106"/>
        <v>100.122</v>
      </c>
      <c r="M405" s="38">
        <f t="shared" si="107"/>
        <v>60.720000000000006</v>
      </c>
      <c r="O405" s="38">
        <f t="shared" si="108"/>
        <v>89.744019492849915</v>
      </c>
      <c r="Q405" s="38">
        <f t="shared" si="109"/>
        <v>131.12</v>
      </c>
      <c r="S405" s="38">
        <v>34.61</v>
      </c>
      <c r="T405" s="38">
        <v>91.02</v>
      </c>
      <c r="U405" s="38">
        <v>55.2</v>
      </c>
      <c r="V405" s="38">
        <v>81.585472266227185</v>
      </c>
      <c r="W405" s="38">
        <v>119.2</v>
      </c>
    </row>
    <row r="406" spans="1:23" ht="15" outlineLevel="1">
      <c r="A406" s="31" t="s">
        <v>2368</v>
      </c>
      <c r="B406" s="32" t="s">
        <v>2369</v>
      </c>
      <c r="C406" s="31"/>
      <c r="I406" t="str">
        <f t="shared" si="105"/>
        <v/>
      </c>
      <c r="K406" t="str">
        <f t="shared" si="106"/>
        <v/>
      </c>
      <c r="M406" t="str">
        <f t="shared" si="107"/>
        <v/>
      </c>
      <c r="O406" t="str">
        <f t="shared" si="108"/>
        <v/>
      </c>
      <c r="Q406" t="str">
        <f t="shared" si="109"/>
        <v/>
      </c>
      <c r="T406"/>
      <c r="U406"/>
      <c r="V406"/>
      <c r="W406"/>
    </row>
    <row r="407" spans="1:23" ht="15.6" outlineLevel="2">
      <c r="A407" s="49" t="s">
        <v>2370</v>
      </c>
      <c r="B407" s="79" t="s">
        <v>2371</v>
      </c>
      <c r="C407" s="49" t="s">
        <v>242</v>
      </c>
      <c r="E407" s="37">
        <f t="shared" ref="E407:E413" si="110">MIN(I407,K407,M407,O407,Q407)</f>
        <v>509.08000000000004</v>
      </c>
      <c r="F407" s="37">
        <f t="shared" ref="F407:F413" si="111">AVERAGE(I407,K407,M407,O407,Q407)</f>
        <v>645.32356582141654</v>
      </c>
      <c r="G407" s="37">
        <f t="shared" ref="G407:G413" si="112">MAX(I407,K407,M407,O407,Q407)</f>
        <v>747.86682910708259</v>
      </c>
      <c r="I407" s="38">
        <f t="shared" si="105"/>
        <v>554.56500000000005</v>
      </c>
      <c r="K407" s="38">
        <f t="shared" si="106"/>
        <v>744.15000000000009</v>
      </c>
      <c r="M407" s="38">
        <f t="shared" si="107"/>
        <v>670.95600000000013</v>
      </c>
      <c r="O407" s="38">
        <f t="shared" si="108"/>
        <v>747.86682910708259</v>
      </c>
      <c r="Q407" s="38">
        <f t="shared" si="109"/>
        <v>509.08000000000004</v>
      </c>
      <c r="S407" s="38">
        <v>504.15</v>
      </c>
      <c r="T407" s="38">
        <v>676.5</v>
      </c>
      <c r="U407" s="38">
        <v>609.96</v>
      </c>
      <c r="V407" s="38">
        <v>679.87893555189316</v>
      </c>
      <c r="W407" s="38">
        <v>462.8</v>
      </c>
    </row>
    <row r="408" spans="1:23" ht="15.6" outlineLevel="2">
      <c r="A408" s="49" t="s">
        <v>2372</v>
      </c>
      <c r="B408" s="73" t="s">
        <v>2373</v>
      </c>
      <c r="C408" s="49" t="s">
        <v>242</v>
      </c>
      <c r="E408" s="37">
        <f t="shared" si="110"/>
        <v>105.38000000000001</v>
      </c>
      <c r="F408" s="37">
        <f t="shared" si="111"/>
        <v>565.46796582141656</v>
      </c>
      <c r="G408" s="37">
        <f t="shared" si="112"/>
        <v>850.08</v>
      </c>
      <c r="I408" s="38">
        <f t="shared" si="105"/>
        <v>458.51300000000003</v>
      </c>
      <c r="K408" s="38">
        <f t="shared" si="106"/>
        <v>665.5</v>
      </c>
      <c r="M408" s="38">
        <f t="shared" si="107"/>
        <v>850.08</v>
      </c>
      <c r="O408" s="38">
        <f t="shared" si="108"/>
        <v>747.86682910708259</v>
      </c>
      <c r="Q408" s="38">
        <f t="shared" si="109"/>
        <v>105.38000000000001</v>
      </c>
      <c r="S408" s="38">
        <v>416.83</v>
      </c>
      <c r="T408" s="38">
        <v>605</v>
      </c>
      <c r="U408" s="38">
        <v>772.8</v>
      </c>
      <c r="V408" s="38">
        <v>679.87893555189316</v>
      </c>
      <c r="W408" s="38">
        <v>95.8</v>
      </c>
    </row>
    <row r="409" spans="1:23" ht="15.6" outlineLevel="2">
      <c r="A409" s="49" t="s">
        <v>2374</v>
      </c>
      <c r="B409" s="73" t="s">
        <v>2375</v>
      </c>
      <c r="C409" s="49" t="s">
        <v>242</v>
      </c>
      <c r="E409" s="37">
        <f t="shared" si="110"/>
        <v>218.02</v>
      </c>
      <c r="F409" s="37">
        <f t="shared" si="111"/>
        <v>607.20636582141651</v>
      </c>
      <c r="G409" s="37">
        <f t="shared" si="112"/>
        <v>850.08</v>
      </c>
      <c r="I409" s="38">
        <f t="shared" si="105"/>
        <v>554.56500000000005</v>
      </c>
      <c r="K409" s="38">
        <f t="shared" si="106"/>
        <v>665.5</v>
      </c>
      <c r="M409" s="38">
        <f t="shared" si="107"/>
        <v>850.08</v>
      </c>
      <c r="O409" s="38">
        <f t="shared" si="108"/>
        <v>747.86682910708259</v>
      </c>
      <c r="Q409" s="38">
        <f t="shared" si="109"/>
        <v>218.02</v>
      </c>
      <c r="S409" s="38">
        <v>504.15</v>
      </c>
      <c r="T409" s="38">
        <v>605</v>
      </c>
      <c r="U409" s="38">
        <v>772.8</v>
      </c>
      <c r="V409" s="38">
        <v>679.87893555189316</v>
      </c>
      <c r="W409" s="38">
        <v>198.2</v>
      </c>
    </row>
    <row r="410" spans="1:23" ht="15.6" outlineLevel="2">
      <c r="A410" s="49" t="s">
        <v>2376</v>
      </c>
      <c r="B410" s="73" t="s">
        <v>2377</v>
      </c>
      <c r="C410" s="49" t="s">
        <v>242</v>
      </c>
      <c r="E410" s="37">
        <f t="shared" si="110"/>
        <v>218.02</v>
      </c>
      <c r="F410" s="37">
        <f t="shared" si="111"/>
        <v>662.8223658214165</v>
      </c>
      <c r="G410" s="37">
        <f t="shared" si="112"/>
        <v>850.08</v>
      </c>
      <c r="I410" s="38">
        <f t="shared" si="105"/>
        <v>832.6450000000001</v>
      </c>
      <c r="K410" s="38">
        <f t="shared" si="106"/>
        <v>665.5</v>
      </c>
      <c r="M410" s="38">
        <f t="shared" si="107"/>
        <v>850.08</v>
      </c>
      <c r="O410" s="38">
        <f t="shared" si="108"/>
        <v>747.86682910708259</v>
      </c>
      <c r="Q410" s="38">
        <f t="shared" si="109"/>
        <v>218.02</v>
      </c>
      <c r="S410" s="38">
        <v>756.95</v>
      </c>
      <c r="T410" s="38">
        <v>605</v>
      </c>
      <c r="U410" s="38">
        <v>772.8</v>
      </c>
      <c r="V410" s="38">
        <v>679.87893555189316</v>
      </c>
      <c r="W410" s="38">
        <v>198.2</v>
      </c>
    </row>
    <row r="411" spans="1:23" ht="15.6" outlineLevel="2">
      <c r="A411" s="49" t="s">
        <v>2378</v>
      </c>
      <c r="B411" s="73" t="s">
        <v>2379</v>
      </c>
      <c r="C411" s="49" t="s">
        <v>242</v>
      </c>
      <c r="E411" s="37">
        <f t="shared" si="110"/>
        <v>218.02</v>
      </c>
      <c r="F411" s="37">
        <f t="shared" si="111"/>
        <v>642.72756582141653</v>
      </c>
      <c r="G411" s="37">
        <f t="shared" si="112"/>
        <v>832.6450000000001</v>
      </c>
      <c r="I411" s="38">
        <f t="shared" si="105"/>
        <v>832.6450000000001</v>
      </c>
      <c r="K411" s="38">
        <f t="shared" si="106"/>
        <v>744.15000000000009</v>
      </c>
      <c r="M411" s="38">
        <f t="shared" si="107"/>
        <v>670.95600000000013</v>
      </c>
      <c r="O411" s="38">
        <f t="shared" si="108"/>
        <v>747.86682910708259</v>
      </c>
      <c r="Q411" s="38">
        <f t="shared" si="109"/>
        <v>218.02</v>
      </c>
      <c r="S411" s="38">
        <v>756.95</v>
      </c>
      <c r="T411" s="38">
        <v>676.5</v>
      </c>
      <c r="U411" s="38">
        <v>609.96</v>
      </c>
      <c r="V411" s="38">
        <v>679.87893555189316</v>
      </c>
      <c r="W411" s="38">
        <v>198.2</v>
      </c>
    </row>
    <row r="412" spans="1:23" ht="15.6" outlineLevel="2">
      <c r="A412" s="49" t="s">
        <v>2380</v>
      </c>
      <c r="B412" s="73" t="s">
        <v>2381</v>
      </c>
      <c r="C412" s="49" t="s">
        <v>242</v>
      </c>
      <c r="E412" s="37">
        <f t="shared" si="110"/>
        <v>215.83458271488675</v>
      </c>
      <c r="F412" s="37">
        <f t="shared" si="111"/>
        <v>301.59871654297734</v>
      </c>
      <c r="G412" s="37">
        <f t="shared" si="112"/>
        <v>494.90100000000001</v>
      </c>
      <c r="I412" s="38">
        <f t="shared" si="105"/>
        <v>494.90100000000001</v>
      </c>
      <c r="K412" s="38">
        <f t="shared" si="106"/>
        <v>240.834</v>
      </c>
      <c r="M412" s="38">
        <f t="shared" si="107"/>
        <v>245.67400000000004</v>
      </c>
      <c r="O412" s="38">
        <f t="shared" si="108"/>
        <v>215.83458271488675</v>
      </c>
      <c r="Q412" s="38">
        <f t="shared" si="109"/>
        <v>310.75</v>
      </c>
      <c r="S412" s="38">
        <v>449.90999999999997</v>
      </c>
      <c r="T412" s="38">
        <v>218.94</v>
      </c>
      <c r="U412" s="38">
        <v>223.34</v>
      </c>
      <c r="V412" s="38">
        <v>196.21325701353339</v>
      </c>
      <c r="W412" s="38">
        <v>282.5</v>
      </c>
    </row>
    <row r="413" spans="1:23" ht="15.6" outlineLevel="2">
      <c r="A413" s="49" t="s">
        <v>2382</v>
      </c>
      <c r="B413" s="73" t="s">
        <v>2383</v>
      </c>
      <c r="C413" s="49" t="s">
        <v>242</v>
      </c>
      <c r="E413" s="37">
        <f t="shared" si="110"/>
        <v>500.94</v>
      </c>
      <c r="F413" s="37">
        <f t="shared" si="111"/>
        <v>614.73139019247321</v>
      </c>
      <c r="G413" s="37">
        <f t="shared" si="112"/>
        <v>783.2</v>
      </c>
      <c r="I413" s="38">
        <f t="shared" si="105"/>
        <v>558.80000000000007</v>
      </c>
      <c r="K413" s="38">
        <f t="shared" si="106"/>
        <v>613.822</v>
      </c>
      <c r="M413" s="38">
        <f t="shared" si="107"/>
        <v>500.94</v>
      </c>
      <c r="O413" s="38">
        <f t="shared" si="108"/>
        <v>616.89495096236578</v>
      </c>
      <c r="Q413" s="38">
        <f t="shared" si="109"/>
        <v>783.2</v>
      </c>
      <c r="S413" s="38">
        <v>508</v>
      </c>
      <c r="T413" s="38">
        <v>558.02</v>
      </c>
      <c r="U413" s="38">
        <v>455.4</v>
      </c>
      <c r="V413" s="38">
        <v>560.81359178396883</v>
      </c>
      <c r="W413" s="38">
        <v>712</v>
      </c>
    </row>
    <row r="414" spans="1:23" ht="15" outlineLevel="1">
      <c r="A414" s="31" t="s">
        <v>2384</v>
      </c>
      <c r="B414" s="32" t="s">
        <v>2385</v>
      </c>
      <c r="C414" s="31"/>
      <c r="I414" t="str">
        <f t="shared" si="105"/>
        <v/>
      </c>
      <c r="K414" t="str">
        <f t="shared" si="106"/>
        <v/>
      </c>
      <c r="M414" t="str">
        <f t="shared" si="107"/>
        <v/>
      </c>
      <c r="O414" t="str">
        <f t="shared" si="108"/>
        <v/>
      </c>
      <c r="Q414" t="str">
        <f t="shared" si="109"/>
        <v/>
      </c>
      <c r="T414"/>
      <c r="U414"/>
      <c r="V414"/>
      <c r="W414"/>
    </row>
    <row r="415" spans="1:23" ht="15.6" outlineLevel="2">
      <c r="A415" s="49" t="s">
        <v>2386</v>
      </c>
      <c r="B415" s="73" t="s">
        <v>2387</v>
      </c>
      <c r="C415" s="49" t="s">
        <v>242</v>
      </c>
      <c r="E415" s="37">
        <f t="shared" ref="E415:E420" si="113">MIN(I415,K415,M415,O415,Q415)</f>
        <v>40.590000000000003</v>
      </c>
      <c r="F415" s="37">
        <f t="shared" ref="F415:F420" si="114">AVERAGE(I415,K415,M415,O415,Q415)</f>
        <v>59.950325937660594</v>
      </c>
      <c r="G415" s="37">
        <f t="shared" ref="G415:G420" si="115">MAX(I415,K415,M415,O415,Q415)</f>
        <v>108.78062968830291</v>
      </c>
      <c r="I415" s="38">
        <f t="shared" si="105"/>
        <v>46.585000000000008</v>
      </c>
      <c r="K415" s="38">
        <f t="shared" si="106"/>
        <v>40.590000000000003</v>
      </c>
      <c r="M415" s="38">
        <f t="shared" si="107"/>
        <v>48.576000000000001</v>
      </c>
      <c r="O415" s="38">
        <f t="shared" si="108"/>
        <v>108.78062968830291</v>
      </c>
      <c r="Q415" s="38">
        <f t="shared" si="109"/>
        <v>55.220000000000006</v>
      </c>
      <c r="S415" s="38">
        <v>42.35</v>
      </c>
      <c r="T415" s="38">
        <v>36.9</v>
      </c>
      <c r="U415" s="38">
        <v>44.16</v>
      </c>
      <c r="V415" s="38">
        <v>98.891481534820812</v>
      </c>
      <c r="W415" s="38">
        <v>50.2</v>
      </c>
    </row>
    <row r="416" spans="1:23" ht="15.6" outlineLevel="2">
      <c r="A416" s="49" t="s">
        <v>2388</v>
      </c>
      <c r="B416" s="73" t="s">
        <v>2389</v>
      </c>
      <c r="C416" s="49" t="s">
        <v>242</v>
      </c>
      <c r="E416" s="37">
        <f t="shared" si="113"/>
        <v>43.67</v>
      </c>
      <c r="F416" s="37">
        <f t="shared" si="114"/>
        <v>85.433557422075722</v>
      </c>
      <c r="G416" s="37">
        <f t="shared" si="115"/>
        <v>135.97578711037863</v>
      </c>
      <c r="I416" s="38">
        <f t="shared" si="105"/>
        <v>43.67</v>
      </c>
      <c r="K416" s="38">
        <f t="shared" si="106"/>
        <v>81.180000000000007</v>
      </c>
      <c r="M416" s="38">
        <f t="shared" si="107"/>
        <v>59.202000000000005</v>
      </c>
      <c r="O416" s="38">
        <f t="shared" si="108"/>
        <v>135.97578711037863</v>
      </c>
      <c r="Q416" s="38">
        <f t="shared" si="109"/>
        <v>107.14000000000001</v>
      </c>
      <c r="S416" s="38">
        <v>39.699999999999996</v>
      </c>
      <c r="T416" s="38">
        <v>73.8</v>
      </c>
      <c r="U416" s="38">
        <v>53.82</v>
      </c>
      <c r="V416" s="38">
        <v>123.61435191852603</v>
      </c>
      <c r="W416" s="38">
        <v>97.4</v>
      </c>
    </row>
    <row r="417" spans="1:23" ht="15.6" outlineLevel="2">
      <c r="A417" s="49" t="s">
        <v>2390</v>
      </c>
      <c r="B417" s="73" t="s">
        <v>2391</v>
      </c>
      <c r="C417" s="49" t="s">
        <v>242</v>
      </c>
      <c r="E417" s="37">
        <f t="shared" si="113"/>
        <v>81.521000000000001</v>
      </c>
      <c r="F417" s="37">
        <f t="shared" si="114"/>
        <v>345.67304042258962</v>
      </c>
      <c r="G417" s="37">
        <f t="shared" si="115"/>
        <v>621.5</v>
      </c>
      <c r="I417" s="38">
        <f t="shared" si="105"/>
        <v>81.521000000000001</v>
      </c>
      <c r="K417" s="38">
        <f t="shared" si="106"/>
        <v>430.76000000000005</v>
      </c>
      <c r="M417" s="38">
        <f t="shared" si="107"/>
        <v>110.5104</v>
      </c>
      <c r="O417" s="38">
        <f t="shared" si="108"/>
        <v>484.07380211294799</v>
      </c>
      <c r="Q417" s="38">
        <f t="shared" si="109"/>
        <v>621.5</v>
      </c>
      <c r="S417" s="38">
        <v>74.11</v>
      </c>
      <c r="T417" s="38">
        <v>391.6</v>
      </c>
      <c r="U417" s="38">
        <v>100.464</v>
      </c>
      <c r="V417" s="38">
        <v>440.06709282995268</v>
      </c>
      <c r="W417" s="38">
        <v>565</v>
      </c>
    </row>
    <row r="418" spans="1:23" ht="15.6" outlineLevel="2">
      <c r="A418" s="49" t="s">
        <v>2392</v>
      </c>
      <c r="B418" s="73" t="s">
        <v>2393</v>
      </c>
      <c r="C418" s="49" t="s">
        <v>242</v>
      </c>
      <c r="E418" s="37">
        <f t="shared" si="113"/>
        <v>19.8</v>
      </c>
      <c r="F418" s="37">
        <f t="shared" si="114"/>
        <v>42.15497774479396</v>
      </c>
      <c r="G418" s="37">
        <f t="shared" si="115"/>
        <v>81.521000000000001</v>
      </c>
      <c r="I418" s="38">
        <f t="shared" si="105"/>
        <v>81.521000000000001</v>
      </c>
      <c r="K418" s="38">
        <f t="shared" si="106"/>
        <v>19.8</v>
      </c>
      <c r="M418" s="38">
        <f t="shared" si="107"/>
        <v>24.288</v>
      </c>
      <c r="O418" s="38">
        <f t="shared" si="108"/>
        <v>57.555888723969794</v>
      </c>
      <c r="Q418" s="38">
        <f t="shared" si="109"/>
        <v>27.610000000000003</v>
      </c>
      <c r="S418" s="38">
        <v>74.11</v>
      </c>
      <c r="T418" s="38">
        <v>18</v>
      </c>
      <c r="U418" s="38">
        <v>22.08</v>
      </c>
      <c r="V418" s="38">
        <v>52.323535203608898</v>
      </c>
      <c r="W418" s="38">
        <v>25.1</v>
      </c>
    </row>
    <row r="419" spans="1:23" ht="15.6" outlineLevel="2">
      <c r="A419" s="49" t="s">
        <v>2394</v>
      </c>
      <c r="B419" s="73" t="s">
        <v>2395</v>
      </c>
      <c r="C419" s="49" t="s">
        <v>242</v>
      </c>
      <c r="E419" s="37">
        <f t="shared" si="113"/>
        <v>72.600000000000009</v>
      </c>
      <c r="F419" s="37">
        <f t="shared" si="114"/>
        <v>180.94655742207573</v>
      </c>
      <c r="G419" s="37">
        <f t="shared" si="115"/>
        <v>494.90100000000001</v>
      </c>
      <c r="I419" s="38">
        <f t="shared" si="105"/>
        <v>494.90100000000001</v>
      </c>
      <c r="K419" s="38">
        <f t="shared" si="106"/>
        <v>72.600000000000009</v>
      </c>
      <c r="M419" s="38">
        <f t="shared" si="107"/>
        <v>94.116000000000014</v>
      </c>
      <c r="O419" s="38">
        <f t="shared" si="108"/>
        <v>135.97578711037863</v>
      </c>
      <c r="Q419" s="38">
        <f t="shared" si="109"/>
        <v>107.14000000000001</v>
      </c>
      <c r="S419" s="38">
        <v>449.90999999999997</v>
      </c>
      <c r="T419" s="38">
        <v>66</v>
      </c>
      <c r="U419" s="38">
        <v>85.56</v>
      </c>
      <c r="V419" s="38">
        <v>123.61435191852603</v>
      </c>
      <c r="W419" s="38">
        <v>97.4</v>
      </c>
    </row>
    <row r="420" spans="1:23" ht="15.6" outlineLevel="2">
      <c r="A420" s="49" t="s">
        <v>2396</v>
      </c>
      <c r="B420" s="73" t="s">
        <v>2397</v>
      </c>
      <c r="C420" s="49" t="s">
        <v>242</v>
      </c>
      <c r="E420" s="37">
        <f t="shared" si="113"/>
        <v>430.76000000000005</v>
      </c>
      <c r="F420" s="37">
        <f t="shared" si="114"/>
        <v>515.54296042258954</v>
      </c>
      <c r="G420" s="37">
        <f t="shared" si="115"/>
        <v>621.5</v>
      </c>
      <c r="I420" s="38">
        <f t="shared" si="105"/>
        <v>494.90100000000001</v>
      </c>
      <c r="K420" s="38">
        <f t="shared" si="106"/>
        <v>430.76000000000005</v>
      </c>
      <c r="M420" s="38">
        <f t="shared" si="107"/>
        <v>546.48</v>
      </c>
      <c r="O420" s="38">
        <f t="shared" si="108"/>
        <v>484.07380211294799</v>
      </c>
      <c r="Q420" s="38">
        <f t="shared" si="109"/>
        <v>621.5</v>
      </c>
      <c r="S420" s="38">
        <v>449.90999999999997</v>
      </c>
      <c r="T420" s="38">
        <v>391.6</v>
      </c>
      <c r="U420" s="38">
        <v>496.8</v>
      </c>
      <c r="V420" s="38">
        <v>440.06709282995268</v>
      </c>
      <c r="W420" s="38">
        <v>565</v>
      </c>
    </row>
    <row r="421" spans="1:23" ht="15" outlineLevel="1">
      <c r="A421" s="31" t="s">
        <v>2398</v>
      </c>
      <c r="B421" s="32" t="s">
        <v>2399</v>
      </c>
      <c r="C421" s="31"/>
      <c r="I421" t="str">
        <f t="shared" si="105"/>
        <v/>
      </c>
      <c r="K421" t="str">
        <f t="shared" si="106"/>
        <v/>
      </c>
      <c r="M421" t="str">
        <f t="shared" si="107"/>
        <v/>
      </c>
      <c r="O421" t="str">
        <f t="shared" si="108"/>
        <v/>
      </c>
      <c r="Q421" t="str">
        <f t="shared" si="109"/>
        <v/>
      </c>
      <c r="T421"/>
      <c r="U421"/>
      <c r="V421"/>
      <c r="W421"/>
    </row>
    <row r="422" spans="1:23" ht="15.6" outlineLevel="2">
      <c r="A422" s="47" t="s">
        <v>2400</v>
      </c>
      <c r="B422" s="61" t="s">
        <v>2401</v>
      </c>
      <c r="C422" s="47" t="s">
        <v>242</v>
      </c>
      <c r="E422" s="37">
        <f t="shared" ref="E422:E437" si="116">MIN(I422,K422,M422,O422,Q422)</f>
        <v>295.2235</v>
      </c>
      <c r="F422" s="37">
        <f t="shared" ref="F422:F437" si="117">AVERAGE(I422,K422,M422,O422,Q422)</f>
        <v>463.22806094820407</v>
      </c>
      <c r="G422" s="37">
        <f t="shared" ref="G422:G437" si="118">MAX(I422,K422,M422,O422,Q422)</f>
        <v>635.68680474102018</v>
      </c>
      <c r="I422" s="38">
        <f t="shared" si="105"/>
        <v>468.71</v>
      </c>
      <c r="K422" s="38">
        <f t="shared" si="106"/>
        <v>377.52000000000004</v>
      </c>
      <c r="M422" s="38">
        <f t="shared" si="107"/>
        <v>295.2235</v>
      </c>
      <c r="O422" s="38">
        <f t="shared" si="108"/>
        <v>635.68680474102018</v>
      </c>
      <c r="Q422" s="38">
        <f t="shared" si="109"/>
        <v>539</v>
      </c>
      <c r="S422" s="38">
        <v>426.09999999999997</v>
      </c>
      <c r="T422" s="38">
        <v>343.2</v>
      </c>
      <c r="U422" s="38">
        <v>268.38499999999999</v>
      </c>
      <c r="V422" s="38">
        <v>577.89709521910925</v>
      </c>
      <c r="W422" s="38">
        <v>490</v>
      </c>
    </row>
    <row r="423" spans="1:23" ht="15.6" outlineLevel="2">
      <c r="A423" s="49" t="s">
        <v>2402</v>
      </c>
      <c r="B423" s="73" t="s">
        <v>2403</v>
      </c>
      <c r="C423" s="49" t="s">
        <v>242</v>
      </c>
      <c r="E423" s="37">
        <f t="shared" si="116"/>
        <v>1775.1030000000001</v>
      </c>
      <c r="F423" s="37">
        <f t="shared" si="117"/>
        <v>2288.2264719808622</v>
      </c>
      <c r="G423" s="37">
        <f t="shared" si="118"/>
        <v>2912.6013599043108</v>
      </c>
      <c r="I423" s="38">
        <f t="shared" si="105"/>
        <v>1866.788</v>
      </c>
      <c r="K423" s="38">
        <f t="shared" si="106"/>
        <v>2013.4400000000003</v>
      </c>
      <c r="M423" s="38">
        <f t="shared" si="107"/>
        <v>1775.1030000000001</v>
      </c>
      <c r="O423" s="38">
        <f t="shared" si="108"/>
        <v>2912.6013599043108</v>
      </c>
      <c r="Q423" s="38">
        <f t="shared" si="109"/>
        <v>2873.2000000000003</v>
      </c>
      <c r="S423" s="38">
        <v>1697.08</v>
      </c>
      <c r="T423" s="38">
        <v>1830.4</v>
      </c>
      <c r="U423" s="38">
        <v>1613.73</v>
      </c>
      <c r="V423" s="38">
        <v>2647.8194180948276</v>
      </c>
      <c r="W423" s="38">
        <v>2612</v>
      </c>
    </row>
    <row r="424" spans="1:23" ht="15.6" outlineLevel="2">
      <c r="A424" s="49" t="s">
        <v>2404</v>
      </c>
      <c r="B424" s="73" t="s">
        <v>2405</v>
      </c>
      <c r="C424" s="49" t="s">
        <v>242</v>
      </c>
      <c r="E424" s="37">
        <f t="shared" si="116"/>
        <v>1074.9090000000001</v>
      </c>
      <c r="F424" s="37">
        <f t="shared" si="117"/>
        <v>1331.457111251927</v>
      </c>
      <c r="G424" s="37">
        <f t="shared" si="118"/>
        <v>1656.6000000000001</v>
      </c>
      <c r="I424" s="38">
        <f t="shared" si="105"/>
        <v>1074.9090000000001</v>
      </c>
      <c r="K424" s="38">
        <f t="shared" si="106"/>
        <v>1267.2</v>
      </c>
      <c r="M424" s="38">
        <f t="shared" si="107"/>
        <v>1353.2090000000001</v>
      </c>
      <c r="O424" s="38">
        <f t="shared" si="108"/>
        <v>1305.3675562596347</v>
      </c>
      <c r="Q424" s="38">
        <f t="shared" si="109"/>
        <v>1656.6000000000001</v>
      </c>
      <c r="S424" s="38">
        <v>977.18999999999994</v>
      </c>
      <c r="T424" s="38">
        <v>1152</v>
      </c>
      <c r="U424" s="38">
        <v>1230.19</v>
      </c>
      <c r="V424" s="38">
        <v>1186.6977784178496</v>
      </c>
      <c r="W424" s="38">
        <v>1506</v>
      </c>
    </row>
    <row r="425" spans="1:23" ht="15.6" outlineLevel="2">
      <c r="A425" s="49" t="s">
        <v>2406</v>
      </c>
      <c r="B425" s="61" t="s">
        <v>2407</v>
      </c>
      <c r="C425" s="49" t="s">
        <v>242</v>
      </c>
      <c r="E425" s="37">
        <f t="shared" si="116"/>
        <v>462.72600000000006</v>
      </c>
      <c r="F425" s="37">
        <f t="shared" si="117"/>
        <v>704.45783838349894</v>
      </c>
      <c r="G425" s="37">
        <f t="shared" si="118"/>
        <v>1536.2160000000001</v>
      </c>
      <c r="I425" s="38">
        <f t="shared" si="105"/>
        <v>468.71</v>
      </c>
      <c r="K425" s="38">
        <f t="shared" si="106"/>
        <v>462.72600000000006</v>
      </c>
      <c r="M425" s="38">
        <f t="shared" si="107"/>
        <v>1536.2160000000001</v>
      </c>
      <c r="O425" s="38">
        <f t="shared" si="108"/>
        <v>465.03719191749491</v>
      </c>
      <c r="Q425" s="38">
        <f t="shared" si="109"/>
        <v>589.6</v>
      </c>
      <c r="S425" s="38">
        <v>426.09999999999997</v>
      </c>
      <c r="T425" s="38">
        <v>420.66</v>
      </c>
      <c r="U425" s="38">
        <v>1396.56</v>
      </c>
      <c r="V425" s="38">
        <v>422.76108356135899</v>
      </c>
      <c r="W425" s="38">
        <v>536</v>
      </c>
    </row>
    <row r="426" spans="1:23" ht="15.6" outlineLevel="2">
      <c r="A426" s="49" t="s">
        <v>2408</v>
      </c>
      <c r="B426" s="73" t="s">
        <v>2409</v>
      </c>
      <c r="C426" s="49" t="s">
        <v>242</v>
      </c>
      <c r="E426" s="37">
        <f t="shared" si="116"/>
        <v>900.79550000000006</v>
      </c>
      <c r="F426" s="37">
        <f t="shared" si="117"/>
        <v>2339.1558923665234</v>
      </c>
      <c r="G426" s="37">
        <f t="shared" si="118"/>
        <v>3269.2000000000003</v>
      </c>
      <c r="I426" s="38">
        <f t="shared" si="105"/>
        <v>2829.6950000000006</v>
      </c>
      <c r="K426" s="38">
        <f t="shared" si="106"/>
        <v>2500.0800000000004</v>
      </c>
      <c r="M426" s="38">
        <f t="shared" si="107"/>
        <v>900.79550000000006</v>
      </c>
      <c r="O426" s="38">
        <f t="shared" si="108"/>
        <v>2196.0089618326151</v>
      </c>
      <c r="Q426" s="38">
        <f t="shared" si="109"/>
        <v>3269.2000000000003</v>
      </c>
      <c r="S426" s="38">
        <v>2572.4500000000003</v>
      </c>
      <c r="T426" s="38">
        <v>2272.8000000000002</v>
      </c>
      <c r="U426" s="38">
        <v>818.90499999999997</v>
      </c>
      <c r="V426" s="38">
        <v>1996.3717834841952</v>
      </c>
      <c r="W426" s="38">
        <v>2972</v>
      </c>
    </row>
    <row r="427" spans="1:23" ht="15.6" outlineLevel="2">
      <c r="A427" s="49" t="s">
        <v>2410</v>
      </c>
      <c r="B427" s="73" t="s">
        <v>2411</v>
      </c>
      <c r="C427" s="49" t="s">
        <v>242</v>
      </c>
      <c r="E427" s="37">
        <f t="shared" si="116"/>
        <v>271.04000000000002</v>
      </c>
      <c r="F427" s="37">
        <f t="shared" si="117"/>
        <v>425.92603021391733</v>
      </c>
      <c r="G427" s="37">
        <f t="shared" si="118"/>
        <v>695.51615106958673</v>
      </c>
      <c r="I427" s="38">
        <f t="shared" si="105"/>
        <v>419.70500000000004</v>
      </c>
      <c r="K427" s="38">
        <f t="shared" si="106"/>
        <v>271.04000000000002</v>
      </c>
      <c r="M427" s="38">
        <f t="shared" si="107"/>
        <v>356.16900000000004</v>
      </c>
      <c r="O427" s="38">
        <f t="shared" si="108"/>
        <v>695.51615106958673</v>
      </c>
      <c r="Q427" s="38">
        <f t="shared" si="109"/>
        <v>387.20000000000005</v>
      </c>
      <c r="S427" s="38">
        <v>381.55</v>
      </c>
      <c r="T427" s="38">
        <v>246.4</v>
      </c>
      <c r="U427" s="38">
        <v>323.79000000000002</v>
      </c>
      <c r="V427" s="38">
        <v>632.28741006326061</v>
      </c>
      <c r="W427" s="38">
        <v>352</v>
      </c>
    </row>
    <row r="428" spans="1:23" ht="15.6" outlineLevel="2">
      <c r="A428" s="49" t="s">
        <v>2412</v>
      </c>
      <c r="B428" s="73" t="s">
        <v>2413</v>
      </c>
      <c r="C428" s="49" t="s">
        <v>242</v>
      </c>
      <c r="E428" s="37">
        <f t="shared" si="116"/>
        <v>135.52000000000001</v>
      </c>
      <c r="F428" s="37">
        <f t="shared" si="117"/>
        <v>230.21928176921793</v>
      </c>
      <c r="G428" s="37">
        <f t="shared" si="118"/>
        <v>347.77600000000001</v>
      </c>
      <c r="I428" s="38">
        <f t="shared" si="105"/>
        <v>347.77600000000001</v>
      </c>
      <c r="K428" s="38">
        <f t="shared" si="106"/>
        <v>135.52000000000001</v>
      </c>
      <c r="M428" s="38">
        <f t="shared" si="107"/>
        <v>168.43475000000001</v>
      </c>
      <c r="O428" s="38">
        <f t="shared" si="108"/>
        <v>305.76565884608954</v>
      </c>
      <c r="Q428" s="38">
        <f t="shared" si="109"/>
        <v>193.60000000000002</v>
      </c>
      <c r="S428" s="38">
        <v>316.15999999999997</v>
      </c>
      <c r="T428" s="38">
        <v>123.2</v>
      </c>
      <c r="U428" s="38">
        <v>153.1225</v>
      </c>
      <c r="V428" s="38">
        <v>277.96878076917227</v>
      </c>
      <c r="W428" s="38">
        <v>176</v>
      </c>
    </row>
    <row r="429" spans="1:23" ht="15.6" outlineLevel="2">
      <c r="A429" s="49" t="s">
        <v>2414</v>
      </c>
      <c r="B429" s="61" t="s">
        <v>2415</v>
      </c>
      <c r="C429" s="49" t="s">
        <v>242</v>
      </c>
      <c r="E429" s="37">
        <f t="shared" si="116"/>
        <v>254.49775096521344</v>
      </c>
      <c r="F429" s="37">
        <f t="shared" si="117"/>
        <v>394.99275019304275</v>
      </c>
      <c r="G429" s="37">
        <f t="shared" si="118"/>
        <v>495.00000000000006</v>
      </c>
      <c r="I429" s="38">
        <f t="shared" si="105"/>
        <v>419.70500000000004</v>
      </c>
      <c r="K429" s="38">
        <f t="shared" si="106"/>
        <v>388.31100000000004</v>
      </c>
      <c r="M429" s="38">
        <f t="shared" si="107"/>
        <v>417.45000000000005</v>
      </c>
      <c r="O429" s="38">
        <f t="shared" si="108"/>
        <v>254.49775096521344</v>
      </c>
      <c r="Q429" s="38">
        <f t="shared" si="109"/>
        <v>495.00000000000006</v>
      </c>
      <c r="S429" s="38">
        <v>381.55</v>
      </c>
      <c r="T429" s="38">
        <v>353.01</v>
      </c>
      <c r="U429" s="38">
        <v>379.5</v>
      </c>
      <c r="V429" s="38">
        <v>231.36159178655765</v>
      </c>
      <c r="W429" s="38">
        <v>450</v>
      </c>
    </row>
    <row r="430" spans="1:23" ht="15.6" outlineLevel="2">
      <c r="A430" s="49" t="s">
        <v>2416</v>
      </c>
      <c r="B430" s="61" t="s">
        <v>2417</v>
      </c>
      <c r="C430" s="49" t="s">
        <v>242</v>
      </c>
      <c r="E430" s="37">
        <f t="shared" si="116"/>
        <v>271.19400000000002</v>
      </c>
      <c r="F430" s="37">
        <f t="shared" si="117"/>
        <v>451.26488621232255</v>
      </c>
      <c r="G430" s="37">
        <f t="shared" si="118"/>
        <v>938.23293106161259</v>
      </c>
      <c r="I430" s="38">
        <f t="shared" si="105"/>
        <v>271.19400000000002</v>
      </c>
      <c r="K430" s="38">
        <f t="shared" si="106"/>
        <v>295.68000000000006</v>
      </c>
      <c r="M430" s="38">
        <f t="shared" si="107"/>
        <v>364.01750000000004</v>
      </c>
      <c r="O430" s="38">
        <f t="shared" si="108"/>
        <v>938.23293106161259</v>
      </c>
      <c r="Q430" s="38">
        <f t="shared" si="109"/>
        <v>387.20000000000005</v>
      </c>
      <c r="S430" s="38">
        <v>246.54</v>
      </c>
      <c r="T430" s="38">
        <v>268.8</v>
      </c>
      <c r="U430" s="38">
        <v>330.92500000000001</v>
      </c>
      <c r="V430" s="38">
        <v>852.93902823782958</v>
      </c>
      <c r="W430" s="38">
        <v>352</v>
      </c>
    </row>
    <row r="431" spans="1:23" ht="15.6" outlineLevel="2">
      <c r="A431" s="49" t="s">
        <v>2418</v>
      </c>
      <c r="B431" s="73" t="s">
        <v>2419</v>
      </c>
      <c r="C431" s="49" t="s">
        <v>242</v>
      </c>
      <c r="E431" s="37">
        <f t="shared" si="116"/>
        <v>250.81100000000001</v>
      </c>
      <c r="F431" s="37">
        <f t="shared" si="117"/>
        <v>994.23758711037885</v>
      </c>
      <c r="G431" s="37">
        <f t="shared" si="118"/>
        <v>2137.3440000000001</v>
      </c>
      <c r="I431" s="38">
        <f t="shared" si="105"/>
        <v>250.81100000000001</v>
      </c>
      <c r="K431" s="38">
        <f t="shared" si="106"/>
        <v>836.154</v>
      </c>
      <c r="M431" s="38">
        <f t="shared" si="107"/>
        <v>2137.3440000000001</v>
      </c>
      <c r="O431" s="38">
        <f t="shared" si="108"/>
        <v>679.87893555189328</v>
      </c>
      <c r="Q431" s="38">
        <f t="shared" si="109"/>
        <v>1067</v>
      </c>
      <c r="S431" s="38">
        <v>228.01</v>
      </c>
      <c r="T431" s="38">
        <v>760.14</v>
      </c>
      <c r="U431" s="38">
        <v>1943.04</v>
      </c>
      <c r="V431" s="38">
        <v>618.0717595926302</v>
      </c>
      <c r="W431" s="38">
        <v>970</v>
      </c>
    </row>
    <row r="432" spans="1:23" ht="15.6" outlineLevel="2">
      <c r="A432" s="49" t="s">
        <v>2420</v>
      </c>
      <c r="B432" s="73" t="s">
        <v>2421</v>
      </c>
      <c r="C432" s="49" t="s">
        <v>242</v>
      </c>
      <c r="E432" s="37">
        <f t="shared" si="116"/>
        <v>649.44000000000005</v>
      </c>
      <c r="F432" s="37">
        <f t="shared" si="117"/>
        <v>1234.1674584785499</v>
      </c>
      <c r="G432" s="37">
        <f t="shared" si="118"/>
        <v>2270.9280000000003</v>
      </c>
      <c r="I432" s="38">
        <f t="shared" si="105"/>
        <v>1074.9090000000001</v>
      </c>
      <c r="K432" s="38">
        <f t="shared" si="106"/>
        <v>649.44000000000005</v>
      </c>
      <c r="M432" s="38">
        <f t="shared" si="107"/>
        <v>2270.9280000000003</v>
      </c>
      <c r="O432" s="38">
        <f t="shared" si="108"/>
        <v>1346.160292392748</v>
      </c>
      <c r="Q432" s="38">
        <f t="shared" si="109"/>
        <v>829.40000000000009</v>
      </c>
      <c r="S432" s="38">
        <v>977.18999999999994</v>
      </c>
      <c r="T432" s="38">
        <v>590.4</v>
      </c>
      <c r="U432" s="38">
        <v>2064.48</v>
      </c>
      <c r="V432" s="38">
        <v>1223.7820839934072</v>
      </c>
      <c r="W432" s="38">
        <v>754</v>
      </c>
    </row>
    <row r="433" spans="1:23" ht="15.6" outlineLevel="2">
      <c r="A433" s="49" t="s">
        <v>2422</v>
      </c>
      <c r="B433" s="73" t="s">
        <v>2423</v>
      </c>
      <c r="C433" s="49" t="s">
        <v>242</v>
      </c>
      <c r="E433" s="37">
        <f t="shared" si="116"/>
        <v>644.16000000000008</v>
      </c>
      <c r="F433" s="37">
        <f t="shared" si="117"/>
        <v>1514.3589085577587</v>
      </c>
      <c r="G433" s="37">
        <f t="shared" si="118"/>
        <v>2642.2000000000003</v>
      </c>
      <c r="I433" s="38">
        <f t="shared" si="105"/>
        <v>1455.5970000000002</v>
      </c>
      <c r="K433" s="38">
        <f t="shared" si="106"/>
        <v>644.16000000000008</v>
      </c>
      <c r="M433" s="38">
        <f t="shared" si="107"/>
        <v>749.40800000000002</v>
      </c>
      <c r="O433" s="38">
        <f t="shared" si="108"/>
        <v>2080.4295427887932</v>
      </c>
      <c r="Q433" s="38">
        <f t="shared" si="109"/>
        <v>2642.2000000000003</v>
      </c>
      <c r="S433" s="38">
        <v>1323.27</v>
      </c>
      <c r="T433" s="38">
        <v>585.6</v>
      </c>
      <c r="U433" s="38">
        <v>681.28</v>
      </c>
      <c r="V433" s="38">
        <v>1891.2995843534482</v>
      </c>
      <c r="W433" s="38">
        <v>2402</v>
      </c>
    </row>
    <row r="434" spans="1:23" ht="15.6" outlineLevel="2">
      <c r="A434" s="49" t="s">
        <v>2424</v>
      </c>
      <c r="B434" s="61" t="s">
        <v>2425</v>
      </c>
      <c r="C434" s="49" t="s">
        <v>242</v>
      </c>
      <c r="E434" s="37">
        <f t="shared" si="116"/>
        <v>318.18334183828603</v>
      </c>
      <c r="F434" s="37">
        <f t="shared" si="117"/>
        <v>632.97686836765729</v>
      </c>
      <c r="G434" s="37">
        <f t="shared" si="118"/>
        <v>1536.2160000000001</v>
      </c>
      <c r="I434" s="38">
        <f t="shared" si="105"/>
        <v>349.34899999999999</v>
      </c>
      <c r="K434" s="38">
        <f t="shared" si="106"/>
        <v>422.13600000000002</v>
      </c>
      <c r="M434" s="38">
        <f t="shared" si="107"/>
        <v>1536.2160000000001</v>
      </c>
      <c r="O434" s="38">
        <f t="shared" si="108"/>
        <v>318.18334183828603</v>
      </c>
      <c r="Q434" s="38">
        <f t="shared" si="109"/>
        <v>539</v>
      </c>
      <c r="S434" s="38">
        <v>317.58999999999997</v>
      </c>
      <c r="T434" s="38">
        <v>383.76</v>
      </c>
      <c r="U434" s="38">
        <v>1396.56</v>
      </c>
      <c r="V434" s="38">
        <v>289.25758348935091</v>
      </c>
      <c r="W434" s="38">
        <v>490</v>
      </c>
    </row>
    <row r="435" spans="1:23" ht="15.6" outlineLevel="2">
      <c r="A435" s="49" t="s">
        <v>2426</v>
      </c>
      <c r="B435" s="61" t="s">
        <v>2427</v>
      </c>
      <c r="C435" s="49" t="s">
        <v>242</v>
      </c>
      <c r="E435" s="37">
        <f t="shared" si="116"/>
        <v>201.44561053389432</v>
      </c>
      <c r="F435" s="37">
        <f t="shared" si="117"/>
        <v>491.3314721067789</v>
      </c>
      <c r="G435" s="37">
        <f t="shared" si="118"/>
        <v>1317.4727500000001</v>
      </c>
      <c r="I435" s="38">
        <f t="shared" si="105"/>
        <v>412.04899999999998</v>
      </c>
      <c r="K435" s="38">
        <f t="shared" si="106"/>
        <v>216.59000000000003</v>
      </c>
      <c r="M435" s="38">
        <f t="shared" si="107"/>
        <v>1317.4727500000001</v>
      </c>
      <c r="O435" s="38">
        <f t="shared" si="108"/>
        <v>201.44561053389432</v>
      </c>
      <c r="Q435" s="38">
        <f t="shared" si="109"/>
        <v>309.10000000000002</v>
      </c>
      <c r="S435" s="38">
        <v>374.59</v>
      </c>
      <c r="T435" s="38">
        <v>196.9</v>
      </c>
      <c r="U435" s="38">
        <v>1197.7025000000001</v>
      </c>
      <c r="V435" s="38">
        <v>183.13237321263119</v>
      </c>
      <c r="W435" s="38">
        <v>281</v>
      </c>
    </row>
    <row r="436" spans="1:23" ht="15.6" outlineLevel="2">
      <c r="A436" s="49" t="s">
        <v>2428</v>
      </c>
      <c r="B436" s="61" t="s">
        <v>2429</v>
      </c>
      <c r="C436" s="49" t="s">
        <v>242</v>
      </c>
      <c r="E436" s="37">
        <f t="shared" si="116"/>
        <v>214.98400000000001</v>
      </c>
      <c r="F436" s="37">
        <f t="shared" si="117"/>
        <v>884.61787136817111</v>
      </c>
      <c r="G436" s="37">
        <f t="shared" si="118"/>
        <v>2604.8879999999999</v>
      </c>
      <c r="I436" s="38">
        <f t="shared" si="105"/>
        <v>214.98400000000001</v>
      </c>
      <c r="K436" s="38">
        <f t="shared" si="106"/>
        <v>353.93600000000004</v>
      </c>
      <c r="M436" s="38">
        <f t="shared" si="107"/>
        <v>2604.8879999999999</v>
      </c>
      <c r="O436" s="38">
        <f t="shared" si="108"/>
        <v>666.28135684085532</v>
      </c>
      <c r="Q436" s="38">
        <f t="shared" si="109"/>
        <v>583</v>
      </c>
      <c r="S436" s="38">
        <v>195.44</v>
      </c>
      <c r="T436" s="38">
        <v>321.76</v>
      </c>
      <c r="U436" s="38">
        <v>2368.08</v>
      </c>
      <c r="V436" s="38">
        <v>605.71032440077749</v>
      </c>
      <c r="W436" s="38">
        <v>530</v>
      </c>
    </row>
    <row r="437" spans="1:23" ht="15.6" outlineLevel="2">
      <c r="A437" s="49" t="s">
        <v>2430</v>
      </c>
      <c r="B437" s="61" t="s">
        <v>2431</v>
      </c>
      <c r="C437" s="49" t="s">
        <v>242</v>
      </c>
      <c r="E437" s="37">
        <f t="shared" si="116"/>
        <v>286.86899999999997</v>
      </c>
      <c r="F437" s="37">
        <f t="shared" si="117"/>
        <v>970.9896839619372</v>
      </c>
      <c r="G437" s="37">
        <f t="shared" si="118"/>
        <v>2638.2840000000001</v>
      </c>
      <c r="I437" s="38">
        <f t="shared" si="105"/>
        <v>286.86899999999997</v>
      </c>
      <c r="K437" s="38">
        <f t="shared" si="106"/>
        <v>462.83600000000001</v>
      </c>
      <c r="M437" s="38">
        <f t="shared" si="107"/>
        <v>2638.2840000000001</v>
      </c>
      <c r="O437" s="38">
        <f t="shared" si="108"/>
        <v>677.15941980968569</v>
      </c>
      <c r="Q437" s="38">
        <f t="shared" si="109"/>
        <v>789.80000000000007</v>
      </c>
      <c r="S437" s="38">
        <v>260.78999999999996</v>
      </c>
      <c r="T437" s="38">
        <v>420.76</v>
      </c>
      <c r="U437" s="38">
        <v>2398.44</v>
      </c>
      <c r="V437" s="38">
        <v>615.59947255425971</v>
      </c>
      <c r="W437" s="38">
        <v>718</v>
      </c>
    </row>
    <row r="438" spans="1:23" ht="15" outlineLevel="1">
      <c r="A438" s="31" t="s">
        <v>2432</v>
      </c>
      <c r="B438" s="32" t="s">
        <v>2433</v>
      </c>
      <c r="C438" s="31"/>
      <c r="I438" t="str">
        <f t="shared" si="105"/>
        <v/>
      </c>
      <c r="K438" t="str">
        <f t="shared" si="106"/>
        <v/>
      </c>
      <c r="M438" t="str">
        <f t="shared" si="107"/>
        <v/>
      </c>
      <c r="O438" t="str">
        <f t="shared" si="108"/>
        <v/>
      </c>
      <c r="Q438" t="str">
        <f t="shared" si="109"/>
        <v/>
      </c>
      <c r="T438"/>
      <c r="U438"/>
      <c r="V438"/>
      <c r="W438"/>
    </row>
    <row r="439" spans="1:23" ht="15.6" outlineLevel="2">
      <c r="A439" s="49" t="s">
        <v>2434</v>
      </c>
      <c r="B439" s="73" t="s">
        <v>2435</v>
      </c>
      <c r="C439" s="49" t="s">
        <v>242</v>
      </c>
      <c r="E439" s="37">
        <f>MIN(I439,K439,M439,O439,Q439)</f>
        <v>4.4000000000000004</v>
      </c>
      <c r="F439" s="37">
        <f>AVERAGE(I439,K439,M439,O439,Q439)</f>
        <v>15.350896633030398</v>
      </c>
      <c r="G439" s="37">
        <f>MAX(I439,K439,M439,O439,Q439)</f>
        <v>21.191280000000003</v>
      </c>
      <c r="I439" s="38">
        <f t="shared" si="105"/>
        <v>15.631</v>
      </c>
      <c r="K439" s="38">
        <f t="shared" si="106"/>
        <v>15.136000000000001</v>
      </c>
      <c r="M439" s="38">
        <f t="shared" si="107"/>
        <v>21.191280000000003</v>
      </c>
      <c r="O439" s="38">
        <f t="shared" si="108"/>
        <v>20.396203165151988</v>
      </c>
      <c r="Q439" s="38">
        <f t="shared" si="109"/>
        <v>4.4000000000000004</v>
      </c>
      <c r="S439" s="38">
        <v>14.209999999999999</v>
      </c>
      <c r="T439" s="38">
        <v>13.76</v>
      </c>
      <c r="U439" s="38">
        <v>19.264800000000001</v>
      </c>
      <c r="V439" s="38">
        <v>18.542002877410898</v>
      </c>
      <c r="W439" s="38">
        <v>4</v>
      </c>
    </row>
    <row r="440" spans="1:23" ht="15.6" outlineLevel="2">
      <c r="A440" s="49" t="s">
        <v>2436</v>
      </c>
      <c r="B440" s="73" t="s">
        <v>2437</v>
      </c>
      <c r="C440" s="49" t="s">
        <v>242</v>
      </c>
      <c r="E440" s="37">
        <f>MIN(I440,K440,M440,O440,Q440)</f>
        <v>5.0599999999999996</v>
      </c>
      <c r="F440" s="37">
        <f>AVERAGE(I440,K440,M440,O440,Q440)</f>
        <v>15.781744633030399</v>
      </c>
      <c r="G440" s="37">
        <f>MAX(I440,K440,M440,O440,Q440)</f>
        <v>21.46452</v>
      </c>
      <c r="I440" s="38">
        <f t="shared" si="105"/>
        <v>15.840000000000002</v>
      </c>
      <c r="K440" s="38">
        <f t="shared" si="106"/>
        <v>16.148</v>
      </c>
      <c r="M440" s="38">
        <f t="shared" si="107"/>
        <v>21.46452</v>
      </c>
      <c r="O440" s="38">
        <f t="shared" si="108"/>
        <v>20.396203165151988</v>
      </c>
      <c r="Q440" s="38">
        <f t="shared" si="109"/>
        <v>5.0599999999999996</v>
      </c>
      <c r="S440" s="38">
        <v>14.4</v>
      </c>
      <c r="T440" s="38">
        <v>14.68</v>
      </c>
      <c r="U440" s="38">
        <v>19.513199999999998</v>
      </c>
      <c r="V440" s="38">
        <v>18.542002877410898</v>
      </c>
      <c r="W440" s="38">
        <v>4.5999999999999996</v>
      </c>
    </row>
    <row r="441" spans="1:23" ht="15.6" outlineLevel="2">
      <c r="A441" s="49" t="s">
        <v>2438</v>
      </c>
      <c r="B441" s="73" t="s">
        <v>2439</v>
      </c>
      <c r="C441" s="49" t="s">
        <v>242</v>
      </c>
      <c r="E441" s="37">
        <f>MIN(I441,K441,M441,O441,Q441)</f>
        <v>7.3260000000000005</v>
      </c>
      <c r="F441" s="37">
        <f>AVERAGE(I441,K441,M441,O441,Q441)</f>
        <v>17.644176633030401</v>
      </c>
      <c r="G441" s="37">
        <f>MAX(I441,K441,M441,O441,Q441)</f>
        <v>24.682680000000001</v>
      </c>
      <c r="I441" s="38">
        <f t="shared" si="105"/>
        <v>18.216000000000005</v>
      </c>
      <c r="K441" s="38">
        <f t="shared" si="106"/>
        <v>17.600000000000001</v>
      </c>
      <c r="M441" s="38">
        <f t="shared" si="107"/>
        <v>24.682680000000001</v>
      </c>
      <c r="O441" s="38">
        <f t="shared" si="108"/>
        <v>20.396203165151988</v>
      </c>
      <c r="Q441" s="38">
        <f t="shared" si="109"/>
        <v>7.3260000000000005</v>
      </c>
      <c r="S441" s="38">
        <v>16.560000000000002</v>
      </c>
      <c r="T441" s="38">
        <v>16</v>
      </c>
      <c r="U441" s="38">
        <v>22.438800000000001</v>
      </c>
      <c r="V441" s="38">
        <v>18.542002877410898</v>
      </c>
      <c r="W441" s="38">
        <v>6.66</v>
      </c>
    </row>
    <row r="442" spans="1:23" ht="15.6" outlineLevel="2">
      <c r="A442" s="52" t="s">
        <v>2440</v>
      </c>
      <c r="B442" s="61" t="s">
        <v>2441</v>
      </c>
      <c r="C442" s="52" t="s">
        <v>242</v>
      </c>
      <c r="E442" s="37">
        <f>MIN(I442,K442,M442,O442,Q442)</f>
        <v>130.54800000000003</v>
      </c>
      <c r="F442" s="37">
        <f>AVERAGE(I442,K442,M442,O442,Q442)</f>
        <v>242.85712506424321</v>
      </c>
      <c r="G442" s="37">
        <f>MAX(I442,K442,M442,O442,Q442)</f>
        <v>514.14</v>
      </c>
      <c r="I442" s="38">
        <f t="shared" si="105"/>
        <v>217.22800000000001</v>
      </c>
      <c r="K442" s="38">
        <f t="shared" si="106"/>
        <v>514.14</v>
      </c>
      <c r="M442" s="38">
        <f t="shared" si="107"/>
        <v>130.54800000000003</v>
      </c>
      <c r="O442" s="38">
        <f t="shared" si="108"/>
        <v>163.1696253212159</v>
      </c>
      <c r="Q442" s="38">
        <f t="shared" si="109"/>
        <v>189.20000000000002</v>
      </c>
      <c r="S442" s="38">
        <v>197.48</v>
      </c>
      <c r="T442" s="38">
        <v>467.4</v>
      </c>
      <c r="U442" s="38">
        <v>118.68</v>
      </c>
      <c r="V442" s="38">
        <v>148.33602301928718</v>
      </c>
      <c r="W442" s="38">
        <v>172</v>
      </c>
    </row>
    <row r="443" spans="1:23" ht="15.95" outlineLevel="2" thickBot="1">
      <c r="A443" s="52" t="s">
        <v>2442</v>
      </c>
      <c r="B443" s="61" t="s">
        <v>2443</v>
      </c>
      <c r="C443" s="52" t="s">
        <v>242</v>
      </c>
      <c r="E443" s="37">
        <f>MIN(I443,K443,M443,O443,Q443)</f>
        <v>163.1696253212159</v>
      </c>
      <c r="F443" s="37">
        <f>AVERAGE(I443,K443,M443,O443,Q443)</f>
        <v>335.87092506424324</v>
      </c>
      <c r="G443" s="37">
        <f>MAX(I443,K443,M443,O443,Q443)</f>
        <v>534.6</v>
      </c>
      <c r="I443" s="38">
        <f t="shared" si="105"/>
        <v>434.44500000000005</v>
      </c>
      <c r="K443" s="38">
        <f t="shared" si="106"/>
        <v>243.54000000000002</v>
      </c>
      <c r="M443" s="38">
        <f t="shared" si="107"/>
        <v>303.60000000000002</v>
      </c>
      <c r="O443" s="38">
        <f t="shared" si="108"/>
        <v>163.1696253212159</v>
      </c>
      <c r="Q443" s="38">
        <f t="shared" si="109"/>
        <v>534.6</v>
      </c>
      <c r="S443" s="38">
        <v>394.95</v>
      </c>
      <c r="T443" s="38">
        <v>221.4</v>
      </c>
      <c r="U443" s="38">
        <v>276</v>
      </c>
      <c r="V443" s="38">
        <v>148.33602301928718</v>
      </c>
      <c r="W443" s="38">
        <v>486</v>
      </c>
    </row>
    <row r="444" spans="1:23" ht="15.6" thickBot="1">
      <c r="A444" s="24" t="s">
        <v>2444</v>
      </c>
      <c r="B444" s="77" t="s">
        <v>1080</v>
      </c>
      <c r="C444" s="24"/>
      <c r="I444" t="str">
        <f t="shared" si="105"/>
        <v/>
      </c>
      <c r="K444" t="str">
        <f t="shared" si="106"/>
        <v/>
      </c>
      <c r="M444" t="str">
        <f t="shared" si="107"/>
        <v/>
      </c>
      <c r="O444" t="str">
        <f t="shared" si="108"/>
        <v/>
      </c>
      <c r="Q444" t="str">
        <f t="shared" si="109"/>
        <v/>
      </c>
      <c r="T444"/>
      <c r="U444"/>
      <c r="V444"/>
      <c r="W444"/>
    </row>
    <row r="445" spans="1:23" ht="15" outlineLevel="1">
      <c r="A445" s="27" t="s">
        <v>2445</v>
      </c>
      <c r="B445" s="78" t="s">
        <v>2446</v>
      </c>
      <c r="C445" s="27"/>
      <c r="I445" t="str">
        <f t="shared" si="105"/>
        <v/>
      </c>
      <c r="K445" t="str">
        <f t="shared" si="106"/>
        <v/>
      </c>
      <c r="M445" t="str">
        <f t="shared" si="107"/>
        <v/>
      </c>
      <c r="O445" t="str">
        <f t="shared" si="108"/>
        <v/>
      </c>
      <c r="Q445" t="str">
        <f t="shared" si="109"/>
        <v/>
      </c>
      <c r="T445"/>
      <c r="U445"/>
      <c r="V445"/>
      <c r="W445"/>
    </row>
    <row r="446" spans="1:23" ht="30.95" outlineLevel="2">
      <c r="A446" s="52" t="s">
        <v>2447</v>
      </c>
      <c r="B446" s="70" t="s">
        <v>2448</v>
      </c>
      <c r="C446" s="52" t="s">
        <v>242</v>
      </c>
      <c r="E446" s="37">
        <f t="shared" ref="E446:E456" si="119">MIN(I446,K446,M446,O446,Q446)</f>
        <v>225.04900000000004</v>
      </c>
      <c r="F446" s="37">
        <f t="shared" ref="F446:F456" si="120">AVERAGE(I446,K446,M446,O446,Q446)</f>
        <v>330.40719799999999</v>
      </c>
      <c r="G446" s="37">
        <f t="shared" ref="G446:G456" si="121">MAX(I446,K446,M446,O446,Q446)</f>
        <v>396.00000000000006</v>
      </c>
      <c r="I446" s="38">
        <f t="shared" si="105"/>
        <v>225.04900000000004</v>
      </c>
      <c r="K446" s="38">
        <f t="shared" si="106"/>
        <v>324.85200000000003</v>
      </c>
      <c r="M446" s="38">
        <f t="shared" si="107"/>
        <v>394.68000000000006</v>
      </c>
      <c r="O446" s="38">
        <f t="shared" si="108"/>
        <v>311.45499000000001</v>
      </c>
      <c r="Q446" s="38">
        <f t="shared" si="109"/>
        <v>396.00000000000006</v>
      </c>
      <c r="S446" s="38">
        <v>204.59</v>
      </c>
      <c r="T446" s="38">
        <v>295.32</v>
      </c>
      <c r="U446" s="38">
        <v>358.8</v>
      </c>
      <c r="V446" s="38">
        <v>283.14089999999999</v>
      </c>
      <c r="W446" s="38">
        <v>360</v>
      </c>
    </row>
    <row r="447" spans="1:23" ht="30.95" outlineLevel="2">
      <c r="A447" s="52" t="s">
        <v>2449</v>
      </c>
      <c r="B447" s="70" t="s">
        <v>2450</v>
      </c>
      <c r="C447" s="52" t="s">
        <v>242</v>
      </c>
      <c r="E447" s="37">
        <f t="shared" si="119"/>
        <v>308</v>
      </c>
      <c r="F447" s="37">
        <f t="shared" si="120"/>
        <v>419.11869999999999</v>
      </c>
      <c r="G447" s="37">
        <f t="shared" si="121"/>
        <v>503.80000000000007</v>
      </c>
      <c r="I447" s="38">
        <f t="shared" si="105"/>
        <v>308</v>
      </c>
      <c r="K447" s="38">
        <f t="shared" si="106"/>
        <v>382.64600000000007</v>
      </c>
      <c r="M447" s="38">
        <f t="shared" si="107"/>
        <v>500.94</v>
      </c>
      <c r="O447" s="38">
        <f t="shared" si="108"/>
        <v>400.20750000000004</v>
      </c>
      <c r="Q447" s="38">
        <f t="shared" si="109"/>
        <v>503.80000000000007</v>
      </c>
      <c r="S447" s="38">
        <v>280</v>
      </c>
      <c r="T447" s="38">
        <v>347.86</v>
      </c>
      <c r="U447" s="38">
        <v>455.4</v>
      </c>
      <c r="V447" s="38">
        <v>363.82499999999999</v>
      </c>
      <c r="W447" s="38">
        <v>458</v>
      </c>
    </row>
    <row r="448" spans="1:23" ht="30.95" outlineLevel="2">
      <c r="A448" s="52" t="s">
        <v>2451</v>
      </c>
      <c r="B448" s="70" t="s">
        <v>2452</v>
      </c>
      <c r="C448" s="52" t="s">
        <v>242</v>
      </c>
      <c r="E448" s="37">
        <f t="shared" si="119"/>
        <v>304.81</v>
      </c>
      <c r="F448" s="37">
        <f t="shared" si="120"/>
        <v>662.49990400000002</v>
      </c>
      <c r="G448" s="37">
        <f t="shared" si="121"/>
        <v>862.40000000000009</v>
      </c>
      <c r="I448" s="38">
        <f t="shared" si="105"/>
        <v>304.81</v>
      </c>
      <c r="K448" s="38">
        <f t="shared" si="106"/>
        <v>677.6</v>
      </c>
      <c r="M448" s="38">
        <f t="shared" si="107"/>
        <v>759.00000000000011</v>
      </c>
      <c r="O448" s="38">
        <f t="shared" si="108"/>
        <v>708.68952000000002</v>
      </c>
      <c r="Q448" s="38">
        <f t="shared" si="109"/>
        <v>862.40000000000009</v>
      </c>
      <c r="S448" s="38">
        <v>277.09999999999997</v>
      </c>
      <c r="T448" s="38">
        <v>616</v>
      </c>
      <c r="U448" s="38">
        <v>690</v>
      </c>
      <c r="V448" s="38">
        <v>644.26319999999998</v>
      </c>
      <c r="W448" s="38">
        <v>784</v>
      </c>
    </row>
    <row r="449" spans="1:23" ht="30.95" outlineLevel="2">
      <c r="A449" s="52" t="s">
        <v>2453</v>
      </c>
      <c r="B449" s="70" t="s">
        <v>2454</v>
      </c>
      <c r="C449" s="52" t="s">
        <v>242</v>
      </c>
      <c r="E449" s="37">
        <f t="shared" si="119"/>
        <v>336.10500000000002</v>
      </c>
      <c r="F449" s="37">
        <f t="shared" si="120"/>
        <v>498.37664800000005</v>
      </c>
      <c r="G449" s="37">
        <f t="shared" si="121"/>
        <v>598.40000000000009</v>
      </c>
      <c r="I449" s="38">
        <f t="shared" si="105"/>
        <v>336.10500000000002</v>
      </c>
      <c r="K449" s="38">
        <f t="shared" si="106"/>
        <v>491.30400000000003</v>
      </c>
      <c r="M449" s="38">
        <f t="shared" si="107"/>
        <v>595.05600000000004</v>
      </c>
      <c r="O449" s="38">
        <f t="shared" si="108"/>
        <v>471.01824000000005</v>
      </c>
      <c r="Q449" s="38">
        <f t="shared" si="109"/>
        <v>598.40000000000009</v>
      </c>
      <c r="S449" s="38">
        <v>305.55</v>
      </c>
      <c r="T449" s="38">
        <v>446.64</v>
      </c>
      <c r="U449" s="38">
        <v>540.96</v>
      </c>
      <c r="V449" s="38">
        <v>428.19839999999999</v>
      </c>
      <c r="W449" s="38">
        <v>544</v>
      </c>
    </row>
    <row r="450" spans="1:23" ht="30.95" outlineLevel="2">
      <c r="A450" s="52" t="s">
        <v>2455</v>
      </c>
      <c r="B450" s="70" t="s">
        <v>2456</v>
      </c>
      <c r="C450" s="52" t="s">
        <v>242</v>
      </c>
      <c r="E450" s="37">
        <f t="shared" si="119"/>
        <v>599.40100000000007</v>
      </c>
      <c r="F450" s="37">
        <f t="shared" si="120"/>
        <v>897.34660399999996</v>
      </c>
      <c r="G450" s="37">
        <f t="shared" si="121"/>
        <v>1078</v>
      </c>
      <c r="I450" s="38">
        <f t="shared" si="105"/>
        <v>599.40100000000007</v>
      </c>
      <c r="K450" s="38">
        <f t="shared" si="106"/>
        <v>885.56600000000003</v>
      </c>
      <c r="M450" s="38">
        <f t="shared" si="107"/>
        <v>1074.7440000000001</v>
      </c>
      <c r="O450" s="38">
        <f t="shared" si="108"/>
        <v>849.02202</v>
      </c>
      <c r="Q450" s="38">
        <f t="shared" si="109"/>
        <v>1078</v>
      </c>
      <c r="S450" s="38">
        <v>544.91</v>
      </c>
      <c r="T450" s="38">
        <v>805.06</v>
      </c>
      <c r="U450" s="38">
        <v>977.04</v>
      </c>
      <c r="V450" s="38">
        <v>771.83819999999992</v>
      </c>
      <c r="W450" s="38">
        <v>980</v>
      </c>
    </row>
    <row r="451" spans="1:23" ht="30.95" outlineLevel="2">
      <c r="A451" s="52" t="s">
        <v>2457</v>
      </c>
      <c r="B451" s="70" t="s">
        <v>2458</v>
      </c>
      <c r="C451" s="52" t="s">
        <v>242</v>
      </c>
      <c r="E451" s="37">
        <f t="shared" si="119"/>
        <v>719.048</v>
      </c>
      <c r="F451" s="37">
        <f t="shared" si="120"/>
        <v>1015.4034000000001</v>
      </c>
      <c r="G451" s="37">
        <f t="shared" si="121"/>
        <v>1339.8000000000002</v>
      </c>
      <c r="I451" s="38">
        <f t="shared" si="105"/>
        <v>719.048</v>
      </c>
      <c r="K451" s="38">
        <f t="shared" si="106"/>
        <v>896.50000000000011</v>
      </c>
      <c r="M451" s="38">
        <f t="shared" si="107"/>
        <v>1184.0400000000002</v>
      </c>
      <c r="O451" s="38">
        <f t="shared" si="108"/>
        <v>937.62900000000002</v>
      </c>
      <c r="Q451" s="38">
        <f t="shared" si="109"/>
        <v>1339.8000000000002</v>
      </c>
      <c r="S451" s="38">
        <v>653.67999999999995</v>
      </c>
      <c r="T451" s="38">
        <v>815</v>
      </c>
      <c r="U451" s="38">
        <v>1076.4000000000001</v>
      </c>
      <c r="V451" s="38">
        <v>852.39</v>
      </c>
      <c r="W451" s="38">
        <v>1218</v>
      </c>
    </row>
    <row r="452" spans="1:23" ht="30.95" outlineLevel="2">
      <c r="A452" s="52" t="s">
        <v>2459</v>
      </c>
      <c r="B452" s="70" t="s">
        <v>2460</v>
      </c>
      <c r="C452" s="52" t="s">
        <v>242</v>
      </c>
      <c r="E452" s="37">
        <f t="shared" si="119"/>
        <v>81.356000000000009</v>
      </c>
      <c r="F452" s="37">
        <f t="shared" si="120"/>
        <v>112.86162800000002</v>
      </c>
      <c r="G452" s="37">
        <f t="shared" si="121"/>
        <v>134.20000000000002</v>
      </c>
      <c r="I452" s="38">
        <f t="shared" ref="I452:I473" si="122" xml:space="preserve"> IF(ISBLANK(S452),"",_k_EIFFAGE * S452)</f>
        <v>81.356000000000009</v>
      </c>
      <c r="K452" s="38">
        <f t="shared" ref="K452:K473" si="123" xml:space="preserve"> IF(ISBLANK(T452),"",_k_ERI * T452)</f>
        <v>109.846</v>
      </c>
      <c r="M452" s="38">
        <f t="shared" ref="M452:M473" si="124" xml:space="preserve"> IF(ISBLANK(U452),"",_k_INEO * U452)</f>
        <v>133.58400000000003</v>
      </c>
      <c r="O452" s="38">
        <f t="shared" ref="O452:O473" si="125" xml:space="preserve"> IF(ISBLANK(V452),"",_k_SDEL * V452)</f>
        <v>105.32213999999999</v>
      </c>
      <c r="Q452" s="38">
        <f t="shared" ref="Q452:Q473" si="126" xml:space="preserve"> IF(ISBLANK(W452),"",_k_SOGETREL * W452)</f>
        <v>134.20000000000002</v>
      </c>
      <c r="S452" s="38">
        <v>73.960000000000008</v>
      </c>
      <c r="T452" s="38">
        <v>99.86</v>
      </c>
      <c r="U452" s="38">
        <v>121.44000000000001</v>
      </c>
      <c r="V452" s="38">
        <v>95.747399999999985</v>
      </c>
      <c r="W452" s="38">
        <v>122</v>
      </c>
    </row>
    <row r="453" spans="1:23" ht="30.95" outlineLevel="2">
      <c r="A453" s="52" t="s">
        <v>2461</v>
      </c>
      <c r="B453" s="70" t="s">
        <v>2462</v>
      </c>
      <c r="C453" s="52" t="s">
        <v>242</v>
      </c>
      <c r="E453" s="37">
        <f t="shared" si="119"/>
        <v>103.96100000000001</v>
      </c>
      <c r="F453" s="37">
        <f t="shared" si="120"/>
        <v>147.501508</v>
      </c>
      <c r="G453" s="37">
        <f t="shared" si="121"/>
        <v>176.08799999999999</v>
      </c>
      <c r="I453" s="38">
        <f t="shared" si="122"/>
        <v>103.96100000000001</v>
      </c>
      <c r="K453" s="38">
        <f t="shared" si="123"/>
        <v>143.70400000000001</v>
      </c>
      <c r="M453" s="38">
        <f t="shared" si="124"/>
        <v>176.08799999999999</v>
      </c>
      <c r="O453" s="38">
        <f t="shared" si="125"/>
        <v>137.75454000000002</v>
      </c>
      <c r="Q453" s="38">
        <f t="shared" si="126"/>
        <v>176</v>
      </c>
      <c r="S453" s="38">
        <v>94.51</v>
      </c>
      <c r="T453" s="38">
        <v>130.63999999999999</v>
      </c>
      <c r="U453" s="38">
        <v>160.07999999999998</v>
      </c>
      <c r="V453" s="38">
        <v>125.23140000000001</v>
      </c>
      <c r="W453" s="38">
        <v>160</v>
      </c>
    </row>
    <row r="454" spans="1:23" ht="30.95" outlineLevel="2">
      <c r="A454" s="52" t="s">
        <v>2463</v>
      </c>
      <c r="B454" s="70" t="s">
        <v>2464</v>
      </c>
      <c r="C454" s="52" t="s">
        <v>242</v>
      </c>
      <c r="E454" s="37">
        <f t="shared" si="119"/>
        <v>151.822</v>
      </c>
      <c r="F454" s="37">
        <f t="shared" si="120"/>
        <v>239.18910400000004</v>
      </c>
      <c r="G454" s="37">
        <f t="shared" si="121"/>
        <v>319</v>
      </c>
      <c r="I454" s="38">
        <f t="shared" si="122"/>
        <v>151.822</v>
      </c>
      <c r="K454" s="38">
        <f t="shared" si="123"/>
        <v>216.41400000000002</v>
      </c>
      <c r="M454" s="38">
        <f t="shared" si="124"/>
        <v>282.34800000000001</v>
      </c>
      <c r="O454" s="38">
        <f t="shared" si="125"/>
        <v>226.36152000000001</v>
      </c>
      <c r="Q454" s="38">
        <f t="shared" si="126"/>
        <v>319</v>
      </c>
      <c r="S454" s="38">
        <v>138.01999999999998</v>
      </c>
      <c r="T454" s="38">
        <v>196.74</v>
      </c>
      <c r="U454" s="38">
        <v>256.68</v>
      </c>
      <c r="V454" s="38">
        <v>205.78319999999999</v>
      </c>
      <c r="W454" s="38">
        <v>290</v>
      </c>
    </row>
    <row r="455" spans="1:23" ht="30.95" outlineLevel="2">
      <c r="A455" s="52" t="s">
        <v>2465</v>
      </c>
      <c r="B455" s="70" t="s">
        <v>2466</v>
      </c>
      <c r="C455" s="52" t="s">
        <v>242</v>
      </c>
      <c r="E455" s="37">
        <f t="shared" si="119"/>
        <v>151.822</v>
      </c>
      <c r="F455" s="37">
        <f t="shared" si="120"/>
        <v>231.70910400000002</v>
      </c>
      <c r="G455" s="37">
        <f t="shared" si="121"/>
        <v>282.34800000000001</v>
      </c>
      <c r="I455" s="38">
        <f t="shared" si="122"/>
        <v>151.822</v>
      </c>
      <c r="K455" s="38">
        <f t="shared" si="123"/>
        <v>216.41400000000002</v>
      </c>
      <c r="M455" s="38">
        <f t="shared" si="124"/>
        <v>282.34800000000001</v>
      </c>
      <c r="O455" s="38">
        <f t="shared" si="125"/>
        <v>226.36152000000001</v>
      </c>
      <c r="Q455" s="38">
        <f t="shared" si="126"/>
        <v>281.60000000000002</v>
      </c>
      <c r="S455" s="38">
        <v>138.01999999999998</v>
      </c>
      <c r="T455" s="38">
        <v>196.74</v>
      </c>
      <c r="U455" s="38">
        <v>256.68</v>
      </c>
      <c r="V455" s="38">
        <v>205.78319999999999</v>
      </c>
      <c r="W455" s="38">
        <v>256</v>
      </c>
    </row>
    <row r="456" spans="1:23" ht="31.5" outlineLevel="2" thickBot="1">
      <c r="A456" s="52" t="s">
        <v>2467</v>
      </c>
      <c r="B456" s="70" t="s">
        <v>2468</v>
      </c>
      <c r="C456" s="52" t="s">
        <v>242</v>
      </c>
      <c r="E456" s="37">
        <f t="shared" si="119"/>
        <v>526.41600000000005</v>
      </c>
      <c r="F456" s="37">
        <f t="shared" si="120"/>
        <v>871.50278600000001</v>
      </c>
      <c r="G456" s="37">
        <f t="shared" si="121"/>
        <v>1029.6000000000001</v>
      </c>
      <c r="I456" s="38">
        <f t="shared" si="122"/>
        <v>526.41600000000005</v>
      </c>
      <c r="K456" s="38">
        <f t="shared" si="123"/>
        <v>1029.6000000000001</v>
      </c>
      <c r="M456" s="38">
        <f t="shared" si="124"/>
        <v>986.7</v>
      </c>
      <c r="O456" s="38">
        <f t="shared" si="125"/>
        <v>822.59793000000002</v>
      </c>
      <c r="Q456" s="38">
        <f t="shared" si="126"/>
        <v>992.2</v>
      </c>
      <c r="S456" s="38">
        <v>478.56</v>
      </c>
      <c r="T456" s="38">
        <v>936</v>
      </c>
      <c r="U456" s="38">
        <v>897</v>
      </c>
      <c r="V456" s="38">
        <v>747.81629999999996</v>
      </c>
      <c r="W456" s="38">
        <v>902</v>
      </c>
    </row>
    <row r="457" spans="1:23" ht="15.6" thickBot="1">
      <c r="A457" s="24" t="s">
        <v>2469</v>
      </c>
      <c r="B457" s="77" t="s">
        <v>2470</v>
      </c>
      <c r="C457" s="24"/>
      <c r="I457" t="str">
        <f t="shared" si="122"/>
        <v/>
      </c>
      <c r="K457" t="str">
        <f t="shared" si="123"/>
        <v/>
      </c>
      <c r="M457" t="str">
        <f t="shared" si="124"/>
        <v/>
      </c>
      <c r="O457" t="str">
        <f t="shared" si="125"/>
        <v/>
      </c>
      <c r="Q457" t="str">
        <f t="shared" si="126"/>
        <v/>
      </c>
      <c r="T457"/>
      <c r="U457"/>
      <c r="V457"/>
      <c r="W457"/>
    </row>
    <row r="458" spans="1:23" ht="15" outlineLevel="1">
      <c r="A458" s="27" t="s">
        <v>2471</v>
      </c>
      <c r="B458" s="78" t="s">
        <v>2472</v>
      </c>
      <c r="C458" s="27"/>
      <c r="I458" t="str">
        <f t="shared" si="122"/>
        <v/>
      </c>
      <c r="K458" t="str">
        <f t="shared" si="123"/>
        <v/>
      </c>
      <c r="M458" t="str">
        <f t="shared" si="124"/>
        <v/>
      </c>
      <c r="O458" t="str">
        <f t="shared" si="125"/>
        <v/>
      </c>
      <c r="Q458" t="str">
        <f t="shared" si="126"/>
        <v/>
      </c>
      <c r="T458"/>
      <c r="U458"/>
      <c r="V458"/>
      <c r="W458"/>
    </row>
    <row r="459" spans="1:23" ht="15.6" outlineLevel="2">
      <c r="A459" s="52" t="s">
        <v>2473</v>
      </c>
      <c r="B459" s="70" t="s">
        <v>2474</v>
      </c>
      <c r="C459" s="52" t="s">
        <v>242</v>
      </c>
      <c r="E459" s="37">
        <f>MIN(I459,K459,M459,O459,Q459)</f>
        <v>201.79500000000002</v>
      </c>
      <c r="F459" s="37">
        <f>AVERAGE(I459,K459,M459,O459,Q459)</f>
        <v>279.33417600000001</v>
      </c>
      <c r="G459" s="37">
        <f>MAX(I459,K459,M459,O459,Q459)</f>
        <v>373.42800000000005</v>
      </c>
      <c r="I459" s="38">
        <f t="shared" si="122"/>
        <v>201.79500000000002</v>
      </c>
      <c r="K459" s="38">
        <f t="shared" si="123"/>
        <v>273.57</v>
      </c>
      <c r="M459" s="38">
        <f t="shared" si="124"/>
        <v>373.42800000000005</v>
      </c>
      <c r="O459" s="38">
        <f t="shared" si="125"/>
        <v>290.47787999999997</v>
      </c>
      <c r="Q459" s="38">
        <f t="shared" si="126"/>
        <v>257.40000000000003</v>
      </c>
      <c r="S459" s="38">
        <v>183.45</v>
      </c>
      <c r="T459" s="38">
        <v>248.7</v>
      </c>
      <c r="U459" s="38">
        <v>339.48</v>
      </c>
      <c r="V459" s="38">
        <v>264.07079999999996</v>
      </c>
      <c r="W459" s="38">
        <v>234</v>
      </c>
    </row>
    <row r="460" spans="1:23" ht="15.6" outlineLevel="2">
      <c r="A460" s="52" t="s">
        <v>2475</v>
      </c>
      <c r="B460" s="70" t="s">
        <v>2476</v>
      </c>
      <c r="C460" s="52" t="s">
        <v>242</v>
      </c>
      <c r="E460" s="37">
        <f>MIN(I460,K460,M460,O460,Q460)</f>
        <v>201.79500000000002</v>
      </c>
      <c r="F460" s="37">
        <f>AVERAGE(I460,K460,M460,O460,Q460)</f>
        <v>279.620946</v>
      </c>
      <c r="G460" s="37">
        <f>MAX(I460,K460,M460,O460,Q460)</f>
        <v>358.24800000000005</v>
      </c>
      <c r="I460" s="38">
        <f t="shared" si="122"/>
        <v>201.79500000000002</v>
      </c>
      <c r="K460" s="38">
        <f t="shared" si="123"/>
        <v>285.47199999999998</v>
      </c>
      <c r="M460" s="38">
        <f t="shared" si="124"/>
        <v>358.24800000000005</v>
      </c>
      <c r="O460" s="38">
        <f t="shared" si="125"/>
        <v>290.78972999999996</v>
      </c>
      <c r="Q460" s="38">
        <f t="shared" si="126"/>
        <v>261.8</v>
      </c>
      <c r="S460" s="38">
        <v>183.45</v>
      </c>
      <c r="T460" s="38">
        <v>259.52</v>
      </c>
      <c r="U460" s="38">
        <v>325.68</v>
      </c>
      <c r="V460" s="38">
        <v>264.35429999999997</v>
      </c>
      <c r="W460" s="38">
        <v>238</v>
      </c>
    </row>
    <row r="461" spans="1:23" ht="15.95" outlineLevel="2" thickBot="1">
      <c r="A461" s="52" t="s">
        <v>2477</v>
      </c>
      <c r="B461" s="70" t="s">
        <v>2478</v>
      </c>
      <c r="C461" s="52" t="s">
        <v>242</v>
      </c>
      <c r="E461" s="37">
        <f>MIN(I461,K461,M461,O461,Q461)</f>
        <v>242.47299999999998</v>
      </c>
      <c r="F461" s="37">
        <f>AVERAGE(I461,K461,M461,O461,Q461)</f>
        <v>319.78258400000004</v>
      </c>
      <c r="G461" s="37">
        <f>MAX(I461,K461,M461,O461,Q461)</f>
        <v>455.40000000000003</v>
      </c>
      <c r="I461" s="38">
        <f t="shared" si="122"/>
        <v>242.47299999999998</v>
      </c>
      <c r="K461" s="38">
        <f t="shared" si="123"/>
        <v>276.27600000000001</v>
      </c>
      <c r="M461" s="38">
        <f t="shared" si="124"/>
        <v>455.40000000000003</v>
      </c>
      <c r="O461" s="38">
        <f t="shared" si="125"/>
        <v>321.16392000000002</v>
      </c>
      <c r="Q461" s="38">
        <f t="shared" si="126"/>
        <v>303.60000000000002</v>
      </c>
      <c r="S461" s="38">
        <v>220.42999999999998</v>
      </c>
      <c r="T461" s="38">
        <v>251.16</v>
      </c>
      <c r="U461" s="38">
        <v>414</v>
      </c>
      <c r="V461" s="38">
        <v>291.96719999999999</v>
      </c>
      <c r="W461" s="38">
        <v>276</v>
      </c>
    </row>
    <row r="462" spans="1:23" ht="15" outlineLevel="1">
      <c r="A462" s="27" t="s">
        <v>2479</v>
      </c>
      <c r="B462" s="78" t="s">
        <v>2480</v>
      </c>
      <c r="C462" s="27"/>
      <c r="I462" t="str">
        <f t="shared" si="122"/>
        <v/>
      </c>
      <c r="K462" t="str">
        <f t="shared" si="123"/>
        <v/>
      </c>
      <c r="M462" t="str">
        <f t="shared" si="124"/>
        <v/>
      </c>
      <c r="O462" t="str">
        <f t="shared" si="125"/>
        <v/>
      </c>
      <c r="Q462" t="str">
        <f t="shared" si="126"/>
        <v/>
      </c>
      <c r="T462"/>
      <c r="U462"/>
      <c r="V462"/>
      <c r="W462"/>
    </row>
    <row r="463" spans="1:23" ht="15.6" outlineLevel="2">
      <c r="A463" s="52" t="s">
        <v>2481</v>
      </c>
      <c r="B463" s="70" t="s">
        <v>2482</v>
      </c>
      <c r="C463" s="52" t="s">
        <v>242</v>
      </c>
      <c r="E463" s="37">
        <f>MIN(I463,K463,M463,O463,Q463)</f>
        <v>220.143</v>
      </c>
      <c r="F463" s="37">
        <f>AVERAGE(I463,K463,M463,O463,Q463)</f>
        <v>308.90171399999997</v>
      </c>
      <c r="G463" s="37">
        <f>MAX(I463,K463,M463,O463,Q463)</f>
        <v>403.78800000000001</v>
      </c>
      <c r="I463" s="38">
        <f t="shared" si="122"/>
        <v>220.143</v>
      </c>
      <c r="K463" s="38">
        <f t="shared" si="123"/>
        <v>279.202</v>
      </c>
      <c r="M463" s="38">
        <f t="shared" si="124"/>
        <v>403.78800000000001</v>
      </c>
      <c r="O463" s="38">
        <f t="shared" si="125"/>
        <v>313.57557000000003</v>
      </c>
      <c r="Q463" s="38">
        <f t="shared" si="126"/>
        <v>327.8</v>
      </c>
      <c r="S463" s="38">
        <v>200.13</v>
      </c>
      <c r="T463" s="38">
        <v>253.82</v>
      </c>
      <c r="U463" s="38">
        <v>367.08</v>
      </c>
      <c r="V463" s="38">
        <v>285.06869999999998</v>
      </c>
      <c r="W463" s="38">
        <v>298</v>
      </c>
    </row>
    <row r="464" spans="1:23" ht="15.6" outlineLevel="2">
      <c r="A464" s="52" t="s">
        <v>2483</v>
      </c>
      <c r="B464" s="70" t="s">
        <v>2484</v>
      </c>
      <c r="C464" s="52" t="s">
        <v>242</v>
      </c>
      <c r="E464" s="37">
        <f>MIN(I464,K464,M464,O464,Q464)</f>
        <v>220.143</v>
      </c>
      <c r="F464" s="37">
        <f>AVERAGE(I464,K464,M464,O464,Q464)</f>
        <v>313.04466600000001</v>
      </c>
      <c r="G464" s="37">
        <f>MAX(I464,K464,M464,O464,Q464)</f>
        <v>400.75200000000001</v>
      </c>
      <c r="I464" s="38">
        <f t="shared" si="122"/>
        <v>220.143</v>
      </c>
      <c r="K464" s="38">
        <f t="shared" si="123"/>
        <v>291.28000000000003</v>
      </c>
      <c r="M464" s="38">
        <f t="shared" si="124"/>
        <v>400.75200000000001</v>
      </c>
      <c r="O464" s="38">
        <f t="shared" si="125"/>
        <v>318.64832999999993</v>
      </c>
      <c r="Q464" s="38">
        <f t="shared" si="126"/>
        <v>334.40000000000003</v>
      </c>
      <c r="S464" s="38">
        <v>200.13</v>
      </c>
      <c r="T464" s="38">
        <v>264.8</v>
      </c>
      <c r="U464" s="38">
        <v>364.32</v>
      </c>
      <c r="V464" s="38">
        <v>289.68029999999993</v>
      </c>
      <c r="W464" s="38">
        <v>304</v>
      </c>
    </row>
    <row r="465" spans="1:23" ht="15.95" outlineLevel="2" thickBot="1">
      <c r="A465" s="52" t="s">
        <v>2485</v>
      </c>
      <c r="B465" s="70" t="s">
        <v>2486</v>
      </c>
      <c r="C465" s="52" t="s">
        <v>242</v>
      </c>
      <c r="E465" s="37">
        <f>MIN(I465,K465,M465,O465,Q465)</f>
        <v>260.33699999999999</v>
      </c>
      <c r="F465" s="37">
        <f>AVERAGE(I465,K465,M465,O465,Q465)</f>
        <v>366.48862799999995</v>
      </c>
      <c r="G465" s="37">
        <f>MAX(I465,K465,M465,O465,Q465)</f>
        <v>488.79600000000005</v>
      </c>
      <c r="I465" s="38">
        <f t="shared" si="122"/>
        <v>260.33699999999999</v>
      </c>
      <c r="K465" s="38">
        <f t="shared" si="123"/>
        <v>323.22399999999999</v>
      </c>
      <c r="M465" s="38">
        <f t="shared" si="124"/>
        <v>488.79600000000005</v>
      </c>
      <c r="O465" s="38">
        <f t="shared" si="125"/>
        <v>346.48613999999998</v>
      </c>
      <c r="Q465" s="38">
        <f t="shared" si="126"/>
        <v>413.6</v>
      </c>
      <c r="S465" s="38">
        <v>236.67</v>
      </c>
      <c r="T465" s="38">
        <v>293.83999999999997</v>
      </c>
      <c r="U465" s="38">
        <v>444.36</v>
      </c>
      <c r="V465" s="38">
        <v>314.98739999999998</v>
      </c>
      <c r="W465" s="38">
        <v>376</v>
      </c>
    </row>
    <row r="466" spans="1:23" ht="15" outlineLevel="1">
      <c r="A466" s="27" t="s">
        <v>2487</v>
      </c>
      <c r="B466" s="78" t="s">
        <v>2488</v>
      </c>
      <c r="C466" s="27"/>
      <c r="I466" t="str">
        <f t="shared" si="122"/>
        <v/>
      </c>
      <c r="K466" t="str">
        <f t="shared" si="123"/>
        <v/>
      </c>
      <c r="M466" t="str">
        <f t="shared" si="124"/>
        <v/>
      </c>
      <c r="O466" t="str">
        <f t="shared" si="125"/>
        <v/>
      </c>
      <c r="Q466" t="str">
        <f t="shared" si="126"/>
        <v/>
      </c>
      <c r="T466"/>
      <c r="U466"/>
      <c r="V466"/>
      <c r="W466"/>
    </row>
    <row r="467" spans="1:23" ht="15.6" outlineLevel="2">
      <c r="A467" s="52" t="s">
        <v>2489</v>
      </c>
      <c r="B467" s="70" t="s">
        <v>2490</v>
      </c>
      <c r="C467" s="52" t="s">
        <v>242</v>
      </c>
      <c r="E467" s="37">
        <f>MIN(I467,K467,M467,O467,Q467)</f>
        <v>195.41499999999999</v>
      </c>
      <c r="F467" s="37">
        <f>AVERAGE(I467,K467,M467,O467,Q467)</f>
        <v>290.69215999999994</v>
      </c>
      <c r="G467" s="37">
        <f>MAX(I467,K467,M467,O467,Q467)</f>
        <v>403.78800000000001</v>
      </c>
      <c r="I467" s="38">
        <f t="shared" si="122"/>
        <v>195.41499999999999</v>
      </c>
      <c r="K467" s="38">
        <f t="shared" si="123"/>
        <v>265.298</v>
      </c>
      <c r="M467" s="38">
        <f t="shared" si="124"/>
        <v>403.78800000000001</v>
      </c>
      <c r="O467" s="38">
        <f t="shared" si="125"/>
        <v>283.15979999999996</v>
      </c>
      <c r="Q467" s="38">
        <f t="shared" si="126"/>
        <v>305.8</v>
      </c>
      <c r="S467" s="38">
        <v>177.64999999999998</v>
      </c>
      <c r="T467" s="38">
        <v>241.18</v>
      </c>
      <c r="U467" s="38">
        <v>367.08</v>
      </c>
      <c r="V467" s="38">
        <v>257.41799999999995</v>
      </c>
      <c r="W467" s="38">
        <v>278</v>
      </c>
    </row>
    <row r="468" spans="1:23" ht="15.6" outlineLevel="2">
      <c r="A468" s="52" t="s">
        <v>2491</v>
      </c>
      <c r="B468" s="70" t="s">
        <v>2492</v>
      </c>
      <c r="C468" s="52" t="s">
        <v>242</v>
      </c>
      <c r="E468" s="37">
        <f>MIN(I468,K468,M468,O468,Q468)</f>
        <v>195.41499999999999</v>
      </c>
      <c r="F468" s="37">
        <f>AVERAGE(I468,K468,M468,O468,Q468)</f>
        <v>288.59852999999998</v>
      </c>
      <c r="G468" s="37">
        <f>MAX(I468,K468,M468,O468,Q468)</f>
        <v>388.608</v>
      </c>
      <c r="I468" s="38">
        <f t="shared" si="122"/>
        <v>195.41499999999999</v>
      </c>
      <c r="K468" s="38">
        <f t="shared" si="123"/>
        <v>265.298</v>
      </c>
      <c r="M468" s="38">
        <f t="shared" si="124"/>
        <v>388.608</v>
      </c>
      <c r="O468" s="38">
        <f t="shared" si="125"/>
        <v>283.47164999999995</v>
      </c>
      <c r="Q468" s="38">
        <f t="shared" si="126"/>
        <v>310.20000000000005</v>
      </c>
      <c r="S468" s="38">
        <v>177.64999999999998</v>
      </c>
      <c r="T468" s="38">
        <v>241.18</v>
      </c>
      <c r="U468" s="38">
        <v>353.28</v>
      </c>
      <c r="V468" s="38">
        <v>257.70149999999995</v>
      </c>
      <c r="W468" s="38">
        <v>282</v>
      </c>
    </row>
    <row r="469" spans="1:23" ht="15.95" outlineLevel="2" thickBot="1">
      <c r="A469" s="52" t="s">
        <v>2493</v>
      </c>
      <c r="B469" s="70" t="s">
        <v>2494</v>
      </c>
      <c r="C469" s="52" t="s">
        <v>242</v>
      </c>
      <c r="E469" s="37">
        <f>MIN(I469,K469,M469,O469,Q469)</f>
        <v>233.05700000000002</v>
      </c>
      <c r="F469" s="37">
        <f>AVERAGE(I469,K469,M469,O469,Q469)</f>
        <v>327.09725400000002</v>
      </c>
      <c r="G469" s="37">
        <f>MAX(I469,K469,M469,O469,Q469)</f>
        <v>409.86000000000007</v>
      </c>
      <c r="I469" s="38">
        <f t="shared" si="122"/>
        <v>233.05700000000002</v>
      </c>
      <c r="K469" s="38">
        <f t="shared" si="123"/>
        <v>330.02199999999999</v>
      </c>
      <c r="M469" s="38">
        <f t="shared" si="124"/>
        <v>409.86000000000007</v>
      </c>
      <c r="O469" s="38">
        <f t="shared" si="125"/>
        <v>339.14726999999999</v>
      </c>
      <c r="Q469" s="38">
        <f t="shared" si="126"/>
        <v>323.40000000000003</v>
      </c>
      <c r="S469" s="38">
        <v>211.87</v>
      </c>
      <c r="T469" s="38">
        <v>300.02</v>
      </c>
      <c r="U469" s="38">
        <v>372.6</v>
      </c>
      <c r="V469" s="38">
        <v>308.31569999999999</v>
      </c>
      <c r="W469" s="38">
        <v>294</v>
      </c>
    </row>
    <row r="470" spans="1:23" ht="15" outlineLevel="1">
      <c r="A470" s="27" t="s">
        <v>2495</v>
      </c>
      <c r="B470" s="78" t="s">
        <v>2496</v>
      </c>
      <c r="C470" s="27"/>
      <c r="I470" t="str">
        <f t="shared" si="122"/>
        <v/>
      </c>
      <c r="K470" t="str">
        <f t="shared" si="123"/>
        <v/>
      </c>
      <c r="M470" t="str">
        <f t="shared" si="124"/>
        <v/>
      </c>
      <c r="O470" t="str">
        <f t="shared" si="125"/>
        <v/>
      </c>
      <c r="Q470" t="str">
        <f t="shared" si="126"/>
        <v/>
      </c>
      <c r="T470"/>
      <c r="U470"/>
      <c r="V470"/>
      <c r="W470"/>
    </row>
    <row r="471" spans="1:23" ht="15.6" outlineLevel="2">
      <c r="A471" s="52" t="s">
        <v>2497</v>
      </c>
      <c r="B471" s="70" t="s">
        <v>2498</v>
      </c>
      <c r="C471" s="52" t="s">
        <v>242</v>
      </c>
      <c r="E471" s="37">
        <f>MIN(I471,K471,M471,O471,Q471)</f>
        <v>213.76300000000001</v>
      </c>
      <c r="F471" s="37">
        <f>AVERAGE(I471,K471,M471,O471,Q471)</f>
        <v>318.80769800000002</v>
      </c>
      <c r="G471" s="37">
        <f>MAX(I471,K471,M471,O471,Q471)</f>
        <v>403.78800000000001</v>
      </c>
      <c r="I471" s="38">
        <f t="shared" si="122"/>
        <v>213.76300000000001</v>
      </c>
      <c r="K471" s="38">
        <f t="shared" si="123"/>
        <v>294.03000000000003</v>
      </c>
      <c r="M471" s="38">
        <f t="shared" si="124"/>
        <v>403.78800000000001</v>
      </c>
      <c r="O471" s="38">
        <f t="shared" si="125"/>
        <v>306.25748999999996</v>
      </c>
      <c r="Q471" s="38">
        <f t="shared" si="126"/>
        <v>376.20000000000005</v>
      </c>
      <c r="S471" s="38">
        <v>194.32999999999998</v>
      </c>
      <c r="T471" s="38">
        <v>267.3</v>
      </c>
      <c r="U471" s="38">
        <v>367.08</v>
      </c>
      <c r="V471" s="38">
        <v>278.41589999999997</v>
      </c>
      <c r="W471" s="38">
        <v>342</v>
      </c>
    </row>
    <row r="472" spans="1:23" ht="15.6" outlineLevel="2">
      <c r="A472" s="52" t="s">
        <v>2499</v>
      </c>
      <c r="B472" s="70" t="s">
        <v>2500</v>
      </c>
      <c r="C472" s="52" t="s">
        <v>242</v>
      </c>
      <c r="E472" s="37">
        <f>MIN(I472,K472,M472,O472,Q472)</f>
        <v>213.76300000000001</v>
      </c>
      <c r="F472" s="37">
        <f>AVERAGE(I472,K472,M472,O472,Q472)</f>
        <v>323.21024999999997</v>
      </c>
      <c r="G472" s="37">
        <f>MAX(I472,K472,M472,O472,Q472)</f>
        <v>400.75200000000001</v>
      </c>
      <c r="I472" s="38">
        <f t="shared" si="122"/>
        <v>213.76300000000001</v>
      </c>
      <c r="K472" s="38">
        <f t="shared" si="123"/>
        <v>307.40600000000001</v>
      </c>
      <c r="M472" s="38">
        <f t="shared" si="124"/>
        <v>400.75200000000001</v>
      </c>
      <c r="O472" s="38">
        <f t="shared" si="125"/>
        <v>311.33024999999998</v>
      </c>
      <c r="Q472" s="38">
        <f t="shared" si="126"/>
        <v>382.8</v>
      </c>
      <c r="S472" s="38">
        <v>194.32999999999998</v>
      </c>
      <c r="T472" s="38">
        <v>279.45999999999998</v>
      </c>
      <c r="U472" s="38">
        <v>364.32</v>
      </c>
      <c r="V472" s="38">
        <v>283.02749999999997</v>
      </c>
      <c r="W472" s="38">
        <v>348</v>
      </c>
    </row>
    <row r="473" spans="1:23" ht="15.6" outlineLevel="2">
      <c r="A473" s="52" t="s">
        <v>2501</v>
      </c>
      <c r="B473" s="70" t="s">
        <v>2502</v>
      </c>
      <c r="C473" s="52" t="s">
        <v>242</v>
      </c>
      <c r="E473" s="37">
        <f>MIN(I473,K473,M473,O473,Q473)</f>
        <v>250.92099999999999</v>
      </c>
      <c r="F473" s="37">
        <f>AVERAGE(I473,K473,M473,O473,Q473)</f>
        <v>364.26409799999999</v>
      </c>
      <c r="G473" s="37">
        <f>MAX(I473,K473,M473,O473,Q473)</f>
        <v>443.25600000000003</v>
      </c>
      <c r="I473" s="38">
        <f t="shared" si="122"/>
        <v>250.92099999999999</v>
      </c>
      <c r="K473" s="38">
        <f t="shared" si="123"/>
        <v>322.67399999999998</v>
      </c>
      <c r="M473" s="38">
        <f t="shared" si="124"/>
        <v>443.25600000000003</v>
      </c>
      <c r="O473" s="38">
        <f t="shared" si="125"/>
        <v>364.46949000000001</v>
      </c>
      <c r="Q473" s="38">
        <f t="shared" si="126"/>
        <v>440.00000000000006</v>
      </c>
      <c r="S473" s="38">
        <v>228.10999999999999</v>
      </c>
      <c r="T473" s="38">
        <v>293.33999999999997</v>
      </c>
      <c r="U473" s="38">
        <v>402.96</v>
      </c>
      <c r="V473" s="38">
        <v>331.33589999999998</v>
      </c>
      <c r="W473" s="38">
        <v>400</v>
      </c>
    </row>
  </sheetData>
  <autoFilter ref="A3:C3" xr:uid="{90451F94-D09E-488C-B1B1-8CB7C581761D}"/>
  <mergeCells count="3">
    <mergeCell ref="A2:C2"/>
    <mergeCell ref="I1:Q1"/>
    <mergeCell ref="S1:W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858974-D9DC-4458-B54F-0F4BB4267685}">
  <sheetPr codeName="Feuil13">
    <tabColor rgb="FFFF0000"/>
  </sheetPr>
  <dimension ref="A1:L396"/>
  <sheetViews>
    <sheetView topLeftCell="A290" workbookViewId="0">
      <selection activeCell="C394" activeCellId="3" sqref="C370:C375 C380:C382 C387:C389 C394:C396"/>
    </sheetView>
  </sheetViews>
  <sheetFormatPr defaultColWidth="11.42578125" defaultRowHeight="14.45"/>
  <cols>
    <col min="1" max="1" width="10.140625" bestFit="1" customWidth="1"/>
    <col min="2" max="2" width="93.85546875" customWidth="1"/>
    <col min="3" max="3" width="17.85546875" customWidth="1"/>
    <col min="5" max="5" width="37.7109375" bestFit="1" customWidth="1"/>
    <col min="10" max="10" width="53.7109375" customWidth="1"/>
  </cols>
  <sheetData>
    <row r="1" spans="1:5" s="342" customFormat="1" ht="25.5" thickBot="1">
      <c r="A1" s="749" t="s">
        <v>2503</v>
      </c>
      <c r="B1" s="750"/>
      <c r="C1" s="750"/>
    </row>
    <row r="2" spans="1:5" s="344" customFormat="1" ht="27.95">
      <c r="A2" s="169" t="s">
        <v>228</v>
      </c>
      <c r="B2" s="343" t="s">
        <v>2504</v>
      </c>
      <c r="C2" s="170" t="s">
        <v>2505</v>
      </c>
    </row>
    <row r="3" spans="1:5" s="344" customFormat="1" ht="30" customHeight="1">
      <c r="A3" s="345" t="s">
        <v>2506</v>
      </c>
      <c r="B3" s="346" t="s">
        <v>2507</v>
      </c>
      <c r="C3" s="347">
        <v>1359.51</v>
      </c>
      <c r="E3" s="348"/>
    </row>
    <row r="4" spans="1:5" s="344" customFormat="1" ht="30" customHeight="1">
      <c r="A4" s="345" t="s">
        <v>2508</v>
      </c>
      <c r="B4" s="346" t="s">
        <v>2509</v>
      </c>
      <c r="C4" s="347">
        <v>1221.0999999999999</v>
      </c>
    </row>
    <row r="5" spans="1:5" s="344" customFormat="1" ht="30" customHeight="1">
      <c r="A5" s="345" t="s">
        <v>2510</v>
      </c>
      <c r="B5" s="346" t="s">
        <v>2511</v>
      </c>
      <c r="C5" s="347">
        <v>3570.3900000000003</v>
      </c>
    </row>
    <row r="6" spans="1:5" s="344" customFormat="1" ht="30" customHeight="1">
      <c r="A6" s="345" t="s">
        <v>2512</v>
      </c>
      <c r="B6" s="346" t="s">
        <v>2513</v>
      </c>
      <c r="C6" s="347">
        <v>533.40000000000009</v>
      </c>
    </row>
    <row r="7" spans="1:5" s="344" customFormat="1" ht="30" customHeight="1">
      <c r="A7" s="345" t="s">
        <v>2514</v>
      </c>
      <c r="B7" s="346" t="s">
        <v>2515</v>
      </c>
      <c r="C7" s="347">
        <v>1910.1150000000002</v>
      </c>
      <c r="D7" s="348"/>
    </row>
    <row r="8" spans="1:5" s="344" customFormat="1" ht="30" customHeight="1">
      <c r="A8" s="345" t="s">
        <v>2516</v>
      </c>
      <c r="B8" s="346" t="s">
        <v>2517</v>
      </c>
      <c r="C8" s="347">
        <v>512.18999999999994</v>
      </c>
      <c r="D8" s="348"/>
    </row>
    <row r="9" spans="1:5" s="344" customFormat="1" ht="30" customHeight="1">
      <c r="A9" s="345" t="s">
        <v>2518</v>
      </c>
      <c r="B9" s="346" t="s">
        <v>2519</v>
      </c>
      <c r="C9" s="347">
        <v>405</v>
      </c>
    </row>
    <row r="10" spans="1:5" s="344" customFormat="1" ht="30" customHeight="1">
      <c r="A10" s="345" t="s">
        <v>2520</v>
      </c>
      <c r="B10" s="346" t="s">
        <v>2521</v>
      </c>
      <c r="C10" s="347">
        <v>985.98</v>
      </c>
    </row>
    <row r="11" spans="1:5" s="344" customFormat="1" ht="42">
      <c r="A11" s="345" t="s">
        <v>2522</v>
      </c>
      <c r="B11" s="346" t="s">
        <v>2523</v>
      </c>
      <c r="C11" s="347">
        <v>930.13499999999999</v>
      </c>
    </row>
    <row r="12" spans="1:5" s="344" customFormat="1" ht="42">
      <c r="A12" s="345" t="s">
        <v>2524</v>
      </c>
      <c r="B12" s="346" t="s">
        <v>2525</v>
      </c>
      <c r="C12" s="347">
        <v>1267.335</v>
      </c>
    </row>
    <row r="13" spans="1:5" s="344" customFormat="1" ht="42">
      <c r="A13" s="345" t="s">
        <v>2526</v>
      </c>
      <c r="B13" s="346" t="s">
        <v>2527</v>
      </c>
      <c r="C13" s="347">
        <v>2371.3200000000002</v>
      </c>
    </row>
    <row r="14" spans="1:5" s="344" customFormat="1" ht="42">
      <c r="A14" s="345" t="s">
        <v>2528</v>
      </c>
      <c r="B14" s="346" t="s">
        <v>2529</v>
      </c>
      <c r="C14" s="347">
        <v>1037.5350000000001</v>
      </c>
    </row>
    <row r="15" spans="1:5" s="344" customFormat="1" ht="34.15" customHeight="1">
      <c r="A15" s="349"/>
      <c r="B15" s="350" t="s">
        <v>2530</v>
      </c>
      <c r="C15" s="351"/>
    </row>
    <row r="16" spans="1:5" s="344" customFormat="1" ht="30" customHeight="1">
      <c r="A16" s="345" t="s">
        <v>2531</v>
      </c>
      <c r="B16" s="352" t="s">
        <v>2532</v>
      </c>
      <c r="C16" s="347">
        <v>654.68999999999994</v>
      </c>
    </row>
    <row r="17" spans="1:5" s="344" customFormat="1" ht="30" customHeight="1">
      <c r="A17" s="345" t="s">
        <v>2533</v>
      </c>
      <c r="B17" s="346" t="s">
        <v>2534</v>
      </c>
      <c r="C17" s="347">
        <v>986.64</v>
      </c>
      <c r="D17" s="348"/>
    </row>
    <row r="18" spans="1:5" s="344" customFormat="1" ht="30" customHeight="1">
      <c r="A18" s="345" t="s">
        <v>2535</v>
      </c>
      <c r="B18" s="346" t="s">
        <v>2536</v>
      </c>
      <c r="C18" s="347">
        <v>1366.1537271236907</v>
      </c>
      <c r="D18" s="348"/>
    </row>
    <row r="19" spans="1:5" s="344" customFormat="1" ht="30" customHeight="1">
      <c r="A19" s="345" t="s">
        <v>2537</v>
      </c>
      <c r="B19" s="346" t="s">
        <v>2538</v>
      </c>
      <c r="C19" s="347">
        <v>2081.7807136404695</v>
      </c>
      <c r="D19" s="353"/>
    </row>
    <row r="20" spans="1:5" s="344" customFormat="1" ht="30" customHeight="1">
      <c r="A20" s="345" t="s">
        <v>2539</v>
      </c>
      <c r="B20" s="346" t="s">
        <v>2540</v>
      </c>
      <c r="C20" s="347">
        <v>1057.1562698651678</v>
      </c>
      <c r="D20" s="348"/>
    </row>
    <row r="21" spans="1:5" s="344" customFormat="1" ht="30" customHeight="1">
      <c r="A21" s="345" t="s">
        <v>2541</v>
      </c>
      <c r="B21" s="346" t="s">
        <v>2542</v>
      </c>
      <c r="C21" s="347">
        <v>1463.7492053932883</v>
      </c>
      <c r="D21" s="348"/>
    </row>
    <row r="22" spans="1:5" s="344" customFormat="1" ht="13.35" customHeight="1">
      <c r="A22" s="349"/>
      <c r="B22" s="354"/>
      <c r="C22" s="351"/>
    </row>
    <row r="23" spans="1:5" s="344" customFormat="1" ht="30" customHeight="1">
      <c r="A23" s="345" t="s">
        <v>2543</v>
      </c>
      <c r="B23" s="352" t="s">
        <v>2544</v>
      </c>
      <c r="C23" s="347">
        <v>1924.1100000000001</v>
      </c>
    </row>
    <row r="24" spans="1:5" s="344" customFormat="1" ht="30" customHeight="1">
      <c r="A24" s="345" t="s">
        <v>2545</v>
      </c>
      <c r="B24" s="346" t="s">
        <v>2546</v>
      </c>
      <c r="C24" s="347">
        <v>4881.18</v>
      </c>
      <c r="E24" s="344" t="s">
        <v>112</v>
      </c>
    </row>
    <row r="25" spans="1:5" s="344" customFormat="1" ht="30" customHeight="1">
      <c r="A25" s="345" t="s">
        <v>2547</v>
      </c>
      <c r="B25" s="346" t="s">
        <v>2548</v>
      </c>
      <c r="C25" s="347">
        <v>964.11</v>
      </c>
    </row>
    <row r="26" spans="1:5" s="344" customFormat="1" ht="30" customHeight="1">
      <c r="A26" s="345" t="s">
        <v>2549</v>
      </c>
      <c r="B26" s="346" t="s">
        <v>2550</v>
      </c>
      <c r="C26" s="347">
        <v>414.99</v>
      </c>
    </row>
    <row r="27" spans="1:5" s="344" customFormat="1" ht="30" customHeight="1">
      <c r="A27" s="345" t="s">
        <v>2551</v>
      </c>
      <c r="B27" s="346" t="s">
        <v>2552</v>
      </c>
      <c r="C27" s="347">
        <v>3296.7000000000003</v>
      </c>
    </row>
    <row r="28" spans="1:5" s="344" customFormat="1" ht="30" customHeight="1">
      <c r="A28" s="345" t="s">
        <v>2553</v>
      </c>
      <c r="B28" s="346" t="s">
        <v>2554</v>
      </c>
      <c r="C28" s="347">
        <v>564.99</v>
      </c>
    </row>
    <row r="29" spans="1:5" s="344" customFormat="1" ht="30" customHeight="1">
      <c r="A29" s="345" t="s">
        <v>2555</v>
      </c>
      <c r="B29" s="346" t="s">
        <v>2556</v>
      </c>
      <c r="C29" s="347">
        <v>1675.44</v>
      </c>
    </row>
    <row r="30" spans="1:5" s="344" customFormat="1" ht="30" customHeight="1">
      <c r="A30" s="345" t="s">
        <v>2557</v>
      </c>
      <c r="B30" s="346" t="s">
        <v>2558</v>
      </c>
      <c r="C30" s="347">
        <v>2492.2200000000003</v>
      </c>
    </row>
    <row r="31" spans="1:5" s="344" customFormat="1" ht="30" customHeight="1">
      <c r="A31" s="345" t="s">
        <v>2559</v>
      </c>
      <c r="B31" s="346" t="s">
        <v>2560</v>
      </c>
      <c r="C31" s="347">
        <v>4239.87</v>
      </c>
    </row>
    <row r="32" spans="1:5" s="344" customFormat="1" ht="30" customHeight="1">
      <c r="A32" s="345" t="s">
        <v>2561</v>
      </c>
      <c r="B32" s="346" t="s">
        <v>2562</v>
      </c>
      <c r="C32" s="347">
        <v>6011.5199999999995</v>
      </c>
    </row>
    <row r="33" spans="1:3" s="344" customFormat="1" ht="30" customHeight="1">
      <c r="A33" s="345" t="s">
        <v>2563</v>
      </c>
      <c r="B33" s="346" t="s">
        <v>2564</v>
      </c>
      <c r="C33" s="347">
        <v>4239.87</v>
      </c>
    </row>
    <row r="34" spans="1:3" s="344" customFormat="1" ht="30" customHeight="1">
      <c r="A34" s="345" t="s">
        <v>2565</v>
      </c>
      <c r="B34" s="346" t="s">
        <v>2566</v>
      </c>
      <c r="C34" s="347">
        <v>792.78</v>
      </c>
    </row>
    <row r="35" spans="1:3" s="344" customFormat="1" ht="7.15" customHeight="1">
      <c r="A35" s="349"/>
      <c r="B35" s="354"/>
      <c r="C35" s="351"/>
    </row>
    <row r="36" spans="1:3" s="344" customFormat="1" ht="30" customHeight="1">
      <c r="A36" s="345" t="s">
        <v>2567</v>
      </c>
      <c r="B36" s="355" t="s">
        <v>2568</v>
      </c>
      <c r="C36" s="347">
        <v>2062.5690053196827</v>
      </c>
    </row>
    <row r="37" spans="1:3" s="344" customFormat="1" ht="4.5" customHeight="1">
      <c r="A37" s="349"/>
      <c r="B37" s="354"/>
      <c r="C37" s="351"/>
    </row>
    <row r="38" spans="1:3" s="344" customFormat="1" ht="30" customHeight="1" thickBot="1">
      <c r="A38" s="356" t="s">
        <v>2569</v>
      </c>
      <c r="B38" s="357" t="s">
        <v>2570</v>
      </c>
      <c r="C38" s="358">
        <v>3844.21672688949</v>
      </c>
    </row>
    <row r="39" spans="1:3" s="344" customFormat="1" ht="18">
      <c r="A39" s="359"/>
      <c r="B39" s="360"/>
      <c r="C39" s="361"/>
    </row>
    <row r="40" spans="1:3" s="344" customFormat="1" ht="15.95" thickBot="1"/>
    <row r="41" spans="1:3" s="344" customFormat="1" ht="25.5" thickBot="1">
      <c r="A41" s="749" t="s">
        <v>2571</v>
      </c>
      <c r="B41" s="750"/>
      <c r="C41" s="750"/>
    </row>
    <row r="42" spans="1:3" s="344" customFormat="1" ht="42.6" thickBot="1">
      <c r="A42" s="362" t="s">
        <v>228</v>
      </c>
      <c r="B42" s="363" t="s">
        <v>2572</v>
      </c>
      <c r="C42" s="364" t="s">
        <v>2573</v>
      </c>
    </row>
    <row r="43" spans="1:3" s="344" customFormat="1" ht="15.6">
      <c r="A43" s="365" t="s">
        <v>2574</v>
      </c>
      <c r="B43" s="366" t="s">
        <v>2575</v>
      </c>
      <c r="C43" s="367">
        <v>74.25</v>
      </c>
    </row>
    <row r="44" spans="1:3" s="344" customFormat="1" ht="15.6">
      <c r="A44" s="345" t="s">
        <v>2576</v>
      </c>
      <c r="B44" s="225" t="s">
        <v>2577</v>
      </c>
      <c r="C44" s="347">
        <v>74.25</v>
      </c>
    </row>
    <row r="45" spans="1:3" s="344" customFormat="1" ht="15.6">
      <c r="A45" s="345" t="s">
        <v>2578</v>
      </c>
      <c r="B45" s="225" t="s">
        <v>2579</v>
      </c>
      <c r="C45" s="367">
        <v>63</v>
      </c>
    </row>
    <row r="46" spans="1:3" s="344" customFormat="1" ht="15.6">
      <c r="A46" s="345" t="s">
        <v>2580</v>
      </c>
      <c r="B46" s="225" t="s">
        <v>2581</v>
      </c>
      <c r="C46" s="367">
        <v>42.1875</v>
      </c>
    </row>
    <row r="47" spans="1:3" s="344" customFormat="1" ht="15.6">
      <c r="A47" s="349"/>
      <c r="B47" s="350"/>
      <c r="C47" s="368"/>
    </row>
    <row r="48" spans="1:3" s="344" customFormat="1" ht="15.6">
      <c r="A48" s="345" t="s">
        <v>2582</v>
      </c>
      <c r="B48" s="225" t="s">
        <v>2583</v>
      </c>
      <c r="C48" s="367">
        <v>36</v>
      </c>
    </row>
    <row r="49" spans="1:12" s="344" customFormat="1" ht="15.95" thickBot="1">
      <c r="A49" s="356" t="s">
        <v>2584</v>
      </c>
      <c r="B49" s="369" t="s">
        <v>2585</v>
      </c>
      <c r="C49" s="370">
        <v>31.5</v>
      </c>
    </row>
    <row r="50" spans="1:12" s="344" customFormat="1" ht="15.6">
      <c r="A50" s="371"/>
      <c r="B50" s="372"/>
      <c r="C50" s="373"/>
    </row>
    <row r="51" spans="1:12" s="374" customFormat="1" ht="27" customHeight="1">
      <c r="A51" s="751" t="s">
        <v>2586</v>
      </c>
      <c r="B51" s="752"/>
      <c r="C51" s="752"/>
    </row>
    <row r="52" spans="1:12" s="374" customFormat="1" ht="30">
      <c r="A52" s="375" t="s">
        <v>14</v>
      </c>
      <c r="B52" s="375" t="s">
        <v>15</v>
      </c>
      <c r="C52" s="376" t="s">
        <v>2587</v>
      </c>
    </row>
    <row r="53" spans="1:12" s="374" customFormat="1" ht="22.5">
      <c r="A53" s="377" t="s">
        <v>2588</v>
      </c>
      <c r="B53" s="378" t="s">
        <v>2589</v>
      </c>
      <c r="C53" s="379"/>
    </row>
    <row r="54" spans="1:12" s="374" customFormat="1" ht="15.6">
      <c r="A54" s="674" t="s">
        <v>2590</v>
      </c>
      <c r="B54" s="190" t="s">
        <v>2591</v>
      </c>
      <c r="C54" s="380">
        <v>783</v>
      </c>
    </row>
    <row r="55" spans="1:12" s="374" customFormat="1" ht="15.6">
      <c r="A55" s="674" t="s">
        <v>2592</v>
      </c>
      <c r="B55" s="190" t="s">
        <v>2593</v>
      </c>
      <c r="C55" s="380">
        <v>1200</v>
      </c>
    </row>
    <row r="56" spans="1:12" s="374" customFormat="1" ht="15.6">
      <c r="A56" s="674" t="s">
        <v>2594</v>
      </c>
      <c r="B56" s="190" t="s">
        <v>2595</v>
      </c>
      <c r="C56" s="380">
        <v>495</v>
      </c>
    </row>
    <row r="57" spans="1:12" ht="15" thickBot="1"/>
    <row r="58" spans="1:12" s="342" customFormat="1" ht="23.1" thickBot="1">
      <c r="A58" s="753" t="s">
        <v>2596</v>
      </c>
      <c r="B58" s="754"/>
      <c r="C58" s="754"/>
      <c r="D58" s="754"/>
      <c r="E58" s="344"/>
      <c r="F58" s="344"/>
      <c r="G58" s="381"/>
      <c r="H58" s="381"/>
      <c r="I58" s="381"/>
      <c r="J58" s="381"/>
      <c r="K58" s="381"/>
      <c r="L58" s="381"/>
    </row>
    <row r="59" spans="1:12" s="381" customFormat="1" ht="15.95" thickBot="1">
      <c r="E59" s="344"/>
      <c r="F59" s="344"/>
    </row>
    <row r="60" spans="1:12" s="344" customFormat="1" ht="28.5" thickBot="1">
      <c r="A60" s="362" t="s">
        <v>228</v>
      </c>
      <c r="B60" s="363" t="s">
        <v>2597</v>
      </c>
      <c r="C60" s="364" t="s">
        <v>2598</v>
      </c>
      <c r="D60" s="363" t="s">
        <v>2599</v>
      </c>
    </row>
    <row r="61" spans="1:12" s="344" customFormat="1" ht="15.6">
      <c r="A61" s="365" t="s">
        <v>2600</v>
      </c>
      <c r="B61" s="382" t="s">
        <v>2601</v>
      </c>
      <c r="C61" s="383">
        <v>791.25</v>
      </c>
      <c r="D61" s="384" t="s">
        <v>2602</v>
      </c>
    </row>
    <row r="62" spans="1:12" s="344" customFormat="1" ht="15.6">
      <c r="A62" s="345" t="s">
        <v>2603</v>
      </c>
      <c r="B62" s="385" t="s">
        <v>2604</v>
      </c>
      <c r="C62" s="367">
        <v>695.85</v>
      </c>
      <c r="D62" s="386" t="s">
        <v>2602</v>
      </c>
    </row>
    <row r="63" spans="1:12" s="344" customFormat="1" ht="15.6">
      <c r="A63" s="345" t="s">
        <v>2603</v>
      </c>
      <c r="B63" s="385" t="s">
        <v>2605</v>
      </c>
      <c r="C63" s="347">
        <v>791.25</v>
      </c>
      <c r="D63" s="387" t="s">
        <v>2602</v>
      </c>
    </row>
    <row r="64" spans="1:12" s="344" customFormat="1" ht="15.6">
      <c r="A64" s="345" t="s">
        <v>2606</v>
      </c>
      <c r="B64" s="385" t="s">
        <v>2607</v>
      </c>
      <c r="C64" s="367">
        <v>695.85</v>
      </c>
      <c r="D64" s="387" t="s">
        <v>2602</v>
      </c>
    </row>
    <row r="65" spans="1:9" s="344" customFormat="1" ht="15.6">
      <c r="A65" s="345" t="s">
        <v>2608</v>
      </c>
      <c r="B65" s="385" t="s">
        <v>2609</v>
      </c>
      <c r="C65" s="347">
        <v>695.85</v>
      </c>
      <c r="D65" s="387" t="s">
        <v>2602</v>
      </c>
    </row>
    <row r="66" spans="1:9" s="344" customFormat="1" ht="15.6">
      <c r="A66" s="345" t="s">
        <v>2610</v>
      </c>
      <c r="B66" s="385" t="s">
        <v>2611</v>
      </c>
      <c r="C66" s="367">
        <v>791.25</v>
      </c>
      <c r="D66" s="387" t="s">
        <v>2602</v>
      </c>
    </row>
    <row r="67" spans="1:9" s="344" customFormat="1" ht="15.6">
      <c r="A67" s="345" t="s">
        <v>2612</v>
      </c>
      <c r="B67" s="385" t="s">
        <v>2605</v>
      </c>
      <c r="C67" s="347">
        <v>791.25</v>
      </c>
      <c r="D67" s="387" t="s">
        <v>2602</v>
      </c>
    </row>
    <row r="68" spans="1:9" s="344" customFormat="1" ht="15.6">
      <c r="A68" s="345" t="s">
        <v>2613</v>
      </c>
      <c r="B68" s="385" t="s">
        <v>2614</v>
      </c>
      <c r="C68" s="367">
        <v>713.73749999999995</v>
      </c>
      <c r="D68" s="387" t="s">
        <v>2602</v>
      </c>
    </row>
    <row r="69" spans="1:9" s="344" customFormat="1" ht="15.6">
      <c r="A69" s="345" t="s">
        <v>2615</v>
      </c>
      <c r="B69" s="385" t="s">
        <v>2616</v>
      </c>
      <c r="C69" s="347">
        <v>725.66250000000002</v>
      </c>
      <c r="D69" s="387" t="s">
        <v>2602</v>
      </c>
    </row>
    <row r="70" spans="1:9" s="344" customFormat="1" ht="15.6">
      <c r="A70" s="345" t="s">
        <v>2617</v>
      </c>
      <c r="B70" s="388" t="s">
        <v>2618</v>
      </c>
      <c r="C70" s="367">
        <v>791.25</v>
      </c>
      <c r="D70" s="386" t="s">
        <v>2602</v>
      </c>
    </row>
    <row r="71" spans="1:9" s="344" customFormat="1" ht="15.95" thickBot="1">
      <c r="A71" s="356" t="s">
        <v>2619</v>
      </c>
      <c r="B71" s="389" t="s">
        <v>2620</v>
      </c>
      <c r="C71" s="370">
        <v>737.58750000000009</v>
      </c>
      <c r="D71" s="390" t="s">
        <v>2602</v>
      </c>
    </row>
    <row r="73" spans="1:9" s="381" customFormat="1" ht="24.95">
      <c r="A73" s="391" t="s">
        <v>2621</v>
      </c>
      <c r="B73" s="392"/>
      <c r="C73" s="393"/>
      <c r="D73" s="394"/>
      <c r="E73" s="394"/>
      <c r="F73" s="394"/>
      <c r="I73" s="395"/>
    </row>
    <row r="74" spans="1:9" s="381" customFormat="1" ht="57" customHeight="1">
      <c r="A74" s="350" t="s">
        <v>228</v>
      </c>
      <c r="B74" s="396" t="s">
        <v>2622</v>
      </c>
      <c r="C74" s="350" t="s">
        <v>2623</v>
      </c>
      <c r="D74" s="350" t="s">
        <v>2624</v>
      </c>
      <c r="E74" s="734" t="s">
        <v>2625</v>
      </c>
      <c r="F74" s="735"/>
    </row>
    <row r="75" spans="1:9" s="381" customFormat="1" ht="30" customHeight="1">
      <c r="A75" s="226" t="s">
        <v>2626</v>
      </c>
      <c r="B75" s="397" t="s">
        <v>2627</v>
      </c>
      <c r="C75" s="398">
        <v>4874.3599999999997</v>
      </c>
      <c r="D75" s="399" t="s">
        <v>2628</v>
      </c>
      <c r="E75" s="743" t="s">
        <v>2629</v>
      </c>
      <c r="F75" s="744"/>
    </row>
    <row r="76" spans="1:9" s="381" customFormat="1" ht="30" customHeight="1">
      <c r="A76" s="226" t="s">
        <v>2630</v>
      </c>
      <c r="B76" s="397" t="s">
        <v>2631</v>
      </c>
      <c r="C76" s="398">
        <v>5156.24</v>
      </c>
      <c r="D76" s="399" t="s">
        <v>2628</v>
      </c>
      <c r="E76" s="743" t="s">
        <v>2629</v>
      </c>
      <c r="F76" s="744"/>
    </row>
    <row r="77" spans="1:9" s="381" customFormat="1" ht="30" customHeight="1">
      <c r="A77" s="226" t="s">
        <v>2632</v>
      </c>
      <c r="B77" s="397" t="s">
        <v>2633</v>
      </c>
      <c r="C77" s="398">
        <v>9348.48</v>
      </c>
      <c r="D77" s="399" t="s">
        <v>2628</v>
      </c>
      <c r="E77" s="743" t="s">
        <v>2629</v>
      </c>
      <c r="F77" s="744"/>
      <c r="G77" s="400"/>
    </row>
    <row r="78" spans="1:9" s="381" customFormat="1" ht="30" customHeight="1">
      <c r="A78" s="226" t="s">
        <v>2634</v>
      </c>
      <c r="B78" s="289" t="s">
        <v>2635</v>
      </c>
      <c r="C78" s="398">
        <v>10357.76</v>
      </c>
      <c r="D78" s="399" t="s">
        <v>2628</v>
      </c>
      <c r="E78" s="743" t="s">
        <v>2629</v>
      </c>
      <c r="F78" s="744"/>
      <c r="G78" s="400"/>
    </row>
    <row r="79" spans="1:9" s="381" customFormat="1" ht="30" customHeight="1">
      <c r="A79" s="226" t="s">
        <v>2636</v>
      </c>
      <c r="B79" s="289" t="s">
        <v>2637</v>
      </c>
      <c r="C79" s="398">
        <v>10560.56</v>
      </c>
      <c r="D79" s="399" t="s">
        <v>2628</v>
      </c>
      <c r="E79" s="743" t="s">
        <v>2629</v>
      </c>
      <c r="F79" s="744"/>
      <c r="G79" s="400"/>
    </row>
    <row r="80" spans="1:9" s="381" customFormat="1" ht="30" customHeight="1">
      <c r="A80" s="226" t="s">
        <v>2638</v>
      </c>
      <c r="B80" s="289" t="s">
        <v>2639</v>
      </c>
      <c r="C80" s="398">
        <v>10853.12</v>
      </c>
      <c r="D80" s="399" t="s">
        <v>2628</v>
      </c>
      <c r="E80" s="743" t="s">
        <v>2629</v>
      </c>
      <c r="F80" s="744"/>
      <c r="G80" s="400"/>
    </row>
    <row r="81" spans="1:7" s="381" customFormat="1" ht="30" customHeight="1">
      <c r="A81" s="226" t="s">
        <v>2640</v>
      </c>
      <c r="B81" s="289" t="s">
        <v>2641</v>
      </c>
      <c r="C81" s="398">
        <v>11347.24</v>
      </c>
      <c r="D81" s="399" t="s">
        <v>2628</v>
      </c>
      <c r="E81" s="743" t="s">
        <v>2629</v>
      </c>
      <c r="F81" s="744"/>
      <c r="G81" s="400"/>
    </row>
    <row r="82" spans="1:7" s="381" customFormat="1" ht="30" customHeight="1">
      <c r="A82" s="226" t="s">
        <v>2642</v>
      </c>
      <c r="B82" s="289" t="s">
        <v>2643</v>
      </c>
      <c r="C82" s="398">
        <v>12984.68</v>
      </c>
      <c r="D82" s="399" t="s">
        <v>2628</v>
      </c>
      <c r="E82" s="743" t="s">
        <v>2629</v>
      </c>
      <c r="F82" s="744"/>
      <c r="G82" s="400"/>
    </row>
    <row r="83" spans="1:7" s="381" customFormat="1" ht="30" customHeight="1">
      <c r="A83" s="226" t="s">
        <v>2644</v>
      </c>
      <c r="B83" s="289" t="s">
        <v>2645</v>
      </c>
      <c r="C83" s="398">
        <v>953.52</v>
      </c>
      <c r="D83" s="399" t="s">
        <v>2628</v>
      </c>
      <c r="E83" s="743" t="s">
        <v>2629</v>
      </c>
      <c r="F83" s="744"/>
      <c r="G83" s="400"/>
    </row>
    <row r="84" spans="1:7" s="381" customFormat="1" ht="30" customHeight="1">
      <c r="A84" s="226" t="s">
        <v>2646</v>
      </c>
      <c r="B84" s="289" t="s">
        <v>1850</v>
      </c>
      <c r="C84" s="398">
        <v>1031</v>
      </c>
      <c r="D84" s="399" t="s">
        <v>2628</v>
      </c>
      <c r="E84" s="743" t="s">
        <v>2629</v>
      </c>
      <c r="F84" s="744"/>
      <c r="G84" s="400"/>
    </row>
    <row r="85" spans="1:7" s="381" customFormat="1" ht="30" customHeight="1">
      <c r="A85" s="226" t="s">
        <v>2647</v>
      </c>
      <c r="B85" s="289" t="s">
        <v>1852</v>
      </c>
      <c r="C85" s="398">
        <v>994.68</v>
      </c>
      <c r="D85" s="399" t="s">
        <v>2628</v>
      </c>
      <c r="E85" s="743" t="s">
        <v>2629</v>
      </c>
      <c r="F85" s="744"/>
      <c r="G85" s="400"/>
    </row>
    <row r="86" spans="1:7" s="381" customFormat="1" ht="30" customHeight="1">
      <c r="A86" s="226" t="s">
        <v>2648</v>
      </c>
      <c r="B86" s="289" t="s">
        <v>2649</v>
      </c>
      <c r="C86" s="398">
        <v>1096.96</v>
      </c>
      <c r="D86" s="399" t="s">
        <v>2628</v>
      </c>
      <c r="E86" s="743" t="s">
        <v>2629</v>
      </c>
      <c r="F86" s="744"/>
      <c r="G86" s="400"/>
    </row>
    <row r="87" spans="1:7" s="381" customFormat="1" ht="30" customHeight="1">
      <c r="A87" s="226" t="s">
        <v>2650</v>
      </c>
      <c r="B87" s="289" t="s">
        <v>2651</v>
      </c>
      <c r="C87" s="398">
        <v>1218.8</v>
      </c>
      <c r="D87" s="399" t="s">
        <v>2628</v>
      </c>
      <c r="E87" s="743" t="s">
        <v>2629</v>
      </c>
      <c r="F87" s="744"/>
      <c r="G87" s="400"/>
    </row>
    <row r="88" spans="1:7" s="381" customFormat="1" ht="30" customHeight="1">
      <c r="A88" s="226" t="s">
        <v>2652</v>
      </c>
      <c r="B88" s="289" t="s">
        <v>2653</v>
      </c>
      <c r="C88" s="398">
        <v>1367.88</v>
      </c>
      <c r="D88" s="399" t="s">
        <v>2628</v>
      </c>
      <c r="E88" s="743" t="s">
        <v>2654</v>
      </c>
      <c r="F88" s="744"/>
      <c r="G88" s="400"/>
    </row>
    <row r="89" spans="1:7" s="381" customFormat="1" ht="30" customHeight="1">
      <c r="A89" s="226" t="s">
        <v>2655</v>
      </c>
      <c r="B89" s="289" t="s">
        <v>2656</v>
      </c>
      <c r="C89" s="398">
        <v>1367.88</v>
      </c>
      <c r="D89" s="399" t="s">
        <v>2628</v>
      </c>
      <c r="E89" s="743" t="s">
        <v>2654</v>
      </c>
      <c r="F89" s="744"/>
      <c r="G89" s="400"/>
    </row>
    <row r="90" spans="1:7" s="381" customFormat="1" ht="30" customHeight="1">
      <c r="A90" s="226" t="s">
        <v>2657</v>
      </c>
      <c r="B90" s="289" t="s">
        <v>2658</v>
      </c>
      <c r="C90" s="398">
        <v>1334.52</v>
      </c>
      <c r="D90" s="399" t="s">
        <v>2628</v>
      </c>
      <c r="E90" s="743" t="s">
        <v>2654</v>
      </c>
      <c r="F90" s="744"/>
      <c r="G90" s="400"/>
    </row>
    <row r="91" spans="1:7" s="381" customFormat="1" ht="30" customHeight="1">
      <c r="A91" s="289" t="s">
        <v>2659</v>
      </c>
      <c r="B91" s="289" t="s">
        <v>2660</v>
      </c>
      <c r="C91" s="398">
        <v>1481.96</v>
      </c>
      <c r="D91" s="399" t="s">
        <v>2628</v>
      </c>
      <c r="E91" s="743" t="s">
        <v>2654</v>
      </c>
      <c r="F91" s="744"/>
      <c r="G91" s="400"/>
    </row>
    <row r="92" spans="1:7" s="381" customFormat="1" ht="30" customHeight="1">
      <c r="A92" s="226" t="s">
        <v>2661</v>
      </c>
      <c r="B92" s="289" t="s">
        <v>2662</v>
      </c>
      <c r="C92" s="398">
        <v>1528.04</v>
      </c>
      <c r="D92" s="399" t="s">
        <v>2628</v>
      </c>
      <c r="E92" s="743" t="s">
        <v>2654</v>
      </c>
      <c r="F92" s="744"/>
      <c r="G92" s="400"/>
    </row>
    <row r="93" spans="1:7" s="381" customFormat="1" ht="30" customHeight="1">
      <c r="A93" s="226" t="s">
        <v>2663</v>
      </c>
      <c r="B93" s="397" t="s">
        <v>2664</v>
      </c>
      <c r="C93" s="398">
        <v>165.32</v>
      </c>
      <c r="D93" s="399" t="s">
        <v>2665</v>
      </c>
      <c r="E93" s="743" t="s">
        <v>2629</v>
      </c>
      <c r="F93" s="744"/>
      <c r="G93" s="400"/>
    </row>
    <row r="94" spans="1:7" s="381" customFormat="1" ht="30" customHeight="1">
      <c r="A94" s="226" t="s">
        <v>2666</v>
      </c>
      <c r="B94" s="397" t="s">
        <v>2667</v>
      </c>
      <c r="C94" s="398">
        <v>635.20000000000005</v>
      </c>
      <c r="D94" s="399" t="s">
        <v>2665</v>
      </c>
      <c r="E94" s="743" t="s">
        <v>2668</v>
      </c>
      <c r="F94" s="744"/>
      <c r="G94" s="400"/>
    </row>
    <row r="95" spans="1:7" s="381" customFormat="1" ht="30" customHeight="1">
      <c r="A95" s="226" t="s">
        <v>2669</v>
      </c>
      <c r="B95" s="397" t="s">
        <v>2670</v>
      </c>
      <c r="C95" s="398">
        <v>156.63999999999999</v>
      </c>
      <c r="D95" s="399" t="s">
        <v>2665</v>
      </c>
      <c r="E95" s="743" t="s">
        <v>2629</v>
      </c>
      <c r="F95" s="744"/>
      <c r="G95" s="400"/>
    </row>
    <row r="96" spans="1:7" s="381" customFormat="1" ht="30" customHeight="1">
      <c r="A96" s="226" t="s">
        <v>2671</v>
      </c>
      <c r="B96" s="289" t="s">
        <v>2672</v>
      </c>
      <c r="C96" s="398">
        <v>29</v>
      </c>
      <c r="D96" s="399" t="s">
        <v>2665</v>
      </c>
      <c r="E96" s="743" t="s">
        <v>2629</v>
      </c>
      <c r="F96" s="744"/>
      <c r="G96" s="400"/>
    </row>
    <row r="97" spans="1:7" s="381" customFormat="1" ht="30" customHeight="1">
      <c r="A97" s="226" t="s">
        <v>2673</v>
      </c>
      <c r="B97" s="289" t="s">
        <v>2674</v>
      </c>
      <c r="C97" s="398">
        <v>2741.36</v>
      </c>
      <c r="D97" s="399" t="s">
        <v>2675</v>
      </c>
      <c r="E97" s="743" t="s">
        <v>2676</v>
      </c>
      <c r="F97" s="744"/>
      <c r="G97" s="400"/>
    </row>
    <row r="98" spans="1:7" s="381" customFormat="1" ht="30" customHeight="1">
      <c r="A98" s="226" t="s">
        <v>2677</v>
      </c>
      <c r="B98" s="289" t="s">
        <v>2678</v>
      </c>
      <c r="C98" s="398">
        <v>3100.12</v>
      </c>
      <c r="D98" s="399" t="s">
        <v>2675</v>
      </c>
      <c r="E98" s="743" t="s">
        <v>2679</v>
      </c>
      <c r="F98" s="744"/>
      <c r="G98" s="400"/>
    </row>
    <row r="99" spans="1:7" s="381" customFormat="1" ht="30" customHeight="1">
      <c r="A99" s="226" t="s">
        <v>2680</v>
      </c>
      <c r="B99" s="289" t="s">
        <v>2681</v>
      </c>
      <c r="C99" s="398">
        <v>1724.76</v>
      </c>
      <c r="D99" s="399" t="s">
        <v>2675</v>
      </c>
      <c r="E99" s="743" t="s">
        <v>2679</v>
      </c>
      <c r="F99" s="744"/>
      <c r="G99" s="400"/>
    </row>
    <row r="100" spans="1:7" s="381" customFormat="1" ht="30" customHeight="1">
      <c r="A100" s="226" t="s">
        <v>2682</v>
      </c>
      <c r="B100" s="289" t="s">
        <v>2683</v>
      </c>
      <c r="C100" s="398">
        <v>2418.12</v>
      </c>
      <c r="D100" s="399" t="s">
        <v>2675</v>
      </c>
      <c r="E100" s="743" t="s">
        <v>2679</v>
      </c>
      <c r="F100" s="744"/>
      <c r="G100" s="400"/>
    </row>
    <row r="101" spans="1:7" s="381" customFormat="1" ht="30" customHeight="1">
      <c r="A101" s="226" t="s">
        <v>2684</v>
      </c>
      <c r="B101" s="289" t="s">
        <v>2685</v>
      </c>
      <c r="C101" s="398">
        <v>1486.8</v>
      </c>
      <c r="D101" s="399" t="s">
        <v>2675</v>
      </c>
      <c r="E101" s="743" t="s">
        <v>2679</v>
      </c>
      <c r="F101" s="744"/>
      <c r="G101" s="400"/>
    </row>
    <row r="102" spans="1:7" s="381" customFormat="1" ht="30" customHeight="1">
      <c r="A102" s="226" t="s">
        <v>2686</v>
      </c>
      <c r="B102" s="289" t="s">
        <v>2687</v>
      </c>
      <c r="C102" s="398">
        <v>1217.92</v>
      </c>
      <c r="D102" s="399" t="s">
        <v>2675</v>
      </c>
      <c r="E102" s="743" t="s">
        <v>2679</v>
      </c>
      <c r="F102" s="744"/>
      <c r="G102" s="400"/>
    </row>
    <row r="103" spans="1:7" s="381" customFormat="1" ht="30" customHeight="1">
      <c r="A103" s="226" t="s">
        <v>2688</v>
      </c>
      <c r="B103" s="289" t="s">
        <v>2689</v>
      </c>
      <c r="C103" s="398">
        <v>1245.04</v>
      </c>
      <c r="D103" s="399" t="s">
        <v>2675</v>
      </c>
      <c r="E103" s="743" t="s">
        <v>2679</v>
      </c>
      <c r="F103" s="744"/>
      <c r="G103" s="400"/>
    </row>
    <row r="104" spans="1:7" s="381" customFormat="1" ht="30" customHeight="1">
      <c r="A104" s="226" t="s">
        <v>2690</v>
      </c>
      <c r="B104" s="289" t="s">
        <v>2691</v>
      </c>
      <c r="C104" s="398">
        <v>30.04</v>
      </c>
      <c r="D104" s="399" t="s">
        <v>2665</v>
      </c>
      <c r="E104" s="743" t="s">
        <v>2679</v>
      </c>
      <c r="F104" s="744"/>
      <c r="G104" s="400"/>
    </row>
    <row r="105" spans="1:7" s="381" customFormat="1" ht="30" customHeight="1">
      <c r="A105" s="289" t="s">
        <v>2692</v>
      </c>
      <c r="B105" s="289" t="s">
        <v>2693</v>
      </c>
      <c r="C105" s="398">
        <v>38.799999999999997</v>
      </c>
      <c r="D105" s="399" t="s">
        <v>2665</v>
      </c>
      <c r="E105" s="743" t="s">
        <v>2679</v>
      </c>
      <c r="F105" s="744"/>
      <c r="G105" s="400"/>
    </row>
    <row r="106" spans="1:7" s="381" customFormat="1" ht="30" customHeight="1">
      <c r="A106" s="226" t="s">
        <v>2694</v>
      </c>
      <c r="B106" s="289" t="s">
        <v>2695</v>
      </c>
      <c r="C106" s="398">
        <v>57.48</v>
      </c>
      <c r="D106" s="399" t="s">
        <v>2665</v>
      </c>
      <c r="E106" s="743" t="s">
        <v>2679</v>
      </c>
      <c r="F106" s="744"/>
      <c r="G106" s="400"/>
    </row>
    <row r="107" spans="1:7" s="381" customFormat="1" ht="30" customHeight="1">
      <c r="A107" s="226" t="s">
        <v>2696</v>
      </c>
      <c r="B107" s="289" t="s">
        <v>2697</v>
      </c>
      <c r="C107" s="398">
        <v>74.8</v>
      </c>
      <c r="D107" s="399" t="s">
        <v>2665</v>
      </c>
      <c r="E107" s="743" t="s">
        <v>2679</v>
      </c>
      <c r="F107" s="744"/>
      <c r="G107" s="400"/>
    </row>
    <row r="108" spans="1:7" s="381" customFormat="1" ht="30" customHeight="1">
      <c r="A108" s="226" t="s">
        <v>2698</v>
      </c>
      <c r="B108" s="397" t="s">
        <v>2699</v>
      </c>
      <c r="C108" s="398">
        <v>74.760000000000005</v>
      </c>
      <c r="D108" s="399" t="s">
        <v>2665</v>
      </c>
      <c r="E108" s="743" t="s">
        <v>2700</v>
      </c>
      <c r="F108" s="744"/>
      <c r="G108" s="400"/>
    </row>
    <row r="109" spans="1:7" s="381" customFormat="1" ht="30" customHeight="1">
      <c r="A109" s="226" t="s">
        <v>2701</v>
      </c>
      <c r="B109" s="397" t="s">
        <v>2702</v>
      </c>
      <c r="C109" s="398">
        <v>160.63999999999999</v>
      </c>
      <c r="D109" s="399" t="s">
        <v>2665</v>
      </c>
      <c r="E109" s="743" t="s">
        <v>2668</v>
      </c>
      <c r="F109" s="744"/>
      <c r="G109" s="400"/>
    </row>
    <row r="110" spans="1:7" s="381" customFormat="1" ht="30" customHeight="1">
      <c r="A110" s="226" t="s">
        <v>2703</v>
      </c>
      <c r="B110" s="397" t="s">
        <v>2704</v>
      </c>
      <c r="C110" s="398">
        <v>33.76</v>
      </c>
      <c r="D110" s="399" t="s">
        <v>2665</v>
      </c>
      <c r="E110" s="743" t="s">
        <v>2705</v>
      </c>
      <c r="F110" s="744"/>
      <c r="G110" s="400"/>
    </row>
    <row r="111" spans="1:7" s="381" customFormat="1" ht="30" customHeight="1">
      <c r="A111" s="226" t="s">
        <v>2706</v>
      </c>
      <c r="B111" s="397" t="s">
        <v>2707</v>
      </c>
      <c r="C111" s="398">
        <v>56.72</v>
      </c>
      <c r="D111" s="399" t="s">
        <v>2665</v>
      </c>
      <c r="E111" s="743" t="s">
        <v>2668</v>
      </c>
      <c r="F111" s="744"/>
      <c r="G111" s="400"/>
    </row>
    <row r="112" spans="1:7" s="381" customFormat="1" ht="30" customHeight="1">
      <c r="A112" s="226" t="s">
        <v>2708</v>
      </c>
      <c r="B112" s="397" t="s">
        <v>2709</v>
      </c>
      <c r="C112" s="398">
        <v>98.12</v>
      </c>
      <c r="D112" s="399" t="s">
        <v>2665</v>
      </c>
      <c r="E112" s="743" t="s">
        <v>2668</v>
      </c>
      <c r="F112" s="744"/>
      <c r="G112" s="400"/>
    </row>
    <row r="113" spans="1:9" s="381" customFormat="1" ht="30" customHeight="1">
      <c r="A113" s="226" t="s">
        <v>2710</v>
      </c>
      <c r="B113" s="401" t="s">
        <v>2711</v>
      </c>
      <c r="C113" s="398">
        <v>4091.28</v>
      </c>
      <c r="D113" s="399" t="s">
        <v>2712</v>
      </c>
      <c r="E113" s="745" t="s">
        <v>2713</v>
      </c>
      <c r="F113" s="746"/>
      <c r="G113" s="400"/>
    </row>
    <row r="114" spans="1:9" s="381" customFormat="1" ht="30" customHeight="1">
      <c r="A114" s="226" t="s">
        <v>2714</v>
      </c>
      <c r="B114" s="397" t="s">
        <v>2715</v>
      </c>
      <c r="C114" s="398">
        <v>3557.64</v>
      </c>
      <c r="D114" s="399" t="s">
        <v>2712</v>
      </c>
      <c r="E114" s="745" t="s">
        <v>2716</v>
      </c>
      <c r="F114" s="746"/>
      <c r="G114" s="400"/>
    </row>
    <row r="115" spans="1:9" s="381" customFormat="1" ht="30" customHeight="1">
      <c r="A115" s="226" t="s">
        <v>2717</v>
      </c>
      <c r="B115" s="397" t="s">
        <v>2718</v>
      </c>
      <c r="C115" s="398">
        <v>17305.400000000001</v>
      </c>
      <c r="D115" s="399" t="s">
        <v>2712</v>
      </c>
      <c r="E115" s="745" t="s">
        <v>2719</v>
      </c>
      <c r="F115" s="746"/>
      <c r="G115" s="400"/>
    </row>
    <row r="116" spans="1:9" s="381" customFormat="1" ht="30" customHeight="1">
      <c r="A116" s="226" t="s">
        <v>2720</v>
      </c>
      <c r="B116" s="397" t="s">
        <v>2721</v>
      </c>
      <c r="C116" s="398">
        <v>16771.759999999998</v>
      </c>
      <c r="D116" s="399" t="s">
        <v>2722</v>
      </c>
      <c r="E116" s="747" t="s">
        <v>2723</v>
      </c>
      <c r="F116" s="748"/>
      <c r="G116" s="400"/>
    </row>
    <row r="117" spans="1:9" s="381" customFormat="1" ht="30" customHeight="1">
      <c r="A117" s="226" t="s">
        <v>2724</v>
      </c>
      <c r="B117" s="397" t="s">
        <v>2725</v>
      </c>
      <c r="C117" s="398">
        <v>533.64</v>
      </c>
      <c r="D117" s="399" t="s">
        <v>2726</v>
      </c>
      <c r="E117" s="747" t="s">
        <v>2727</v>
      </c>
      <c r="F117" s="748"/>
      <c r="G117" s="400"/>
    </row>
    <row r="118" spans="1:9" s="381" customFormat="1" ht="14.1">
      <c r="A118" s="402" t="s">
        <v>2728</v>
      </c>
    </row>
    <row r="119" spans="1:9" s="381" customFormat="1" ht="14.1"/>
    <row r="120" spans="1:9" s="381" customFormat="1" ht="24.95">
      <c r="A120" s="403" t="s">
        <v>2729</v>
      </c>
      <c r="B120" s="403"/>
      <c r="C120" s="731"/>
      <c r="D120" s="732"/>
      <c r="E120" s="732"/>
      <c r="F120" s="732"/>
    </row>
    <row r="121" spans="1:9" s="381" customFormat="1" ht="66" customHeight="1">
      <c r="A121" s="350" t="s">
        <v>228</v>
      </c>
      <c r="B121" s="404" t="s">
        <v>2622</v>
      </c>
      <c r="C121" s="350" t="s">
        <v>2623</v>
      </c>
      <c r="D121" s="350" t="s">
        <v>2624</v>
      </c>
      <c r="E121" s="734" t="s">
        <v>2625</v>
      </c>
      <c r="F121" s="740"/>
    </row>
    <row r="122" spans="1:9" s="381" customFormat="1" ht="31.15" customHeight="1">
      <c r="A122" s="226"/>
      <c r="B122" s="405" t="s">
        <v>2730</v>
      </c>
      <c r="C122" s="406"/>
      <c r="D122" s="407"/>
      <c r="E122" s="741"/>
      <c r="F122" s="742"/>
    </row>
    <row r="123" spans="1:9" s="381" customFormat="1" ht="69.95">
      <c r="A123" s="408" t="s">
        <v>2731</v>
      </c>
      <c r="B123" s="409" t="s">
        <v>2732</v>
      </c>
      <c r="C123" s="410">
        <v>21814.12</v>
      </c>
      <c r="D123" s="411" t="s">
        <v>2675</v>
      </c>
      <c r="E123" s="675" t="s">
        <v>2733</v>
      </c>
      <c r="F123" s="676"/>
    </row>
    <row r="124" spans="1:9" s="381" customFormat="1" ht="69.95">
      <c r="A124" s="408" t="s">
        <v>2734</v>
      </c>
      <c r="B124" s="409" t="s">
        <v>2735</v>
      </c>
      <c r="C124" s="410">
        <v>21626.48</v>
      </c>
      <c r="D124" s="411" t="s">
        <v>2675</v>
      </c>
      <c r="E124" s="675" t="s">
        <v>2736</v>
      </c>
      <c r="F124" s="676"/>
    </row>
    <row r="125" spans="1:9" s="381" customFormat="1" ht="69.95">
      <c r="A125" s="408" t="s">
        <v>2737</v>
      </c>
      <c r="B125" s="409" t="s">
        <v>2738</v>
      </c>
      <c r="C125" s="410">
        <v>21553.16</v>
      </c>
      <c r="D125" s="411" t="s">
        <v>2675</v>
      </c>
      <c r="E125" s="675" t="s">
        <v>2739</v>
      </c>
      <c r="F125" s="676"/>
    </row>
    <row r="126" spans="1:9" s="381" customFormat="1" ht="44.25" customHeight="1">
      <c r="A126" s="408" t="s">
        <v>2740</v>
      </c>
      <c r="B126" s="409" t="s">
        <v>2741</v>
      </c>
      <c r="C126" s="410">
        <v>21388.16</v>
      </c>
      <c r="D126" s="411" t="s">
        <v>2675</v>
      </c>
      <c r="E126" s="675" t="s">
        <v>2742</v>
      </c>
      <c r="F126" s="676"/>
    </row>
    <row r="127" spans="1:9">
      <c r="A127" s="412"/>
      <c r="B127" s="412"/>
      <c r="C127" s="412"/>
      <c r="D127" s="371"/>
      <c r="E127" s="371"/>
      <c r="F127" s="371"/>
      <c r="G127" s="381"/>
      <c r="H127" s="381"/>
      <c r="I127" s="381"/>
    </row>
    <row r="128" spans="1:9">
      <c r="A128" s="381"/>
      <c r="B128" s="381"/>
      <c r="C128" s="381"/>
      <c r="D128" s="381"/>
      <c r="E128" s="381"/>
      <c r="F128" s="381"/>
      <c r="G128" s="381"/>
      <c r="H128" s="381"/>
      <c r="I128" s="381"/>
    </row>
    <row r="131" spans="1:5" s="413" customFormat="1" ht="24.95">
      <c r="A131" s="738" t="s">
        <v>2743</v>
      </c>
      <c r="B131" s="739"/>
      <c r="C131" s="731" t="s">
        <v>2744</v>
      </c>
      <c r="D131" s="732"/>
      <c r="E131" s="732"/>
    </row>
    <row r="132" spans="1:5" s="413" customFormat="1" ht="56.1">
      <c r="A132" s="350" t="s">
        <v>228</v>
      </c>
      <c r="B132" s="354" t="s">
        <v>2622</v>
      </c>
      <c r="C132" s="350" t="s">
        <v>2745</v>
      </c>
      <c r="D132" s="350" t="s">
        <v>2746</v>
      </c>
      <c r="E132" s="414" t="s">
        <v>2747</v>
      </c>
    </row>
    <row r="133" spans="1:5" s="413" customFormat="1" ht="39">
      <c r="A133" s="386" t="s">
        <v>2748</v>
      </c>
      <c r="B133" s="415" t="s">
        <v>2749</v>
      </c>
      <c r="C133" s="416">
        <f>E133-(E133*D133)</f>
        <v>11.3878</v>
      </c>
      <c r="D133" s="417">
        <v>0.03</v>
      </c>
      <c r="E133" s="418">
        <v>11.74</v>
      </c>
    </row>
    <row r="134" spans="1:5" s="413" customFormat="1" ht="39">
      <c r="A134" s="386" t="s">
        <v>2750</v>
      </c>
      <c r="B134" s="415" t="s">
        <v>2751</v>
      </c>
      <c r="C134" s="416">
        <f t="shared" ref="C134:C142" si="0">E134-(E134*D134)</f>
        <v>9</v>
      </c>
      <c r="D134" s="417">
        <v>0</v>
      </c>
      <c r="E134" s="418">
        <v>9</v>
      </c>
    </row>
    <row r="135" spans="1:5" s="413" customFormat="1" ht="51.95">
      <c r="A135" s="386" t="s">
        <v>2752</v>
      </c>
      <c r="B135" s="415" t="s">
        <v>2753</v>
      </c>
      <c r="C135" s="416">
        <f t="shared" si="0"/>
        <v>24.6</v>
      </c>
      <c r="D135" s="417">
        <v>0</v>
      </c>
      <c r="E135" s="418">
        <v>24.6</v>
      </c>
    </row>
    <row r="136" spans="1:5" s="413" customFormat="1" ht="39">
      <c r="A136" s="386" t="s">
        <v>2754</v>
      </c>
      <c r="B136" s="415" t="s">
        <v>2755</v>
      </c>
      <c r="C136" s="416">
        <f t="shared" si="0"/>
        <v>9</v>
      </c>
      <c r="D136" s="417">
        <v>0</v>
      </c>
      <c r="E136" s="418">
        <v>9</v>
      </c>
    </row>
    <row r="137" spans="1:5" s="413" customFormat="1" ht="39">
      <c r="A137" s="386" t="s">
        <v>2756</v>
      </c>
      <c r="B137" s="415" t="s">
        <v>2757</v>
      </c>
      <c r="C137" s="416">
        <f t="shared" si="0"/>
        <v>73.16</v>
      </c>
      <c r="D137" s="417">
        <v>0</v>
      </c>
      <c r="E137" s="418">
        <v>73.16</v>
      </c>
    </row>
    <row r="138" spans="1:5" s="413" customFormat="1" ht="39">
      <c r="A138" s="386" t="s">
        <v>2758</v>
      </c>
      <c r="B138" s="415" t="s">
        <v>2759</v>
      </c>
      <c r="C138" s="416">
        <f t="shared" si="0"/>
        <v>102.7</v>
      </c>
      <c r="D138" s="417">
        <v>0</v>
      </c>
      <c r="E138" s="418">
        <v>102.7</v>
      </c>
    </row>
    <row r="139" spans="1:5" s="413" customFormat="1" ht="39">
      <c r="A139" s="386" t="s">
        <v>2760</v>
      </c>
      <c r="B139" s="415" t="s">
        <v>2761</v>
      </c>
      <c r="C139" s="416">
        <f t="shared" si="0"/>
        <v>60.468200000000003</v>
      </c>
      <c r="D139" s="417">
        <v>0.155</v>
      </c>
      <c r="E139" s="418">
        <v>71.56</v>
      </c>
    </row>
    <row r="140" spans="1:5" s="413" customFormat="1" ht="39">
      <c r="A140" s="386" t="s">
        <v>2762</v>
      </c>
      <c r="B140" s="415" t="s">
        <v>2763</v>
      </c>
      <c r="C140" s="416">
        <f t="shared" si="0"/>
        <v>84.668999999999997</v>
      </c>
      <c r="D140" s="417">
        <v>0.155</v>
      </c>
      <c r="E140" s="418">
        <v>100.2</v>
      </c>
    </row>
    <row r="141" spans="1:5" s="413" customFormat="1" ht="26.1">
      <c r="A141" s="386" t="s">
        <v>2764</v>
      </c>
      <c r="B141" s="415" t="s">
        <v>2765</v>
      </c>
      <c r="C141" s="416">
        <f t="shared" si="0"/>
        <v>2.02</v>
      </c>
      <c r="D141" s="417">
        <v>0</v>
      </c>
      <c r="E141" s="418">
        <v>2.02</v>
      </c>
    </row>
    <row r="142" spans="1:5" s="413" customFormat="1" ht="26.1">
      <c r="A142" s="386" t="s">
        <v>2766</v>
      </c>
      <c r="B142" s="415" t="s">
        <v>2767</v>
      </c>
      <c r="C142" s="416">
        <f t="shared" si="0"/>
        <v>0.72199999999999998</v>
      </c>
      <c r="D142" s="417">
        <v>0.05</v>
      </c>
      <c r="E142" s="418">
        <v>0.76</v>
      </c>
    </row>
    <row r="143" spans="1:5" s="413" customFormat="1"/>
    <row r="144" spans="1:5" s="413" customFormat="1"/>
    <row r="145" spans="1:5" s="413" customFormat="1" ht="24.95">
      <c r="A145" s="738" t="s">
        <v>2768</v>
      </c>
      <c r="B145" s="739"/>
      <c r="C145" s="731" t="s">
        <v>2769</v>
      </c>
      <c r="D145" s="732"/>
      <c r="E145" s="733"/>
    </row>
    <row r="146" spans="1:5" s="413" customFormat="1" ht="56.1">
      <c r="A146" s="350" t="s">
        <v>228</v>
      </c>
      <c r="B146" s="354" t="s">
        <v>2770</v>
      </c>
      <c r="C146" s="350" t="s">
        <v>2745</v>
      </c>
      <c r="D146" s="350" t="s">
        <v>2746</v>
      </c>
      <c r="E146" s="414" t="s">
        <v>2747</v>
      </c>
    </row>
    <row r="147" spans="1:5" s="413" customFormat="1">
      <c r="A147" s="386" t="s">
        <v>2771</v>
      </c>
      <c r="B147" s="346" t="s">
        <v>2772</v>
      </c>
      <c r="C147" s="416">
        <v>782.33</v>
      </c>
      <c r="D147" s="417"/>
      <c r="E147" s="419"/>
    </row>
    <row r="148" spans="1:5" s="413" customFormat="1">
      <c r="A148" s="386" t="s">
        <v>2773</v>
      </c>
      <c r="B148" s="346" t="s">
        <v>2774</v>
      </c>
      <c r="C148" s="416">
        <v>795.63</v>
      </c>
      <c r="D148" s="417"/>
      <c r="E148" s="419"/>
    </row>
    <row r="149" spans="1:5" s="413" customFormat="1">
      <c r="A149" s="386" t="s">
        <v>2775</v>
      </c>
      <c r="B149" s="346" t="s">
        <v>2776</v>
      </c>
      <c r="C149" s="416">
        <v>950.93000000000006</v>
      </c>
      <c r="D149" s="417"/>
      <c r="E149" s="419"/>
    </row>
    <row r="150" spans="1:5" s="413" customFormat="1">
      <c r="A150" s="386" t="s">
        <v>2777</v>
      </c>
      <c r="B150" s="346" t="s">
        <v>2778</v>
      </c>
      <c r="C150" s="416">
        <v>964.23</v>
      </c>
      <c r="D150" s="417"/>
      <c r="E150" s="419"/>
    </row>
    <row r="151" spans="1:5" s="413" customFormat="1">
      <c r="A151" s="386" t="s">
        <v>2779</v>
      </c>
      <c r="B151" s="346" t="s">
        <v>2780</v>
      </c>
      <c r="C151" s="416">
        <v>876.71</v>
      </c>
      <c r="D151" s="417"/>
      <c r="E151" s="419"/>
    </row>
    <row r="152" spans="1:5" s="413" customFormat="1">
      <c r="A152" s="386" t="s">
        <v>2781</v>
      </c>
      <c r="B152" s="346" t="s">
        <v>2782</v>
      </c>
      <c r="C152" s="416">
        <v>1659.04</v>
      </c>
      <c r="D152" s="417"/>
      <c r="E152" s="419"/>
    </row>
    <row r="153" spans="1:5" s="413" customFormat="1">
      <c r="A153" s="386" t="s">
        <v>2783</v>
      </c>
      <c r="B153" s="346" t="s">
        <v>2784</v>
      </c>
      <c r="C153" s="416">
        <v>1672.34</v>
      </c>
      <c r="D153" s="417"/>
      <c r="E153" s="419"/>
    </row>
    <row r="154" spans="1:5" s="413" customFormat="1">
      <c r="A154" s="386" t="s">
        <v>2785</v>
      </c>
      <c r="B154" s="346" t="s">
        <v>2786</v>
      </c>
      <c r="C154" s="416">
        <v>1996.24</v>
      </c>
      <c r="D154" s="417"/>
      <c r="E154" s="419"/>
    </row>
    <row r="155" spans="1:5" s="413" customFormat="1">
      <c r="A155" s="386" t="s">
        <v>2787</v>
      </c>
      <c r="B155" s="346" t="s">
        <v>2788</v>
      </c>
      <c r="C155" s="416">
        <v>2009.54</v>
      </c>
      <c r="D155" s="417"/>
      <c r="E155" s="419"/>
    </row>
    <row r="156" spans="1:5" s="413" customFormat="1">
      <c r="A156" s="386" t="s">
        <v>2789</v>
      </c>
      <c r="B156" s="346" t="s">
        <v>2790</v>
      </c>
      <c r="C156" s="416">
        <v>2480.1950000000002</v>
      </c>
      <c r="D156" s="417"/>
      <c r="E156" s="419"/>
    </row>
    <row r="157" spans="1:5" s="413" customFormat="1">
      <c r="A157" s="386" t="s">
        <v>2791</v>
      </c>
      <c r="B157" s="346" t="s">
        <v>2792</v>
      </c>
      <c r="C157" s="416">
        <v>2493.4950000000003</v>
      </c>
      <c r="D157" s="417"/>
      <c r="E157" s="419"/>
    </row>
    <row r="158" spans="1:5" s="413" customFormat="1">
      <c r="A158" s="386" t="s">
        <v>2793</v>
      </c>
      <c r="B158" s="346" t="s">
        <v>2794</v>
      </c>
      <c r="C158" s="416">
        <v>2985.9950000000003</v>
      </c>
      <c r="D158" s="417"/>
      <c r="E158" s="419"/>
    </row>
    <row r="159" spans="1:5" s="413" customFormat="1">
      <c r="A159" s="386" t="s">
        <v>2795</v>
      </c>
      <c r="B159" s="346" t="s">
        <v>2796</v>
      </c>
      <c r="C159" s="416">
        <v>2999.2950000000005</v>
      </c>
      <c r="D159" s="417"/>
      <c r="E159" s="419"/>
    </row>
    <row r="160" spans="1:5" s="413" customFormat="1">
      <c r="A160" s="386" t="s">
        <v>2797</v>
      </c>
      <c r="B160" s="401" t="s">
        <v>2798</v>
      </c>
      <c r="C160" s="416">
        <v>46.690000000000005</v>
      </c>
      <c r="D160" s="417"/>
      <c r="E160" s="419"/>
    </row>
    <row r="161" spans="1:5" s="413" customFormat="1">
      <c r="A161" s="386" t="s">
        <v>2799</v>
      </c>
      <c r="B161" s="401" t="s">
        <v>2800</v>
      </c>
      <c r="C161" s="416">
        <v>16.73</v>
      </c>
      <c r="D161" s="417"/>
      <c r="E161" s="419"/>
    </row>
    <row r="162" spans="1:5" s="413" customFormat="1">
      <c r="A162" s="386" t="s">
        <v>2801</v>
      </c>
      <c r="B162" s="401" t="s">
        <v>2802</v>
      </c>
      <c r="C162" s="416">
        <v>349.03000000000003</v>
      </c>
      <c r="D162" s="417"/>
      <c r="E162" s="419"/>
    </row>
    <row r="163" spans="1:5" s="413" customFormat="1">
      <c r="A163" s="386" t="s">
        <v>2803</v>
      </c>
      <c r="B163" s="401" t="s">
        <v>2804</v>
      </c>
      <c r="C163" s="416">
        <v>1336.76</v>
      </c>
      <c r="D163" s="417"/>
      <c r="E163" s="419"/>
    </row>
    <row r="164" spans="1:5" s="413" customFormat="1">
      <c r="A164" s="386" t="s">
        <v>2805</v>
      </c>
      <c r="B164" s="346" t="s">
        <v>2806</v>
      </c>
      <c r="C164" s="416">
        <v>1199.5274999999999</v>
      </c>
      <c r="D164" s="417"/>
      <c r="E164" s="419"/>
    </row>
    <row r="165" spans="1:5" s="413" customFormat="1">
      <c r="A165" s="386" t="s">
        <v>2807</v>
      </c>
      <c r="B165" s="346" t="s">
        <v>2808</v>
      </c>
      <c r="C165" s="416">
        <v>1212.8274999999999</v>
      </c>
      <c r="D165" s="417"/>
      <c r="E165" s="419"/>
    </row>
    <row r="166" spans="1:5" s="413" customFormat="1">
      <c r="A166" s="386" t="s">
        <v>2809</v>
      </c>
      <c r="B166" s="346" t="s">
        <v>2810</v>
      </c>
      <c r="C166" s="416">
        <v>1251.5124999999998</v>
      </c>
      <c r="D166" s="417"/>
      <c r="E166" s="419"/>
    </row>
    <row r="167" spans="1:5" s="413" customFormat="1">
      <c r="A167" s="386" t="s">
        <v>2811</v>
      </c>
      <c r="B167" s="346" t="s">
        <v>2812</v>
      </c>
      <c r="C167" s="416">
        <v>1264.8124999999998</v>
      </c>
      <c r="D167" s="417"/>
      <c r="E167" s="419"/>
    </row>
    <row r="168" spans="1:5" s="413" customFormat="1">
      <c r="A168" s="386" t="s">
        <v>2813</v>
      </c>
      <c r="B168" s="346" t="s">
        <v>2814</v>
      </c>
      <c r="C168" s="416">
        <v>1265.3074999999999</v>
      </c>
      <c r="D168" s="417"/>
      <c r="E168" s="419"/>
    </row>
    <row r="169" spans="1:5" s="413" customFormat="1">
      <c r="A169" s="386" t="s">
        <v>2815</v>
      </c>
      <c r="B169" s="401" t="s">
        <v>2816</v>
      </c>
      <c r="C169" s="416">
        <v>46.690000000000005</v>
      </c>
      <c r="D169" s="417"/>
      <c r="E169" s="419"/>
    </row>
    <row r="170" spans="1:5" s="413" customFormat="1">
      <c r="A170" s="386" t="s">
        <v>2817</v>
      </c>
      <c r="B170" s="401" t="s">
        <v>2818</v>
      </c>
      <c r="C170" s="416">
        <v>16.73</v>
      </c>
      <c r="D170" s="417"/>
      <c r="E170" s="419"/>
    </row>
    <row r="171" spans="1:5" s="413" customFormat="1">
      <c r="A171" s="386" t="s">
        <v>2819</v>
      </c>
      <c r="B171" s="401" t="s">
        <v>2820</v>
      </c>
      <c r="C171" s="416">
        <v>244.59</v>
      </c>
      <c r="D171" s="417"/>
      <c r="E171" s="419"/>
    </row>
    <row r="172" spans="1:5" s="413" customFormat="1">
      <c r="A172" s="386" t="s">
        <v>2821</v>
      </c>
      <c r="B172" s="401" t="s">
        <v>2822</v>
      </c>
      <c r="C172" s="416">
        <v>479.2600000000001</v>
      </c>
      <c r="D172" s="417"/>
      <c r="E172" s="419"/>
    </row>
    <row r="173" spans="1:5" s="413" customFormat="1">
      <c r="A173" s="386" t="s">
        <v>2823</v>
      </c>
      <c r="B173" s="401" t="s">
        <v>2824</v>
      </c>
      <c r="C173" s="416">
        <v>391.72000000000008</v>
      </c>
      <c r="D173" s="417"/>
      <c r="E173" s="419"/>
    </row>
    <row r="174" spans="1:5" s="413" customFormat="1">
      <c r="A174" s="386" t="s">
        <v>2825</v>
      </c>
      <c r="B174" s="401" t="s">
        <v>2826</v>
      </c>
      <c r="C174" s="416">
        <v>189.72</v>
      </c>
      <c r="D174" s="417"/>
      <c r="E174" s="419"/>
    </row>
    <row r="175" spans="1:5" s="413" customFormat="1">
      <c r="A175" s="386" t="s">
        <v>2827</v>
      </c>
      <c r="B175" s="401" t="s">
        <v>2828</v>
      </c>
      <c r="C175" s="416">
        <v>269.70000000000005</v>
      </c>
      <c r="D175" s="417"/>
      <c r="E175" s="419"/>
    </row>
    <row r="176" spans="1:5" s="413" customFormat="1">
      <c r="A176" s="386" t="s">
        <v>2829</v>
      </c>
      <c r="B176" s="401" t="s">
        <v>2830</v>
      </c>
      <c r="C176" s="416">
        <v>25.82</v>
      </c>
      <c r="D176" s="417"/>
      <c r="E176" s="419"/>
    </row>
    <row r="177" spans="1:5" s="413" customFormat="1">
      <c r="A177" s="386" t="s">
        <v>2831</v>
      </c>
      <c r="B177" s="401"/>
      <c r="C177" s="416">
        <f>E177-(E177*D177)</f>
        <v>0</v>
      </c>
      <c r="D177" s="417"/>
      <c r="E177" s="419"/>
    </row>
    <row r="178" spans="1:5" s="413" customFormat="1" ht="56.1">
      <c r="A178" s="350" t="s">
        <v>228</v>
      </c>
      <c r="B178" s="354" t="s">
        <v>2622</v>
      </c>
      <c r="C178" s="350" t="s">
        <v>2745</v>
      </c>
      <c r="D178" s="350" t="s">
        <v>2746</v>
      </c>
      <c r="E178" s="414" t="s">
        <v>2747</v>
      </c>
    </row>
    <row r="179" spans="1:5" s="413" customFormat="1">
      <c r="A179" s="386" t="s">
        <v>2832</v>
      </c>
      <c r="B179" s="420" t="s">
        <v>2833</v>
      </c>
      <c r="C179" s="416">
        <f>E179-(E179*D179)</f>
        <v>765.60000000000014</v>
      </c>
      <c r="D179" s="417">
        <v>0.6</v>
      </c>
      <c r="E179" s="419">
        <v>1914</v>
      </c>
    </row>
    <row r="180" spans="1:5" s="413" customFormat="1">
      <c r="A180" s="386" t="s">
        <v>2834</v>
      </c>
      <c r="B180" s="420" t="s">
        <v>2835</v>
      </c>
      <c r="C180" s="416">
        <f t="shared" ref="C180:C205" si="1">E180-(E180*D180)</f>
        <v>168.60000000000002</v>
      </c>
      <c r="D180" s="417">
        <v>0.6</v>
      </c>
      <c r="E180" s="419">
        <v>421.5</v>
      </c>
    </row>
    <row r="181" spans="1:5" s="413" customFormat="1">
      <c r="A181" s="386" t="s">
        <v>2836</v>
      </c>
      <c r="B181" s="420" t="s">
        <v>2837</v>
      </c>
      <c r="C181" s="416">
        <f>E181-(E181*D181)</f>
        <v>16.730000000000004</v>
      </c>
      <c r="D181" s="417">
        <v>0.72</v>
      </c>
      <c r="E181" s="419">
        <v>59.75</v>
      </c>
    </row>
    <row r="182" spans="1:5" s="413" customFormat="1">
      <c r="A182" s="386" t="s">
        <v>2838</v>
      </c>
      <c r="B182" s="420" t="s">
        <v>2839</v>
      </c>
      <c r="C182" s="416">
        <f>E182-(E182*D182)</f>
        <v>30.03</v>
      </c>
      <c r="D182" s="417">
        <v>0.72</v>
      </c>
      <c r="E182" s="419">
        <v>107.25</v>
      </c>
    </row>
    <row r="183" spans="1:5" s="413" customFormat="1">
      <c r="A183" s="386" t="s">
        <v>2840</v>
      </c>
      <c r="B183" s="420" t="s">
        <v>2841</v>
      </c>
      <c r="C183" s="416">
        <f t="shared" si="1"/>
        <v>46.69</v>
      </c>
      <c r="D183" s="417">
        <v>0.72</v>
      </c>
      <c r="E183" s="419">
        <v>166.75</v>
      </c>
    </row>
    <row r="184" spans="1:5" s="413" customFormat="1">
      <c r="A184" s="386" t="s">
        <v>2842</v>
      </c>
      <c r="B184" s="420" t="s">
        <v>2843</v>
      </c>
      <c r="C184" s="416">
        <f t="shared" si="1"/>
        <v>14.3</v>
      </c>
      <c r="D184" s="417">
        <v>0.6</v>
      </c>
      <c r="E184" s="419">
        <v>35.75</v>
      </c>
    </row>
    <row r="185" spans="1:5" s="413" customFormat="1">
      <c r="A185" s="386" t="s">
        <v>2844</v>
      </c>
      <c r="B185" s="420" t="s">
        <v>2845</v>
      </c>
      <c r="C185" s="416">
        <f>E185-(E185*D185)</f>
        <v>332.3</v>
      </c>
      <c r="D185" s="417">
        <v>0.6</v>
      </c>
      <c r="E185" s="419">
        <v>830.75</v>
      </c>
    </row>
    <row r="186" spans="1:5" s="413" customFormat="1">
      <c r="A186" s="386" t="s">
        <v>2846</v>
      </c>
      <c r="B186" s="420" t="s">
        <v>2847</v>
      </c>
      <c r="C186" s="416">
        <f>E186-(E186*D186)</f>
        <v>1182.7974999999999</v>
      </c>
      <c r="D186" s="417">
        <v>0.63</v>
      </c>
      <c r="E186" s="419">
        <v>3196.75</v>
      </c>
    </row>
    <row r="187" spans="1:5" s="413" customFormat="1">
      <c r="A187" s="386" t="s">
        <v>2848</v>
      </c>
      <c r="B187" s="420" t="s">
        <v>2849</v>
      </c>
      <c r="C187" s="416">
        <f>E187-(E187*D187)</f>
        <v>51.984999999999999</v>
      </c>
      <c r="D187" s="417">
        <v>0.63</v>
      </c>
      <c r="E187" s="419">
        <v>140.5</v>
      </c>
    </row>
    <row r="188" spans="1:5" s="413" customFormat="1">
      <c r="A188" s="386" t="s">
        <v>2850</v>
      </c>
      <c r="B188" s="420" t="s">
        <v>2851</v>
      </c>
      <c r="C188" s="416">
        <f>E188-(E188*D188)</f>
        <v>41.254999999999995</v>
      </c>
      <c r="D188" s="417">
        <v>0.63</v>
      </c>
      <c r="E188" s="419">
        <v>111.5</v>
      </c>
    </row>
    <row r="189" spans="1:5" s="413" customFormat="1">
      <c r="A189" s="386" t="s">
        <v>2852</v>
      </c>
      <c r="B189" s="420" t="s">
        <v>2853</v>
      </c>
      <c r="C189" s="416">
        <f>E189-(E189*D189)</f>
        <v>139.5</v>
      </c>
      <c r="D189" s="417">
        <v>0.38</v>
      </c>
      <c r="E189" s="419">
        <v>225</v>
      </c>
    </row>
    <row r="190" spans="1:5" s="413" customFormat="1">
      <c r="A190" s="386" t="s">
        <v>2854</v>
      </c>
      <c r="B190" s="420" t="s">
        <v>2855</v>
      </c>
      <c r="C190" s="416">
        <f t="shared" ref="C190" si="2">E190-(E190*D190)</f>
        <v>27.434999999999999</v>
      </c>
      <c r="D190" s="417">
        <v>0.38</v>
      </c>
      <c r="E190" s="419">
        <v>44.25</v>
      </c>
    </row>
    <row r="191" spans="1:5" s="413" customFormat="1">
      <c r="A191" s="386" t="s">
        <v>2856</v>
      </c>
      <c r="B191" s="420" t="s">
        <v>2857</v>
      </c>
      <c r="C191" s="416">
        <f t="shared" si="1"/>
        <v>101</v>
      </c>
      <c r="D191" s="417">
        <v>0</v>
      </c>
      <c r="E191" s="419">
        <v>101</v>
      </c>
    </row>
    <row r="192" spans="1:5" s="413" customFormat="1">
      <c r="A192" s="386" t="s">
        <v>2858</v>
      </c>
      <c r="B192" s="420" t="s">
        <v>2859</v>
      </c>
      <c r="C192" s="416">
        <f t="shared" si="1"/>
        <v>139.5</v>
      </c>
      <c r="D192" s="417">
        <v>0.38</v>
      </c>
      <c r="E192" s="419">
        <v>225</v>
      </c>
    </row>
    <row r="193" spans="1:5" s="413" customFormat="1">
      <c r="A193" s="386" t="s">
        <v>2860</v>
      </c>
      <c r="B193" s="420" t="s">
        <v>2861</v>
      </c>
      <c r="C193" s="416">
        <f t="shared" si="1"/>
        <v>219.48</v>
      </c>
      <c r="D193" s="417">
        <v>0.38</v>
      </c>
      <c r="E193" s="419">
        <v>354</v>
      </c>
    </row>
    <row r="194" spans="1:5" s="413" customFormat="1">
      <c r="A194" s="386" t="s">
        <v>2862</v>
      </c>
      <c r="B194" s="420" t="s">
        <v>2863</v>
      </c>
      <c r="C194" s="416">
        <f t="shared" si="1"/>
        <v>319.3</v>
      </c>
      <c r="D194" s="417">
        <v>0.38</v>
      </c>
      <c r="E194" s="419">
        <v>515</v>
      </c>
    </row>
    <row r="195" spans="1:5" s="413" customFormat="1">
      <c r="A195" s="386" t="s">
        <v>2864</v>
      </c>
      <c r="B195" s="420" t="s">
        <v>2865</v>
      </c>
      <c r="C195" s="416">
        <f t="shared" si="1"/>
        <v>5.58</v>
      </c>
      <c r="D195" s="417">
        <v>0.38</v>
      </c>
      <c r="E195" s="419">
        <v>9</v>
      </c>
    </row>
    <row r="196" spans="1:5" s="413" customFormat="1">
      <c r="A196" s="386" t="s">
        <v>2866</v>
      </c>
      <c r="B196" s="420" t="s">
        <v>2867</v>
      </c>
      <c r="C196" s="416">
        <f t="shared" si="1"/>
        <v>11.16</v>
      </c>
      <c r="D196" s="417">
        <v>0.38</v>
      </c>
      <c r="E196" s="419">
        <v>18</v>
      </c>
    </row>
    <row r="197" spans="1:5" s="413" customFormat="1">
      <c r="A197" s="386" t="s">
        <v>2868</v>
      </c>
      <c r="B197" s="420" t="s">
        <v>2869</v>
      </c>
      <c r="C197" s="416">
        <f t="shared" si="1"/>
        <v>11.16</v>
      </c>
      <c r="D197" s="417">
        <v>0.38</v>
      </c>
      <c r="E197" s="419">
        <v>18</v>
      </c>
    </row>
    <row r="198" spans="1:5" s="413" customFormat="1">
      <c r="A198" s="386" t="s">
        <v>2870</v>
      </c>
      <c r="B198" s="420" t="s">
        <v>2871</v>
      </c>
      <c r="C198" s="416">
        <f t="shared" si="1"/>
        <v>11.16</v>
      </c>
      <c r="D198" s="417">
        <v>0.38</v>
      </c>
      <c r="E198" s="419">
        <v>18</v>
      </c>
    </row>
    <row r="199" spans="1:5" s="413" customFormat="1">
      <c r="A199" s="386" t="s">
        <v>2872</v>
      </c>
      <c r="B199" s="420" t="s">
        <v>2873</v>
      </c>
      <c r="C199" s="416">
        <f t="shared" si="1"/>
        <v>11.16</v>
      </c>
      <c r="D199" s="417">
        <v>0.38</v>
      </c>
      <c r="E199" s="419">
        <v>18</v>
      </c>
    </row>
    <row r="200" spans="1:5" s="413" customFormat="1">
      <c r="A200" s="386" t="s">
        <v>2874</v>
      </c>
      <c r="B200" s="420" t="s">
        <v>2875</v>
      </c>
      <c r="C200" s="416">
        <f t="shared" si="1"/>
        <v>22.32</v>
      </c>
      <c r="D200" s="417">
        <v>0.38</v>
      </c>
      <c r="E200" s="419">
        <v>36</v>
      </c>
    </row>
    <row r="201" spans="1:5" s="413" customFormat="1">
      <c r="A201" s="386" t="s">
        <v>2876</v>
      </c>
      <c r="B201" s="346"/>
      <c r="C201" s="416">
        <f t="shared" si="1"/>
        <v>0</v>
      </c>
      <c r="D201" s="417">
        <v>0.6</v>
      </c>
      <c r="E201" s="419"/>
    </row>
    <row r="202" spans="1:5" s="413" customFormat="1">
      <c r="A202" s="386" t="s">
        <v>2877</v>
      </c>
      <c r="B202" s="346"/>
      <c r="C202" s="416">
        <f t="shared" si="1"/>
        <v>0</v>
      </c>
      <c r="D202" s="417">
        <v>0.6</v>
      </c>
      <c r="E202" s="419"/>
    </row>
    <row r="203" spans="1:5" s="413" customFormat="1">
      <c r="A203" s="386" t="s">
        <v>2878</v>
      </c>
      <c r="B203" s="346"/>
      <c r="C203" s="416">
        <f t="shared" si="1"/>
        <v>0</v>
      </c>
      <c r="D203" s="417">
        <v>0.6</v>
      </c>
      <c r="E203" s="419"/>
    </row>
    <row r="204" spans="1:5" s="413" customFormat="1">
      <c r="A204" s="386" t="s">
        <v>2879</v>
      </c>
      <c r="B204" s="346"/>
      <c r="C204" s="416">
        <f t="shared" si="1"/>
        <v>0</v>
      </c>
      <c r="D204" s="417">
        <v>0.6</v>
      </c>
      <c r="E204" s="419"/>
    </row>
    <row r="205" spans="1:5" s="413" customFormat="1">
      <c r="A205" s="386" t="s">
        <v>2880</v>
      </c>
      <c r="B205" s="346"/>
      <c r="C205" s="416">
        <f t="shared" si="1"/>
        <v>0</v>
      </c>
      <c r="D205" s="417">
        <v>0.6</v>
      </c>
      <c r="E205" s="419"/>
    </row>
    <row r="206" spans="1:5" s="413" customFormat="1"/>
    <row r="207" spans="1:5" s="413" customFormat="1"/>
    <row r="208" spans="1:5" s="413" customFormat="1"/>
    <row r="209" spans="1:5" s="413" customFormat="1" ht="24.95">
      <c r="A209" s="738" t="s">
        <v>2768</v>
      </c>
      <c r="B209" s="739"/>
      <c r="C209" s="731" t="s">
        <v>2881</v>
      </c>
      <c r="D209" s="732"/>
      <c r="E209" s="733"/>
    </row>
    <row r="210" spans="1:5" s="413" customFormat="1" ht="56.1">
      <c r="A210" s="350" t="s">
        <v>228</v>
      </c>
      <c r="B210" s="354" t="s">
        <v>2770</v>
      </c>
      <c r="C210" s="350" t="s">
        <v>2745</v>
      </c>
      <c r="D210" s="350" t="s">
        <v>2882</v>
      </c>
      <c r="E210" s="414" t="s">
        <v>2883</v>
      </c>
    </row>
    <row r="211" spans="1:5" s="413" customFormat="1">
      <c r="A211" s="386" t="s">
        <v>2884</v>
      </c>
      <c r="B211" s="346" t="s">
        <v>2885</v>
      </c>
      <c r="C211" s="416">
        <f>(E211*D211)</f>
        <v>2208.7842000000001</v>
      </c>
      <c r="D211" s="421">
        <v>0.95</v>
      </c>
      <c r="E211" s="422">
        <v>2325.0360000000001</v>
      </c>
    </row>
    <row r="212" spans="1:5" s="413" customFormat="1">
      <c r="A212" s="386" t="s">
        <v>2886</v>
      </c>
      <c r="B212" s="346" t="s">
        <v>2887</v>
      </c>
      <c r="C212" s="416">
        <f t="shared" ref="C212:C226" si="3">(E212*D212)</f>
        <v>2131.1095399999999</v>
      </c>
      <c r="D212" s="421">
        <v>0.95</v>
      </c>
      <c r="E212" s="422">
        <v>2243.2732000000001</v>
      </c>
    </row>
    <row r="213" spans="1:5" s="413" customFormat="1">
      <c r="A213" s="386" t="s">
        <v>2888</v>
      </c>
      <c r="B213" s="346" t="s">
        <v>2889</v>
      </c>
      <c r="C213" s="416">
        <f t="shared" si="3"/>
        <v>4960.6735199999994</v>
      </c>
      <c r="D213" s="421">
        <v>0.95</v>
      </c>
      <c r="E213" s="422">
        <v>5221.7615999999998</v>
      </c>
    </row>
    <row r="214" spans="1:5" s="413" customFormat="1">
      <c r="A214" s="386" t="s">
        <v>2890</v>
      </c>
      <c r="B214" s="346" t="s">
        <v>2891</v>
      </c>
      <c r="C214" s="416">
        <f t="shared" si="3"/>
        <v>4882.9988599999997</v>
      </c>
      <c r="D214" s="421">
        <v>0.95</v>
      </c>
      <c r="E214" s="422">
        <v>5139.9988000000003</v>
      </c>
    </row>
    <row r="215" spans="1:5" s="413" customFormat="1">
      <c r="A215" s="386" t="s">
        <v>2892</v>
      </c>
      <c r="B215" s="346" t="s">
        <v>2893</v>
      </c>
      <c r="C215" s="416">
        <f t="shared" si="3"/>
        <v>6166.7485850000003</v>
      </c>
      <c r="D215" s="421">
        <v>0.95</v>
      </c>
      <c r="E215" s="422">
        <v>6491.3143000000009</v>
      </c>
    </row>
    <row r="216" spans="1:5" s="413" customFormat="1">
      <c r="A216" s="386" t="s">
        <v>2894</v>
      </c>
      <c r="B216" s="346" t="s">
        <v>2895</v>
      </c>
      <c r="C216" s="416">
        <f t="shared" si="3"/>
        <v>6089.0739250000006</v>
      </c>
      <c r="D216" s="421">
        <v>0.95</v>
      </c>
      <c r="E216" s="422">
        <v>6409.5515000000014</v>
      </c>
    </row>
    <row r="217" spans="1:5" s="413" customFormat="1">
      <c r="A217" s="386" t="s">
        <v>2896</v>
      </c>
      <c r="B217" s="346" t="s">
        <v>2897</v>
      </c>
      <c r="C217" s="416">
        <f t="shared" si="3"/>
        <v>109.84204000000001</v>
      </c>
      <c r="D217" s="421">
        <v>0.95</v>
      </c>
      <c r="E217" s="422">
        <v>115.62320000000001</v>
      </c>
    </row>
    <row r="218" spans="1:5" s="413" customFormat="1">
      <c r="A218" s="386" t="s">
        <v>2898</v>
      </c>
      <c r="B218" s="346" t="s">
        <v>2899</v>
      </c>
      <c r="C218" s="416">
        <f t="shared" si="3"/>
        <v>78.458029999999994</v>
      </c>
      <c r="D218" s="421">
        <v>0.95</v>
      </c>
      <c r="E218" s="422">
        <v>82.587400000000002</v>
      </c>
    </row>
    <row r="219" spans="1:5" s="413" customFormat="1">
      <c r="A219" s="386" t="s">
        <v>2900</v>
      </c>
      <c r="B219" s="346" t="s">
        <v>2901</v>
      </c>
      <c r="C219" s="416">
        <f t="shared" si="3"/>
        <v>168.51879000000002</v>
      </c>
      <c r="D219" s="421">
        <v>0.95</v>
      </c>
      <c r="E219" s="422">
        <v>177.38820000000004</v>
      </c>
    </row>
    <row r="220" spans="1:5" s="413" customFormat="1">
      <c r="A220" s="386" t="s">
        <v>2902</v>
      </c>
      <c r="B220" s="346" t="s">
        <v>2903</v>
      </c>
      <c r="C220" s="416">
        <f t="shared" si="3"/>
        <v>272.75706500000001</v>
      </c>
      <c r="D220" s="421">
        <v>0.95</v>
      </c>
      <c r="E220" s="422">
        <v>287.11270000000002</v>
      </c>
    </row>
    <row r="221" spans="1:5" s="413" customFormat="1">
      <c r="A221" s="386" t="s">
        <v>2904</v>
      </c>
      <c r="B221" s="346" t="s">
        <v>2905</v>
      </c>
      <c r="C221" s="416">
        <f t="shared" si="3"/>
        <v>437.7992825</v>
      </c>
      <c r="D221" s="421">
        <v>0.95</v>
      </c>
      <c r="E221" s="422">
        <v>460.84135000000003</v>
      </c>
    </row>
    <row r="222" spans="1:5" s="413" customFormat="1">
      <c r="A222" s="386" t="s">
        <v>2906</v>
      </c>
      <c r="B222" s="346"/>
      <c r="C222" s="416">
        <f t="shared" si="3"/>
        <v>0</v>
      </c>
      <c r="D222" s="421">
        <v>0.95</v>
      </c>
      <c r="E222" s="422"/>
    </row>
    <row r="223" spans="1:5" s="413" customFormat="1">
      <c r="A223" s="386" t="s">
        <v>2907</v>
      </c>
      <c r="B223" s="346"/>
      <c r="C223" s="416">
        <f t="shared" si="3"/>
        <v>0</v>
      </c>
      <c r="D223" s="421">
        <v>0.95</v>
      </c>
      <c r="E223" s="422"/>
    </row>
    <row r="224" spans="1:5" s="413" customFormat="1">
      <c r="A224" s="386" t="s">
        <v>2908</v>
      </c>
      <c r="B224" s="346"/>
      <c r="C224" s="416">
        <f t="shared" si="3"/>
        <v>0</v>
      </c>
      <c r="D224" s="421">
        <v>0.95</v>
      </c>
      <c r="E224" s="422"/>
    </row>
    <row r="225" spans="1:6" s="413" customFormat="1">
      <c r="A225" s="386" t="s">
        <v>2909</v>
      </c>
      <c r="B225" s="346"/>
      <c r="C225" s="416">
        <f t="shared" si="3"/>
        <v>0</v>
      </c>
      <c r="D225" s="421">
        <v>0.95</v>
      </c>
      <c r="E225" s="422"/>
    </row>
    <row r="226" spans="1:6" s="413" customFormat="1">
      <c r="A226" s="386" t="s">
        <v>2910</v>
      </c>
      <c r="B226" s="346"/>
      <c r="C226" s="416">
        <f t="shared" si="3"/>
        <v>0</v>
      </c>
      <c r="D226" s="421">
        <v>0.95</v>
      </c>
      <c r="E226" s="422"/>
    </row>
    <row r="227" spans="1:6" s="413" customFormat="1" ht="56.1">
      <c r="A227" s="350" t="s">
        <v>228</v>
      </c>
      <c r="B227" s="354" t="s">
        <v>2622</v>
      </c>
      <c r="C227" s="350" t="s">
        <v>2745</v>
      </c>
      <c r="D227" s="350" t="s">
        <v>2746</v>
      </c>
      <c r="E227" s="414" t="s">
        <v>2747</v>
      </c>
      <c r="F227" s="350" t="s">
        <v>2882</v>
      </c>
    </row>
    <row r="228" spans="1:6" s="413" customFormat="1">
      <c r="A228" s="386" t="s">
        <v>2911</v>
      </c>
      <c r="B228" s="423" t="s">
        <v>2912</v>
      </c>
      <c r="C228" s="416">
        <f>(E228-(E228*D228))*F228</f>
        <v>1111.6005575000004</v>
      </c>
      <c r="D228" s="417">
        <v>0.69</v>
      </c>
      <c r="E228" s="422">
        <v>3774.5349999999999</v>
      </c>
      <c r="F228" s="421">
        <v>0.95</v>
      </c>
    </row>
    <row r="229" spans="1:6" s="413" customFormat="1">
      <c r="A229" s="386" t="s">
        <v>2913</v>
      </c>
      <c r="B229" s="423" t="s">
        <v>2914</v>
      </c>
      <c r="C229" s="416">
        <f t="shared" ref="C229:C246" si="4">(E229-(E229*D229))*F229</f>
        <v>154.25149999999999</v>
      </c>
      <c r="D229" s="417">
        <v>0</v>
      </c>
      <c r="E229" s="422">
        <v>162.37</v>
      </c>
      <c r="F229" s="421">
        <v>0.95</v>
      </c>
    </row>
    <row r="230" spans="1:6" s="413" customFormat="1">
      <c r="A230" s="386" t="s">
        <v>2915</v>
      </c>
      <c r="B230" s="423" t="s">
        <v>2916</v>
      </c>
      <c r="C230" s="416">
        <f t="shared" si="4"/>
        <v>194.54081000000002</v>
      </c>
      <c r="D230" s="417">
        <v>0.69</v>
      </c>
      <c r="E230" s="422">
        <v>660.58</v>
      </c>
      <c r="F230" s="421">
        <v>0.95</v>
      </c>
    </row>
    <row r="231" spans="1:6" s="413" customFormat="1">
      <c r="A231" s="386" t="s">
        <v>2917</v>
      </c>
      <c r="B231" s="423" t="s">
        <v>2918</v>
      </c>
      <c r="C231" s="416">
        <f t="shared" si="4"/>
        <v>592.25864250000006</v>
      </c>
      <c r="D231" s="417">
        <v>0.69</v>
      </c>
      <c r="E231" s="422">
        <v>2011.0650000000001</v>
      </c>
      <c r="F231" s="421">
        <v>0.95</v>
      </c>
    </row>
    <row r="232" spans="1:6" s="413" customFormat="1">
      <c r="A232" s="386" t="s">
        <v>2919</v>
      </c>
      <c r="B232" s="423" t="s">
        <v>2920</v>
      </c>
      <c r="C232" s="416">
        <f t="shared" si="4"/>
        <v>3827.2542650000005</v>
      </c>
      <c r="D232" s="417">
        <v>0.69</v>
      </c>
      <c r="E232" s="422">
        <v>12995.77</v>
      </c>
      <c r="F232" s="421">
        <v>0.95</v>
      </c>
    </row>
    <row r="233" spans="1:6" s="413" customFormat="1">
      <c r="A233" s="386" t="s">
        <v>2921</v>
      </c>
      <c r="B233" s="423" t="s">
        <v>2922</v>
      </c>
      <c r="C233" s="416">
        <f t="shared" si="4"/>
        <v>515.16599999999994</v>
      </c>
      <c r="D233" s="417">
        <v>0</v>
      </c>
      <c r="E233" s="422">
        <v>542.28</v>
      </c>
      <c r="F233" s="421">
        <v>0.95</v>
      </c>
    </row>
    <row r="234" spans="1:6" s="413" customFormat="1">
      <c r="A234" s="386" t="s">
        <v>2923</v>
      </c>
      <c r="B234" s="423" t="s">
        <v>2924</v>
      </c>
      <c r="C234" s="416">
        <f t="shared" si="4"/>
        <v>349.19601249999999</v>
      </c>
      <c r="D234" s="417">
        <v>0.69</v>
      </c>
      <c r="E234" s="422">
        <v>1185.7249999999999</v>
      </c>
      <c r="F234" s="421">
        <v>0.95</v>
      </c>
    </row>
    <row r="235" spans="1:6" s="413" customFormat="1">
      <c r="A235" s="386" t="s">
        <v>2925</v>
      </c>
      <c r="B235" s="423" t="s">
        <v>2926</v>
      </c>
      <c r="C235" s="416">
        <f t="shared" si="4"/>
        <v>112.9245525</v>
      </c>
      <c r="D235" s="417">
        <v>0.69</v>
      </c>
      <c r="E235" s="422">
        <v>383.44499999999999</v>
      </c>
      <c r="F235" s="421">
        <v>0.95</v>
      </c>
    </row>
    <row r="236" spans="1:6" s="413" customFormat="1">
      <c r="A236" s="386" t="s">
        <v>2927</v>
      </c>
      <c r="B236" s="423" t="s">
        <v>2928</v>
      </c>
      <c r="C236" s="416">
        <f t="shared" si="4"/>
        <v>3865.474475</v>
      </c>
      <c r="D236" s="417">
        <v>0.69</v>
      </c>
      <c r="E236" s="422">
        <v>13125.55</v>
      </c>
      <c r="F236" s="421">
        <v>0.95</v>
      </c>
    </row>
    <row r="237" spans="1:6" s="413" customFormat="1">
      <c r="A237" s="386" t="s">
        <v>2929</v>
      </c>
      <c r="B237" s="423" t="s">
        <v>2930</v>
      </c>
      <c r="C237" s="416">
        <f t="shared" si="4"/>
        <v>520.5145</v>
      </c>
      <c r="D237" s="417">
        <v>0</v>
      </c>
      <c r="E237" s="422">
        <v>547.91</v>
      </c>
      <c r="F237" s="421">
        <v>0.95</v>
      </c>
    </row>
    <row r="238" spans="1:6" s="413" customFormat="1">
      <c r="A238" s="386" t="s">
        <v>2931</v>
      </c>
      <c r="B238" s="423" t="s">
        <v>2932</v>
      </c>
      <c r="C238" s="416">
        <f t="shared" si="4"/>
        <v>1233.4779100000001</v>
      </c>
      <c r="D238" s="417">
        <v>0.69</v>
      </c>
      <c r="E238" s="422">
        <v>4188.38</v>
      </c>
      <c r="F238" s="421">
        <v>0.95</v>
      </c>
    </row>
    <row r="239" spans="1:6" s="413" customFormat="1">
      <c r="A239" s="386" t="s">
        <v>2933</v>
      </c>
      <c r="B239" s="423" t="s">
        <v>2934</v>
      </c>
      <c r="C239" s="416">
        <f t="shared" si="4"/>
        <v>391.14901000000003</v>
      </c>
      <c r="D239" s="417">
        <v>0.69</v>
      </c>
      <c r="E239" s="422">
        <v>1328.18</v>
      </c>
      <c r="F239" s="421">
        <v>0.95</v>
      </c>
    </row>
    <row r="240" spans="1:6" s="413" customFormat="1">
      <c r="A240" s="386" t="s">
        <v>2935</v>
      </c>
      <c r="B240" s="423" t="s">
        <v>2936</v>
      </c>
      <c r="C240" s="416">
        <f t="shared" si="4"/>
        <v>78.458029999999994</v>
      </c>
      <c r="D240" s="417">
        <v>0.72</v>
      </c>
      <c r="E240" s="422">
        <v>294.95499999999998</v>
      </c>
      <c r="F240" s="421">
        <v>0.95</v>
      </c>
    </row>
    <row r="241" spans="1:6" s="413" customFormat="1">
      <c r="A241" s="386" t="s">
        <v>2937</v>
      </c>
      <c r="B241" s="423" t="s">
        <v>2938</v>
      </c>
      <c r="C241" s="416">
        <f t="shared" si="4"/>
        <v>156.13269000000003</v>
      </c>
      <c r="D241" s="417">
        <v>0.72</v>
      </c>
      <c r="E241" s="422">
        <v>586.96500000000003</v>
      </c>
      <c r="F241" s="421">
        <v>0.95</v>
      </c>
    </row>
    <row r="242" spans="1:6">
      <c r="A242" s="386" t="s">
        <v>2939</v>
      </c>
      <c r="B242" s="423" t="s">
        <v>2940</v>
      </c>
      <c r="C242" s="416">
        <f>(E242-(E242*D242))*F242</f>
        <v>109.84204</v>
      </c>
      <c r="D242" s="417">
        <v>0.72</v>
      </c>
      <c r="E242" s="422">
        <v>412.94</v>
      </c>
      <c r="F242" s="421">
        <v>0.95</v>
      </c>
    </row>
    <row r="243" spans="1:6">
      <c r="A243" s="386" t="s">
        <v>2941</v>
      </c>
      <c r="B243" s="423" t="s">
        <v>2942</v>
      </c>
      <c r="C243" s="416">
        <f t="shared" si="4"/>
        <v>129.42833250000004</v>
      </c>
      <c r="D243" s="417">
        <v>0.69</v>
      </c>
      <c r="E243" s="422">
        <v>439.48500000000001</v>
      </c>
      <c r="F243" s="421">
        <v>0.95</v>
      </c>
    </row>
    <row r="244" spans="1:6">
      <c r="A244" s="386" t="s">
        <v>2943</v>
      </c>
      <c r="B244" s="423" t="s">
        <v>2944</v>
      </c>
      <c r="C244" s="416">
        <f t="shared" si="4"/>
        <v>233.66660750000005</v>
      </c>
      <c r="D244" s="417">
        <v>0.69</v>
      </c>
      <c r="E244" s="422">
        <v>793.43499999999995</v>
      </c>
      <c r="F244" s="421">
        <v>0.95</v>
      </c>
    </row>
    <row r="245" spans="1:6">
      <c r="A245" s="386" t="s">
        <v>2945</v>
      </c>
      <c r="B245" s="423" t="s">
        <v>2946</v>
      </c>
      <c r="C245" s="416">
        <f t="shared" si="4"/>
        <v>398.70882500000005</v>
      </c>
      <c r="D245" s="417">
        <v>0.69</v>
      </c>
      <c r="E245" s="422">
        <v>1353.85</v>
      </c>
      <c r="F245" s="421">
        <v>0.95</v>
      </c>
    </row>
    <row r="246" spans="1:6">
      <c r="A246" s="386" t="s">
        <v>2947</v>
      </c>
      <c r="B246" s="423" t="s">
        <v>2948</v>
      </c>
      <c r="C246" s="416">
        <f t="shared" si="4"/>
        <v>39.090457500000007</v>
      </c>
      <c r="D246" s="417">
        <v>0.69</v>
      </c>
      <c r="E246" s="422">
        <v>132.73500000000001</v>
      </c>
      <c r="F246" s="421">
        <v>0.95</v>
      </c>
    </row>
    <row r="250" spans="1:6" ht="24.95">
      <c r="A250" s="391" t="s">
        <v>2949</v>
      </c>
      <c r="B250" s="392"/>
      <c r="C250" s="728" t="s">
        <v>2881</v>
      </c>
      <c r="D250" s="728"/>
      <c r="E250" s="728"/>
      <c r="F250" s="728"/>
    </row>
    <row r="251" spans="1:6" ht="56.1">
      <c r="A251" s="350" t="s">
        <v>228</v>
      </c>
      <c r="B251" s="354" t="s">
        <v>2622</v>
      </c>
      <c r="C251" s="350" t="s">
        <v>2746</v>
      </c>
      <c r="D251" s="350" t="s">
        <v>2624</v>
      </c>
      <c r="E251" s="725" t="s">
        <v>2950</v>
      </c>
      <c r="F251" s="725"/>
    </row>
    <row r="252" spans="1:6">
      <c r="A252" s="226" t="s">
        <v>2951</v>
      </c>
      <c r="B252" s="289" t="s">
        <v>2952</v>
      </c>
      <c r="C252" s="424">
        <v>0.5</v>
      </c>
      <c r="D252" s="425">
        <v>5</v>
      </c>
      <c r="E252" s="729" t="s">
        <v>2953</v>
      </c>
      <c r="F252" s="729"/>
    </row>
    <row r="253" spans="1:6">
      <c r="A253" s="226" t="s">
        <v>2954</v>
      </c>
      <c r="B253" s="289" t="s">
        <v>2952</v>
      </c>
      <c r="C253" s="424">
        <v>0.5</v>
      </c>
      <c r="D253" s="425">
        <v>5</v>
      </c>
      <c r="E253" s="729" t="s">
        <v>2955</v>
      </c>
      <c r="F253" s="729"/>
    </row>
    <row r="254" spans="1:6">
      <c r="A254" s="226" t="s">
        <v>2956</v>
      </c>
      <c r="B254" s="289" t="s">
        <v>2952</v>
      </c>
      <c r="C254" s="424">
        <v>0.5</v>
      </c>
      <c r="D254" s="425">
        <v>5</v>
      </c>
      <c r="E254" s="729" t="s">
        <v>2957</v>
      </c>
      <c r="F254" s="729"/>
    </row>
    <row r="255" spans="1:6">
      <c r="A255" s="226" t="s">
        <v>2958</v>
      </c>
      <c r="B255" s="289" t="s">
        <v>2959</v>
      </c>
      <c r="C255" s="424">
        <v>0.5</v>
      </c>
      <c r="D255" s="425">
        <v>5</v>
      </c>
      <c r="E255" s="729" t="s">
        <v>2960</v>
      </c>
      <c r="F255" s="729"/>
    </row>
    <row r="256" spans="1:6">
      <c r="A256" s="226" t="s">
        <v>2961</v>
      </c>
      <c r="B256" s="289" t="s">
        <v>2959</v>
      </c>
      <c r="C256" s="424">
        <v>0.5</v>
      </c>
      <c r="D256" s="425">
        <v>5</v>
      </c>
      <c r="E256" s="729" t="s">
        <v>2962</v>
      </c>
      <c r="F256" s="729"/>
    </row>
    <row r="257" spans="1:10">
      <c r="A257" s="226" t="s">
        <v>2963</v>
      </c>
      <c r="B257" s="289" t="s">
        <v>2959</v>
      </c>
      <c r="C257" s="424">
        <v>0.5</v>
      </c>
      <c r="D257" s="425">
        <v>5</v>
      </c>
      <c r="E257" s="729" t="s">
        <v>2964</v>
      </c>
      <c r="F257" s="729"/>
    </row>
    <row r="258" spans="1:10">
      <c r="A258" s="226" t="s">
        <v>2965</v>
      </c>
      <c r="B258" s="289" t="s">
        <v>2959</v>
      </c>
      <c r="C258" s="424">
        <v>0.5</v>
      </c>
      <c r="D258" s="425">
        <v>5</v>
      </c>
      <c r="E258" s="729" t="s">
        <v>2966</v>
      </c>
      <c r="F258" s="729"/>
    </row>
    <row r="259" spans="1:10">
      <c r="A259" s="226" t="s">
        <v>2967</v>
      </c>
      <c r="B259" s="289" t="s">
        <v>2959</v>
      </c>
      <c r="C259" s="424">
        <v>0.5</v>
      </c>
      <c r="D259" s="425">
        <v>5</v>
      </c>
      <c r="E259" s="729" t="s">
        <v>2968</v>
      </c>
      <c r="F259" s="729"/>
    </row>
    <row r="260" spans="1:10">
      <c r="A260" s="226" t="s">
        <v>2969</v>
      </c>
      <c r="B260" s="289" t="s">
        <v>2959</v>
      </c>
      <c r="C260" s="424">
        <v>0.5</v>
      </c>
      <c r="D260" s="425">
        <v>5</v>
      </c>
      <c r="E260" s="729" t="s">
        <v>2970</v>
      </c>
      <c r="F260" s="729"/>
    </row>
    <row r="261" spans="1:10">
      <c r="A261" s="226" t="s">
        <v>2971</v>
      </c>
      <c r="B261" s="289" t="s">
        <v>2972</v>
      </c>
      <c r="C261" s="424">
        <v>0.5</v>
      </c>
      <c r="D261" s="425">
        <v>5</v>
      </c>
      <c r="E261" s="729" t="s">
        <v>2973</v>
      </c>
      <c r="F261" s="729"/>
    </row>
    <row r="262" spans="1:10">
      <c r="A262" s="226" t="s">
        <v>2974</v>
      </c>
      <c r="B262" s="289" t="s">
        <v>2975</v>
      </c>
      <c r="C262" s="424">
        <v>0.5</v>
      </c>
      <c r="D262" s="425">
        <v>4</v>
      </c>
      <c r="E262" s="729" t="s">
        <v>2976</v>
      </c>
      <c r="F262" s="729"/>
    </row>
    <row r="263" spans="1:10">
      <c r="A263" s="226" t="s">
        <v>2977</v>
      </c>
      <c r="B263" s="289" t="s">
        <v>2978</v>
      </c>
      <c r="C263" s="424">
        <v>0.5</v>
      </c>
      <c r="D263" s="425">
        <v>5</v>
      </c>
      <c r="E263" s="729" t="s">
        <v>2979</v>
      </c>
      <c r="F263" s="729"/>
    </row>
    <row r="264" spans="1:10">
      <c r="A264" s="226" t="s">
        <v>2980</v>
      </c>
      <c r="B264" s="289" t="s">
        <v>2981</v>
      </c>
      <c r="C264" s="424">
        <v>0.5</v>
      </c>
      <c r="D264" s="425">
        <v>5</v>
      </c>
      <c r="E264" s="729"/>
      <c r="F264" s="729"/>
    </row>
    <row r="265" spans="1:10">
      <c r="A265" s="426" t="s">
        <v>2982</v>
      </c>
      <c r="B265" s="426"/>
      <c r="C265" s="426"/>
      <c r="D265" s="427"/>
      <c r="E265" s="427"/>
      <c r="F265" s="427"/>
      <c r="G265" s="428"/>
      <c r="H265" s="428"/>
      <c r="I265" s="428"/>
      <c r="J265" s="428"/>
    </row>
    <row r="266" spans="1:10">
      <c r="A266" s="381"/>
      <c r="B266" s="381"/>
      <c r="C266" s="381"/>
      <c r="D266" s="381"/>
      <c r="E266" s="381"/>
      <c r="F266" s="381"/>
      <c r="G266" s="381"/>
      <c r="H266" s="381"/>
      <c r="I266" s="381"/>
      <c r="J266" s="381"/>
    </row>
    <row r="267" spans="1:10" ht="24.95">
      <c r="A267" s="391" t="s">
        <v>2949</v>
      </c>
      <c r="B267" s="392"/>
      <c r="C267" s="728" t="s">
        <v>2769</v>
      </c>
      <c r="D267" s="728"/>
      <c r="E267" s="728"/>
      <c r="F267" s="728"/>
    </row>
    <row r="268" spans="1:10" ht="56.1">
      <c r="A268" s="350" t="s">
        <v>228</v>
      </c>
      <c r="B268" s="354" t="s">
        <v>2622</v>
      </c>
      <c r="C268" s="350" t="s">
        <v>2746</v>
      </c>
      <c r="D268" s="350" t="s">
        <v>2624</v>
      </c>
      <c r="E268" s="725" t="s">
        <v>2950</v>
      </c>
      <c r="F268" s="725"/>
    </row>
    <row r="269" spans="1:10">
      <c r="A269" s="226" t="s">
        <v>2983</v>
      </c>
      <c r="B269" s="289" t="s">
        <v>2952</v>
      </c>
      <c r="C269" s="424">
        <v>0.5</v>
      </c>
      <c r="D269" s="425">
        <v>4</v>
      </c>
      <c r="E269" s="729" t="s">
        <v>2984</v>
      </c>
      <c r="F269" s="729"/>
    </row>
    <row r="270" spans="1:10">
      <c r="A270" s="226" t="s">
        <v>2985</v>
      </c>
      <c r="B270" s="289" t="s">
        <v>2952</v>
      </c>
      <c r="C270" s="424">
        <v>0.5</v>
      </c>
      <c r="D270" s="425">
        <v>4</v>
      </c>
      <c r="E270" s="729" t="s">
        <v>2986</v>
      </c>
      <c r="F270" s="729"/>
    </row>
    <row r="271" spans="1:10">
      <c r="A271" s="226" t="s">
        <v>2987</v>
      </c>
      <c r="B271" s="289" t="s">
        <v>2952</v>
      </c>
      <c r="C271" s="424">
        <v>0.5</v>
      </c>
      <c r="D271" s="425">
        <v>4</v>
      </c>
      <c r="E271" s="729" t="s">
        <v>2988</v>
      </c>
      <c r="F271" s="729"/>
    </row>
    <row r="272" spans="1:10">
      <c r="A272" s="226" t="s">
        <v>2989</v>
      </c>
      <c r="B272" s="289" t="s">
        <v>2959</v>
      </c>
      <c r="C272" s="424">
        <v>0.5</v>
      </c>
      <c r="D272" s="425">
        <v>4</v>
      </c>
      <c r="E272" s="729" t="s">
        <v>2990</v>
      </c>
      <c r="F272" s="729"/>
    </row>
    <row r="273" spans="1:10">
      <c r="A273" s="226" t="s">
        <v>2991</v>
      </c>
      <c r="B273" s="289" t="s">
        <v>2959</v>
      </c>
      <c r="C273" s="424">
        <v>0.5</v>
      </c>
      <c r="D273" s="425">
        <v>4</v>
      </c>
      <c r="E273" s="729" t="s">
        <v>2992</v>
      </c>
      <c r="F273" s="729"/>
    </row>
    <row r="274" spans="1:10">
      <c r="A274" s="226" t="s">
        <v>2993</v>
      </c>
      <c r="B274" s="289" t="s">
        <v>2959</v>
      </c>
      <c r="C274" s="424">
        <v>0.5</v>
      </c>
      <c r="D274" s="425">
        <v>4</v>
      </c>
      <c r="E274" s="729" t="s">
        <v>2994</v>
      </c>
      <c r="F274" s="729"/>
    </row>
    <row r="275" spans="1:10">
      <c r="A275" s="226" t="s">
        <v>2995</v>
      </c>
      <c r="B275" s="289" t="s">
        <v>2959</v>
      </c>
      <c r="C275" s="424">
        <v>0.5</v>
      </c>
      <c r="D275" s="425">
        <v>4</v>
      </c>
      <c r="E275" s="729" t="s">
        <v>2996</v>
      </c>
      <c r="F275" s="729"/>
    </row>
    <row r="276" spans="1:10">
      <c r="A276" s="226" t="s">
        <v>2997</v>
      </c>
      <c r="B276" s="289" t="s">
        <v>2972</v>
      </c>
      <c r="C276" s="424">
        <v>0.5</v>
      </c>
      <c r="D276" s="425"/>
      <c r="E276" s="729" t="s">
        <v>2998</v>
      </c>
      <c r="F276" s="729"/>
    </row>
    <row r="277" spans="1:10">
      <c r="A277" s="226" t="s">
        <v>2999</v>
      </c>
      <c r="B277" s="289" t="s">
        <v>2975</v>
      </c>
      <c r="C277" s="424">
        <v>0.5</v>
      </c>
      <c r="D277" s="425">
        <v>2</v>
      </c>
      <c r="E277" s="729" t="s">
        <v>2976</v>
      </c>
      <c r="F277" s="729"/>
    </row>
    <row r="278" spans="1:10">
      <c r="A278" s="226" t="s">
        <v>3000</v>
      </c>
      <c r="B278" s="289" t="s">
        <v>2981</v>
      </c>
      <c r="C278" s="424">
        <v>0.5</v>
      </c>
      <c r="D278" s="425">
        <v>4</v>
      </c>
      <c r="E278" s="729"/>
      <c r="F278" s="729"/>
    </row>
    <row r="279" spans="1:10">
      <c r="A279" s="426" t="s">
        <v>2982</v>
      </c>
      <c r="B279" s="426"/>
      <c r="C279" s="426"/>
      <c r="D279" s="427"/>
      <c r="E279" s="427"/>
      <c r="F279" s="427"/>
      <c r="G279" s="428"/>
      <c r="H279" s="428"/>
      <c r="I279" s="428"/>
      <c r="J279" s="428"/>
    </row>
    <row r="280" spans="1:10">
      <c r="A280" s="426"/>
      <c r="B280" s="426"/>
      <c r="C280" s="426"/>
      <c r="D280" s="427"/>
      <c r="E280" s="427"/>
      <c r="F280" s="427"/>
      <c r="G280" s="428"/>
      <c r="H280" s="428"/>
      <c r="I280" s="428"/>
      <c r="J280" s="428"/>
    </row>
    <row r="281" spans="1:10">
      <c r="A281" s="426"/>
      <c r="B281" s="426"/>
      <c r="C281" s="426"/>
      <c r="D281" s="427"/>
      <c r="E281" s="427"/>
      <c r="F281" s="427"/>
      <c r="G281" s="428"/>
      <c r="H281" s="428"/>
      <c r="I281" s="428"/>
      <c r="J281" s="428"/>
    </row>
    <row r="282" spans="1:10" ht="24.95">
      <c r="A282" s="391" t="s">
        <v>3001</v>
      </c>
      <c r="B282" s="392"/>
      <c r="C282" s="728" t="s">
        <v>2769</v>
      </c>
      <c r="D282" s="728"/>
      <c r="E282" s="728"/>
      <c r="F282" s="728"/>
    </row>
    <row r="283" spans="1:10" ht="56.1">
      <c r="A283" s="350" t="s">
        <v>228</v>
      </c>
      <c r="B283" s="354" t="s">
        <v>2622</v>
      </c>
      <c r="C283" s="350" t="s">
        <v>2746</v>
      </c>
      <c r="D283" s="350" t="s">
        <v>2624</v>
      </c>
      <c r="E283" s="725" t="s">
        <v>2950</v>
      </c>
      <c r="F283" s="725"/>
    </row>
    <row r="284" spans="1:10">
      <c r="A284" s="226" t="s">
        <v>3002</v>
      </c>
      <c r="B284" s="289" t="s">
        <v>2978</v>
      </c>
      <c r="C284" s="429">
        <v>0.5</v>
      </c>
      <c r="D284" s="430">
        <v>4</v>
      </c>
      <c r="E284" s="730" t="s">
        <v>3003</v>
      </c>
      <c r="F284" s="730"/>
    </row>
    <row r="285" spans="1:10">
      <c r="A285" s="226" t="s">
        <v>3004</v>
      </c>
      <c r="B285" s="289" t="s">
        <v>2978</v>
      </c>
      <c r="C285" s="429">
        <v>0.5</v>
      </c>
      <c r="D285" s="430">
        <v>4</v>
      </c>
      <c r="E285" s="730" t="s">
        <v>3005</v>
      </c>
      <c r="F285" s="730"/>
    </row>
    <row r="286" spans="1:10">
      <c r="A286" s="426" t="s">
        <v>2982</v>
      </c>
      <c r="B286" s="426"/>
      <c r="C286" s="426"/>
      <c r="D286" s="427"/>
      <c r="E286" s="427"/>
      <c r="F286" s="427"/>
      <c r="G286" s="428"/>
      <c r="H286" s="428"/>
      <c r="I286" s="428"/>
      <c r="J286" s="428"/>
    </row>
    <row r="287" spans="1:10">
      <c r="A287" s="426"/>
      <c r="B287" s="426"/>
      <c r="C287" s="426"/>
      <c r="D287" s="427"/>
      <c r="E287" s="427"/>
      <c r="F287" s="427"/>
      <c r="G287" s="428"/>
      <c r="H287" s="428"/>
      <c r="I287" s="428"/>
      <c r="J287" s="428"/>
    </row>
    <row r="288" spans="1:10" ht="24.95">
      <c r="A288" s="391" t="s">
        <v>3001</v>
      </c>
      <c r="B288" s="392"/>
      <c r="C288" s="728" t="s">
        <v>3006</v>
      </c>
      <c r="D288" s="728"/>
      <c r="E288" s="728"/>
      <c r="F288" s="728"/>
    </row>
    <row r="289" spans="1:10" ht="56.1">
      <c r="A289" s="350" t="s">
        <v>228</v>
      </c>
      <c r="B289" s="354" t="s">
        <v>2622</v>
      </c>
      <c r="C289" s="350" t="s">
        <v>2746</v>
      </c>
      <c r="D289" s="350" t="s">
        <v>2624</v>
      </c>
      <c r="E289" s="725" t="s">
        <v>2950</v>
      </c>
      <c r="F289" s="725"/>
    </row>
    <row r="290" spans="1:10">
      <c r="A290" s="226" t="s">
        <v>3007</v>
      </c>
      <c r="B290" s="289" t="s">
        <v>2978</v>
      </c>
      <c r="C290" s="424">
        <v>0.5</v>
      </c>
      <c r="D290" s="425">
        <v>4</v>
      </c>
      <c r="E290" s="736" t="s">
        <v>3003</v>
      </c>
      <c r="F290" s="737"/>
    </row>
    <row r="291" spans="1:10">
      <c r="A291" s="226" t="s">
        <v>3008</v>
      </c>
      <c r="B291" s="289" t="s">
        <v>2978</v>
      </c>
      <c r="C291" s="424">
        <v>0.5</v>
      </c>
      <c r="D291" s="425">
        <v>4</v>
      </c>
      <c r="E291" s="736" t="s">
        <v>3005</v>
      </c>
      <c r="F291" s="737"/>
    </row>
    <row r="292" spans="1:10">
      <c r="A292" s="426" t="s">
        <v>2982</v>
      </c>
      <c r="B292" s="426"/>
      <c r="C292" s="426"/>
      <c r="D292" s="427"/>
      <c r="E292" s="427"/>
      <c r="F292" s="427"/>
      <c r="G292" s="428"/>
      <c r="H292" s="428"/>
      <c r="I292" s="428"/>
      <c r="J292" s="428"/>
    </row>
    <row r="293" spans="1:10">
      <c r="A293" s="426"/>
      <c r="B293" s="426"/>
      <c r="C293" s="426"/>
      <c r="D293" s="427"/>
      <c r="E293" s="427"/>
      <c r="F293" s="427"/>
      <c r="G293" s="428"/>
      <c r="H293" s="428"/>
      <c r="I293" s="428"/>
      <c r="J293" s="428"/>
    </row>
    <row r="294" spans="1:10">
      <c r="A294" s="426"/>
      <c r="B294" s="426"/>
      <c r="C294" s="426"/>
      <c r="D294" s="427"/>
      <c r="E294" s="427"/>
      <c r="F294" s="427"/>
      <c r="G294" s="428"/>
      <c r="H294" s="428"/>
      <c r="I294" s="428"/>
      <c r="J294" s="428"/>
    </row>
    <row r="295" spans="1:10">
      <c r="A295" s="426"/>
      <c r="B295" s="426"/>
      <c r="C295" s="426"/>
      <c r="D295" s="427"/>
      <c r="E295" s="427"/>
      <c r="F295" s="427"/>
      <c r="G295" s="428"/>
      <c r="H295" s="428"/>
      <c r="I295" s="428"/>
      <c r="J295" s="428"/>
    </row>
    <row r="296" spans="1:10">
      <c r="A296" s="381"/>
      <c r="B296" s="381"/>
      <c r="C296" s="381"/>
      <c r="D296" s="371"/>
      <c r="E296" s="371"/>
      <c r="F296" s="371"/>
      <c r="G296" s="381"/>
      <c r="H296" s="381"/>
      <c r="I296" s="381"/>
      <c r="J296" s="381"/>
    </row>
    <row r="297" spans="1:10" ht="24.6" customHeight="1">
      <c r="A297" s="726" t="s">
        <v>3009</v>
      </c>
      <c r="B297" s="727"/>
      <c r="C297" s="728" t="s">
        <v>2881</v>
      </c>
      <c r="D297" s="728"/>
      <c r="E297" s="728"/>
      <c r="F297" s="728"/>
    </row>
    <row r="298" spans="1:10" ht="56.1">
      <c r="A298" s="350" t="s">
        <v>228</v>
      </c>
      <c r="B298" s="354" t="s">
        <v>2622</v>
      </c>
      <c r="C298" s="350" t="s">
        <v>2746</v>
      </c>
      <c r="D298" s="350" t="s">
        <v>2624</v>
      </c>
      <c r="E298" s="725" t="s">
        <v>2950</v>
      </c>
      <c r="F298" s="725"/>
    </row>
    <row r="299" spans="1:10">
      <c r="A299" s="226" t="s">
        <v>3010</v>
      </c>
      <c r="B299" s="385" t="s">
        <v>3011</v>
      </c>
      <c r="C299" s="424">
        <v>0.5</v>
      </c>
      <c r="D299" s="425">
        <v>5</v>
      </c>
      <c r="E299" s="729" t="s">
        <v>3012</v>
      </c>
      <c r="F299" s="729"/>
    </row>
    <row r="300" spans="1:10">
      <c r="A300" s="226" t="s">
        <v>3013</v>
      </c>
      <c r="B300" s="385" t="s">
        <v>3011</v>
      </c>
      <c r="C300" s="424">
        <v>0.5</v>
      </c>
      <c r="D300" s="425">
        <v>5</v>
      </c>
      <c r="E300" s="729" t="s">
        <v>3014</v>
      </c>
      <c r="F300" s="729"/>
    </row>
    <row r="301" spans="1:10">
      <c r="A301" s="226" t="s">
        <v>3015</v>
      </c>
      <c r="B301" s="385" t="s">
        <v>3016</v>
      </c>
      <c r="C301" s="424">
        <v>0.5</v>
      </c>
      <c r="D301" s="425">
        <v>5</v>
      </c>
      <c r="E301" s="729" t="s">
        <v>3017</v>
      </c>
      <c r="F301" s="729"/>
    </row>
    <row r="302" spans="1:10">
      <c r="A302" s="226" t="s">
        <v>3018</v>
      </c>
      <c r="B302" s="385" t="s">
        <v>3016</v>
      </c>
      <c r="C302" s="424">
        <v>0.5</v>
      </c>
      <c r="D302" s="425">
        <v>5</v>
      </c>
      <c r="E302" s="729" t="s">
        <v>3019</v>
      </c>
      <c r="F302" s="729"/>
    </row>
    <row r="303" spans="1:10">
      <c r="A303" s="226" t="s">
        <v>3020</v>
      </c>
      <c r="B303" s="385" t="s">
        <v>3021</v>
      </c>
      <c r="C303" s="424">
        <v>0.5</v>
      </c>
      <c r="D303" s="425">
        <v>5</v>
      </c>
      <c r="E303" s="729" t="s">
        <v>3022</v>
      </c>
      <c r="F303" s="729"/>
    </row>
    <row r="304" spans="1:10">
      <c r="A304" s="226" t="s">
        <v>3023</v>
      </c>
      <c r="B304" s="385" t="s">
        <v>3021</v>
      </c>
      <c r="C304" s="424">
        <v>0.5</v>
      </c>
      <c r="D304" s="425">
        <v>5</v>
      </c>
      <c r="E304" s="729" t="s">
        <v>3024</v>
      </c>
      <c r="F304" s="729"/>
    </row>
    <row r="305" spans="1:10">
      <c r="A305" s="226" t="s">
        <v>3025</v>
      </c>
      <c r="B305" s="385" t="s">
        <v>3026</v>
      </c>
      <c r="C305" s="424">
        <v>0.5</v>
      </c>
      <c r="D305" s="425">
        <v>5</v>
      </c>
      <c r="E305" s="729" t="s">
        <v>3017</v>
      </c>
      <c r="F305" s="729"/>
    </row>
    <row r="306" spans="1:10">
      <c r="A306" s="226" t="s">
        <v>3027</v>
      </c>
      <c r="B306" s="397" t="s">
        <v>3028</v>
      </c>
      <c r="C306" s="424">
        <v>0.5</v>
      </c>
      <c r="D306" s="425">
        <v>5</v>
      </c>
      <c r="E306" s="729" t="s">
        <v>3029</v>
      </c>
      <c r="F306" s="729"/>
    </row>
    <row r="307" spans="1:10">
      <c r="A307" s="226" t="s">
        <v>3030</v>
      </c>
      <c r="B307" s="397" t="s">
        <v>2975</v>
      </c>
      <c r="C307" s="424">
        <v>0.5</v>
      </c>
      <c r="D307" s="425">
        <v>5</v>
      </c>
      <c r="E307" s="729" t="s">
        <v>3031</v>
      </c>
      <c r="F307" s="729"/>
    </row>
    <row r="308" spans="1:10">
      <c r="A308" s="226" t="s">
        <v>3027</v>
      </c>
      <c r="B308" s="397" t="s">
        <v>3032</v>
      </c>
      <c r="C308" s="424">
        <v>0.5</v>
      </c>
      <c r="D308" s="425">
        <v>5</v>
      </c>
      <c r="E308" s="729" t="s">
        <v>3033</v>
      </c>
      <c r="F308" s="729"/>
    </row>
    <row r="309" spans="1:10">
      <c r="A309" s="226" t="s">
        <v>3034</v>
      </c>
      <c r="B309" s="397" t="s">
        <v>2981</v>
      </c>
      <c r="C309" s="424">
        <v>0.5</v>
      </c>
      <c r="D309" s="425">
        <v>6</v>
      </c>
      <c r="E309" s="729"/>
      <c r="F309" s="729"/>
    </row>
    <row r="310" spans="1:10">
      <c r="A310" s="426" t="s">
        <v>2982</v>
      </c>
      <c r="B310" s="426"/>
      <c r="C310" s="426"/>
      <c r="D310" s="427"/>
      <c r="E310" s="427"/>
      <c r="F310" s="427"/>
      <c r="G310" s="428"/>
      <c r="H310" s="428"/>
      <c r="I310" s="428"/>
      <c r="J310" s="428"/>
    </row>
    <row r="311" spans="1:10">
      <c r="A311" s="381"/>
      <c r="B311" s="381"/>
      <c r="C311" s="381"/>
      <c r="D311" s="381"/>
      <c r="E311" s="381"/>
      <c r="F311" s="381"/>
      <c r="G311" s="381"/>
      <c r="H311" s="381"/>
      <c r="I311" s="381"/>
      <c r="J311" s="381"/>
    </row>
    <row r="312" spans="1:10" ht="24.6" customHeight="1">
      <c r="A312" s="726" t="s">
        <v>3009</v>
      </c>
      <c r="B312" s="727"/>
      <c r="C312" s="731" t="s">
        <v>3035</v>
      </c>
      <c r="D312" s="732"/>
      <c r="E312" s="732"/>
      <c r="F312" s="733"/>
    </row>
    <row r="313" spans="1:10" ht="56.1">
      <c r="A313" s="350" t="s">
        <v>228</v>
      </c>
      <c r="B313" s="414" t="s">
        <v>2622</v>
      </c>
      <c r="C313" s="350" t="s">
        <v>2746</v>
      </c>
      <c r="D313" s="350" t="s">
        <v>2624</v>
      </c>
      <c r="E313" s="734" t="s">
        <v>2950</v>
      </c>
      <c r="F313" s="735"/>
    </row>
    <row r="314" spans="1:10">
      <c r="A314" s="226" t="s">
        <v>3010</v>
      </c>
      <c r="B314" s="431" t="s">
        <v>3011</v>
      </c>
      <c r="C314" s="424">
        <v>0.5</v>
      </c>
      <c r="D314" s="425">
        <v>10</v>
      </c>
      <c r="E314" s="729" t="s">
        <v>3036</v>
      </c>
      <c r="F314" s="729"/>
    </row>
    <row r="315" spans="1:10">
      <c r="A315" s="226" t="s">
        <v>3013</v>
      </c>
      <c r="B315" s="385" t="s">
        <v>3011</v>
      </c>
      <c r="C315" s="424">
        <v>0.5</v>
      </c>
      <c r="D315" s="425">
        <v>10</v>
      </c>
      <c r="E315" s="729" t="s">
        <v>3037</v>
      </c>
      <c r="F315" s="729"/>
    </row>
    <row r="316" spans="1:10">
      <c r="A316" s="226" t="s">
        <v>3015</v>
      </c>
      <c r="B316" s="385" t="s">
        <v>3011</v>
      </c>
      <c r="C316" s="424">
        <v>0.5</v>
      </c>
      <c r="D316" s="425">
        <v>10</v>
      </c>
      <c r="E316" s="729" t="s">
        <v>3038</v>
      </c>
      <c r="F316" s="729"/>
    </row>
    <row r="317" spans="1:10">
      <c r="A317" s="226" t="s">
        <v>3018</v>
      </c>
      <c r="B317" s="385" t="s">
        <v>3011</v>
      </c>
      <c r="C317" s="424">
        <v>0.5</v>
      </c>
      <c r="D317" s="425">
        <v>10</v>
      </c>
      <c r="E317" s="729" t="s">
        <v>3039</v>
      </c>
      <c r="F317" s="729"/>
    </row>
    <row r="318" spans="1:10">
      <c r="A318" s="226" t="s">
        <v>3020</v>
      </c>
      <c r="B318" s="397" t="s">
        <v>3011</v>
      </c>
      <c r="C318" s="424">
        <v>0.5</v>
      </c>
      <c r="D318" s="425">
        <v>1</v>
      </c>
      <c r="E318" s="729" t="s">
        <v>3040</v>
      </c>
      <c r="F318" s="729"/>
    </row>
    <row r="319" spans="1:10">
      <c r="A319" s="226" t="s">
        <v>3023</v>
      </c>
      <c r="B319" s="397" t="s">
        <v>3011</v>
      </c>
      <c r="C319" s="424">
        <v>0.5</v>
      </c>
      <c r="D319" s="425">
        <v>10</v>
      </c>
      <c r="E319" s="729" t="s">
        <v>3041</v>
      </c>
      <c r="F319" s="729"/>
    </row>
    <row r="320" spans="1:10">
      <c r="A320" s="226" t="s">
        <v>3025</v>
      </c>
      <c r="B320" s="431" t="s">
        <v>3011</v>
      </c>
      <c r="C320" s="424">
        <v>0.5</v>
      </c>
      <c r="D320" s="425">
        <v>10</v>
      </c>
      <c r="E320" s="729" t="s">
        <v>3042</v>
      </c>
      <c r="F320" s="729"/>
    </row>
    <row r="321" spans="1:6">
      <c r="A321" s="226" t="s">
        <v>3030</v>
      </c>
      <c r="B321" s="385" t="s">
        <v>3011</v>
      </c>
      <c r="C321" s="424">
        <v>0.5</v>
      </c>
      <c r="D321" s="425">
        <v>1</v>
      </c>
      <c r="E321" s="729" t="s">
        <v>3043</v>
      </c>
      <c r="F321" s="729"/>
    </row>
    <row r="322" spans="1:6">
      <c r="A322" s="226" t="s">
        <v>3027</v>
      </c>
      <c r="B322" s="385" t="s">
        <v>3011</v>
      </c>
      <c r="C322" s="424">
        <v>0.5</v>
      </c>
      <c r="D322" s="425">
        <v>10</v>
      </c>
      <c r="E322" s="729" t="s">
        <v>3044</v>
      </c>
      <c r="F322" s="729"/>
    </row>
    <row r="323" spans="1:6">
      <c r="A323" s="226" t="s">
        <v>3034</v>
      </c>
      <c r="B323" s="385" t="s">
        <v>3011</v>
      </c>
      <c r="C323" s="424">
        <v>0.5</v>
      </c>
      <c r="D323" s="425">
        <v>10</v>
      </c>
      <c r="E323" s="729" t="s">
        <v>3045</v>
      </c>
      <c r="F323" s="729"/>
    </row>
    <row r="324" spans="1:6">
      <c r="A324" s="226" t="s">
        <v>3046</v>
      </c>
      <c r="B324" s="397" t="s">
        <v>3011</v>
      </c>
      <c r="C324" s="424">
        <v>0.5</v>
      </c>
      <c r="D324" s="425">
        <v>10</v>
      </c>
      <c r="E324" s="729" t="s">
        <v>3047</v>
      </c>
      <c r="F324" s="729"/>
    </row>
    <row r="325" spans="1:6">
      <c r="A325" s="226" t="s">
        <v>3048</v>
      </c>
      <c r="B325" s="397" t="s">
        <v>3011</v>
      </c>
      <c r="C325" s="424">
        <v>0.5</v>
      </c>
      <c r="D325" s="425">
        <v>10</v>
      </c>
      <c r="E325" s="729" t="s">
        <v>3049</v>
      </c>
      <c r="F325" s="729"/>
    </row>
    <row r="326" spans="1:6">
      <c r="A326" s="226" t="s">
        <v>3050</v>
      </c>
      <c r="B326" s="431" t="s">
        <v>3051</v>
      </c>
      <c r="C326" s="424">
        <v>0.5</v>
      </c>
      <c r="D326" s="425">
        <v>10</v>
      </c>
      <c r="E326" s="729" t="s">
        <v>3052</v>
      </c>
      <c r="F326" s="729"/>
    </row>
    <row r="327" spans="1:6">
      <c r="A327" s="226" t="s">
        <v>3053</v>
      </c>
      <c r="B327" s="385" t="s">
        <v>3051</v>
      </c>
      <c r="C327" s="424">
        <v>0.5</v>
      </c>
      <c r="D327" s="425">
        <v>10</v>
      </c>
      <c r="E327" s="729" t="s">
        <v>3054</v>
      </c>
      <c r="F327" s="729"/>
    </row>
    <row r="328" spans="1:6">
      <c r="A328" s="226" t="s">
        <v>3055</v>
      </c>
      <c r="B328" s="385" t="s">
        <v>3056</v>
      </c>
      <c r="C328" s="424">
        <v>0.5</v>
      </c>
      <c r="D328" s="425">
        <v>10</v>
      </c>
      <c r="E328" s="729" t="s">
        <v>3057</v>
      </c>
      <c r="F328" s="729"/>
    </row>
    <row r="329" spans="1:6">
      <c r="A329" s="226" t="s">
        <v>3058</v>
      </c>
      <c r="B329" s="385" t="s">
        <v>3056</v>
      </c>
      <c r="C329" s="424">
        <v>0.5</v>
      </c>
      <c r="D329" s="425">
        <v>10</v>
      </c>
      <c r="E329" s="729" t="s">
        <v>3059</v>
      </c>
      <c r="F329" s="729"/>
    </row>
    <row r="330" spans="1:6">
      <c r="A330" s="226" t="s">
        <v>3060</v>
      </c>
      <c r="B330" s="397" t="s">
        <v>3056</v>
      </c>
      <c r="C330" s="424">
        <v>0.5</v>
      </c>
      <c r="D330" s="425">
        <v>1</v>
      </c>
      <c r="E330" s="729" t="s">
        <v>3043</v>
      </c>
      <c r="F330" s="729"/>
    </row>
    <row r="331" spans="1:6">
      <c r="A331" s="226" t="s">
        <v>3061</v>
      </c>
      <c r="B331" s="397" t="s">
        <v>3062</v>
      </c>
      <c r="C331" s="424">
        <v>0.5</v>
      </c>
      <c r="D331" s="425">
        <v>10</v>
      </c>
      <c r="E331" s="729" t="s">
        <v>3052</v>
      </c>
      <c r="F331" s="729"/>
    </row>
    <row r="332" spans="1:6">
      <c r="A332" s="226" t="s">
        <v>3063</v>
      </c>
      <c r="B332" s="431" t="s">
        <v>3062</v>
      </c>
      <c r="C332" s="424">
        <v>0.5</v>
      </c>
      <c r="D332" s="425">
        <v>10</v>
      </c>
      <c r="E332" s="729" t="s">
        <v>3054</v>
      </c>
      <c r="F332" s="729"/>
    </row>
    <row r="333" spans="1:6">
      <c r="A333" s="226" t="s">
        <v>3064</v>
      </c>
      <c r="B333" s="385" t="s">
        <v>3062</v>
      </c>
      <c r="C333" s="424">
        <v>0.5</v>
      </c>
      <c r="D333" s="425">
        <v>10</v>
      </c>
      <c r="E333" s="729" t="s">
        <v>3065</v>
      </c>
      <c r="F333" s="729"/>
    </row>
    <row r="334" spans="1:6">
      <c r="A334" s="226" t="s">
        <v>3066</v>
      </c>
      <c r="B334" s="385" t="s">
        <v>3062</v>
      </c>
      <c r="C334" s="424">
        <v>0.5</v>
      </c>
      <c r="D334" s="425">
        <v>1</v>
      </c>
      <c r="E334" s="729" t="s">
        <v>3067</v>
      </c>
      <c r="F334" s="729"/>
    </row>
    <row r="335" spans="1:6">
      <c r="A335" s="226" t="s">
        <v>3068</v>
      </c>
      <c r="B335" s="385" t="s">
        <v>3062</v>
      </c>
      <c r="C335" s="424">
        <v>0.5</v>
      </c>
      <c r="D335" s="425">
        <v>10</v>
      </c>
      <c r="E335" s="729" t="s">
        <v>3069</v>
      </c>
      <c r="F335" s="729"/>
    </row>
    <row r="336" spans="1:6">
      <c r="A336" s="226" t="s">
        <v>3070</v>
      </c>
      <c r="B336" s="397" t="s">
        <v>3062</v>
      </c>
      <c r="C336" s="424">
        <v>0.5</v>
      </c>
      <c r="D336" s="425">
        <v>10</v>
      </c>
      <c r="E336" s="729" t="s">
        <v>3071</v>
      </c>
      <c r="F336" s="729"/>
    </row>
    <row r="337" spans="1:10">
      <c r="A337" s="226" t="s">
        <v>3072</v>
      </c>
      <c r="B337" s="397" t="s">
        <v>3062</v>
      </c>
      <c r="C337" s="424">
        <v>0.5</v>
      </c>
      <c r="D337" s="425">
        <v>10</v>
      </c>
      <c r="E337" s="729" t="s">
        <v>3073</v>
      </c>
      <c r="F337" s="729"/>
    </row>
    <row r="338" spans="1:10">
      <c r="A338" s="226" t="s">
        <v>3074</v>
      </c>
      <c r="B338" s="385" t="s">
        <v>3062</v>
      </c>
      <c r="C338" s="424">
        <v>0.5</v>
      </c>
      <c r="D338" s="425">
        <v>10</v>
      </c>
      <c r="E338" s="729" t="s">
        <v>3075</v>
      </c>
      <c r="F338" s="729"/>
    </row>
    <row r="339" spans="1:10">
      <c r="A339" s="226" t="s">
        <v>3076</v>
      </c>
      <c r="B339" s="385" t="s">
        <v>2975</v>
      </c>
      <c r="C339" s="424">
        <v>0.5</v>
      </c>
      <c r="D339" s="425">
        <v>10</v>
      </c>
      <c r="E339" s="729" t="s">
        <v>3031</v>
      </c>
      <c r="F339" s="729"/>
    </row>
    <row r="340" spans="1:10">
      <c r="A340" s="226" t="s">
        <v>3077</v>
      </c>
      <c r="B340" s="397" t="s">
        <v>3078</v>
      </c>
      <c r="C340" s="424">
        <v>0.5</v>
      </c>
      <c r="D340" s="425">
        <v>10</v>
      </c>
      <c r="E340" s="729" t="s">
        <v>3079</v>
      </c>
      <c r="F340" s="729"/>
    </row>
    <row r="341" spans="1:10">
      <c r="A341" s="226" t="s">
        <v>3080</v>
      </c>
      <c r="B341" s="397" t="s">
        <v>2981</v>
      </c>
      <c r="C341" s="424">
        <v>0.5</v>
      </c>
      <c r="D341" s="425"/>
      <c r="E341" s="729"/>
      <c r="F341" s="729"/>
    </row>
    <row r="342" spans="1:10">
      <c r="A342" s="426" t="s">
        <v>2982</v>
      </c>
      <c r="B342" s="426"/>
      <c r="C342" s="426"/>
      <c r="D342" s="427"/>
      <c r="E342" s="427"/>
      <c r="F342" s="427"/>
      <c r="G342" s="428"/>
      <c r="H342" s="428"/>
      <c r="I342" s="428"/>
      <c r="J342" s="428"/>
    </row>
    <row r="343" spans="1:10">
      <c r="A343" s="381"/>
      <c r="B343" s="381"/>
      <c r="C343" s="381"/>
      <c r="D343" s="371"/>
      <c r="E343" s="371"/>
      <c r="F343" s="371"/>
      <c r="G343" s="381"/>
      <c r="H343" s="381"/>
      <c r="I343" s="381"/>
      <c r="J343" s="381"/>
    </row>
    <row r="344" spans="1:10" ht="24.6" customHeight="1">
      <c r="A344" s="726" t="s">
        <v>3081</v>
      </c>
      <c r="B344" s="727"/>
      <c r="C344" s="728" t="s">
        <v>2744</v>
      </c>
      <c r="D344" s="728"/>
      <c r="E344" s="728"/>
      <c r="F344" s="728"/>
    </row>
    <row r="345" spans="1:10" ht="56.1">
      <c r="A345" s="350" t="s">
        <v>228</v>
      </c>
      <c r="B345" s="354" t="s">
        <v>2622</v>
      </c>
      <c r="C345" s="350" t="s">
        <v>2746</v>
      </c>
      <c r="D345" s="350" t="s">
        <v>2624</v>
      </c>
      <c r="E345" s="725" t="s">
        <v>2950</v>
      </c>
      <c r="F345" s="725"/>
    </row>
    <row r="346" spans="1:10">
      <c r="A346" s="226" t="s">
        <v>3082</v>
      </c>
      <c r="B346" s="385" t="s">
        <v>3083</v>
      </c>
      <c r="C346" s="424">
        <v>0.5</v>
      </c>
      <c r="D346" s="425">
        <v>7</v>
      </c>
      <c r="E346" s="729" t="s">
        <v>3084</v>
      </c>
      <c r="F346" s="729"/>
    </row>
    <row r="347" spans="1:10">
      <c r="A347" s="226" t="s">
        <v>3085</v>
      </c>
      <c r="B347" s="385" t="s">
        <v>3086</v>
      </c>
      <c r="C347" s="424">
        <v>0.5</v>
      </c>
      <c r="D347" s="425">
        <v>7</v>
      </c>
      <c r="E347" s="729" t="s">
        <v>3087</v>
      </c>
      <c r="F347" s="729"/>
    </row>
    <row r="348" spans="1:10">
      <c r="A348" s="226" t="s">
        <v>3088</v>
      </c>
      <c r="B348" s="385" t="s">
        <v>3089</v>
      </c>
      <c r="C348" s="424">
        <v>0.5</v>
      </c>
      <c r="D348" s="425">
        <v>7</v>
      </c>
      <c r="E348" s="729" t="s">
        <v>3090</v>
      </c>
      <c r="F348" s="729"/>
    </row>
    <row r="349" spans="1:10">
      <c r="A349" s="226" t="s">
        <v>3091</v>
      </c>
      <c r="B349" s="385" t="s">
        <v>3092</v>
      </c>
      <c r="C349" s="424">
        <v>0.5</v>
      </c>
      <c r="D349" s="425">
        <v>7</v>
      </c>
      <c r="E349" s="730" t="s">
        <v>3093</v>
      </c>
      <c r="F349" s="729"/>
    </row>
    <row r="350" spans="1:10">
      <c r="A350" s="226" t="s">
        <v>3094</v>
      </c>
      <c r="B350" s="289" t="s">
        <v>3092</v>
      </c>
      <c r="C350" s="424">
        <v>0.5</v>
      </c>
      <c r="D350" s="425">
        <v>7</v>
      </c>
      <c r="E350" s="730" t="s">
        <v>3095</v>
      </c>
      <c r="F350" s="729"/>
    </row>
    <row r="351" spans="1:10">
      <c r="A351" s="226" t="s">
        <v>3096</v>
      </c>
      <c r="B351" s="385" t="s">
        <v>3092</v>
      </c>
      <c r="C351" s="424">
        <v>0.5</v>
      </c>
      <c r="D351" s="425">
        <v>7</v>
      </c>
      <c r="E351" s="730" t="s">
        <v>3097</v>
      </c>
      <c r="F351" s="729"/>
    </row>
    <row r="352" spans="1:10">
      <c r="A352" s="226" t="s">
        <v>3098</v>
      </c>
      <c r="B352" s="289" t="s">
        <v>2975</v>
      </c>
      <c r="C352" s="424">
        <v>0.5</v>
      </c>
      <c r="D352" s="425">
        <v>7</v>
      </c>
      <c r="E352" s="730" t="s">
        <v>3099</v>
      </c>
      <c r="F352" s="729"/>
    </row>
    <row r="353" spans="1:10">
      <c r="A353" s="226" t="s">
        <v>3100</v>
      </c>
      <c r="B353" s="385" t="s">
        <v>2981</v>
      </c>
      <c r="C353" s="424">
        <v>0.5</v>
      </c>
      <c r="D353" s="425">
        <v>7</v>
      </c>
      <c r="E353" s="729"/>
      <c r="F353" s="729"/>
    </row>
    <row r="354" spans="1:10">
      <c r="A354" s="426" t="s">
        <v>2982</v>
      </c>
      <c r="B354" s="426"/>
      <c r="C354" s="426"/>
      <c r="D354" s="427"/>
      <c r="E354" s="427"/>
      <c r="F354" s="427"/>
      <c r="G354" s="428"/>
      <c r="H354" s="428"/>
      <c r="I354" s="428"/>
      <c r="J354" s="428"/>
    </row>
    <row r="355" spans="1:10">
      <c r="A355" s="381"/>
      <c r="B355" s="381"/>
      <c r="C355" s="381"/>
      <c r="D355" s="381"/>
      <c r="E355" s="381"/>
      <c r="F355" s="381"/>
      <c r="G355" s="381"/>
      <c r="H355" s="381"/>
      <c r="I355" s="381"/>
      <c r="J355" s="381"/>
    </row>
    <row r="356" spans="1:10" ht="24.6" customHeight="1">
      <c r="A356" s="726" t="s">
        <v>3101</v>
      </c>
      <c r="B356" s="727"/>
      <c r="C356" s="728" t="s">
        <v>3102</v>
      </c>
      <c r="D356" s="728"/>
      <c r="E356" s="728"/>
      <c r="F356" s="728"/>
    </row>
    <row r="357" spans="1:10" ht="56.1">
      <c r="A357" s="350" t="s">
        <v>228</v>
      </c>
      <c r="B357" s="354" t="s">
        <v>2622</v>
      </c>
      <c r="C357" s="350" t="s">
        <v>2746</v>
      </c>
      <c r="D357" s="350" t="s">
        <v>2624</v>
      </c>
      <c r="E357" s="725" t="s">
        <v>2950</v>
      </c>
      <c r="F357" s="725"/>
    </row>
    <row r="358" spans="1:10">
      <c r="A358" s="226" t="s">
        <v>3103</v>
      </c>
      <c r="B358" s="385" t="s">
        <v>3104</v>
      </c>
      <c r="C358" s="424">
        <v>0.5</v>
      </c>
      <c r="D358" s="425">
        <v>5</v>
      </c>
      <c r="E358" s="729" t="s">
        <v>3105</v>
      </c>
      <c r="F358" s="729"/>
    </row>
    <row r="359" spans="1:10">
      <c r="A359" s="226" t="s">
        <v>3106</v>
      </c>
      <c r="B359" s="289" t="s">
        <v>3107</v>
      </c>
      <c r="C359" s="424">
        <v>0.5</v>
      </c>
      <c r="D359" s="425">
        <v>5</v>
      </c>
      <c r="E359" s="729" t="s">
        <v>3108</v>
      </c>
      <c r="F359" s="729" t="s">
        <v>3108</v>
      </c>
    </row>
    <row r="360" spans="1:10">
      <c r="A360" s="226" t="s">
        <v>3109</v>
      </c>
      <c r="B360" s="385" t="s">
        <v>3110</v>
      </c>
      <c r="C360" s="424">
        <v>0.5</v>
      </c>
      <c r="D360" s="425">
        <v>5</v>
      </c>
      <c r="E360" s="729" t="s">
        <v>3111</v>
      </c>
      <c r="F360" s="729" t="s">
        <v>3111</v>
      </c>
    </row>
    <row r="361" spans="1:10">
      <c r="A361" s="226" t="s">
        <v>3112</v>
      </c>
      <c r="B361" s="385" t="s">
        <v>3104</v>
      </c>
      <c r="C361" s="424">
        <v>0.5</v>
      </c>
      <c r="D361" s="425">
        <v>0</v>
      </c>
      <c r="E361" s="729" t="s">
        <v>3113</v>
      </c>
      <c r="F361" s="729" t="s">
        <v>3113</v>
      </c>
    </row>
    <row r="362" spans="1:10">
      <c r="A362" s="226" t="s">
        <v>3114</v>
      </c>
      <c r="B362" s="289" t="s">
        <v>3115</v>
      </c>
      <c r="C362" s="424">
        <v>0.5</v>
      </c>
      <c r="D362" s="425">
        <v>5</v>
      </c>
      <c r="E362" s="729" t="s">
        <v>3116</v>
      </c>
      <c r="F362" s="729" t="s">
        <v>3116</v>
      </c>
    </row>
    <row r="363" spans="1:10">
      <c r="A363" s="226" t="s">
        <v>3117</v>
      </c>
      <c r="B363" s="385" t="s">
        <v>3118</v>
      </c>
      <c r="C363" s="424">
        <v>0.5</v>
      </c>
      <c r="D363" s="425">
        <v>5</v>
      </c>
      <c r="E363" s="729" t="s">
        <v>3119</v>
      </c>
      <c r="F363" s="729" t="s">
        <v>3119</v>
      </c>
    </row>
    <row r="364" spans="1:10">
      <c r="A364" s="226" t="s">
        <v>3120</v>
      </c>
      <c r="B364" s="289" t="s">
        <v>2975</v>
      </c>
      <c r="C364" s="424">
        <v>0.5</v>
      </c>
      <c r="D364" s="425">
        <v>5</v>
      </c>
      <c r="E364" s="729" t="s">
        <v>3121</v>
      </c>
      <c r="F364" s="729" t="s">
        <v>3121</v>
      </c>
    </row>
    <row r="365" spans="1:10">
      <c r="A365" s="226" t="s">
        <v>3122</v>
      </c>
      <c r="B365" s="385" t="s">
        <v>2981</v>
      </c>
      <c r="C365" s="424">
        <v>0.5</v>
      </c>
      <c r="D365" s="425">
        <v>5</v>
      </c>
      <c r="E365" s="729" t="s">
        <v>3123</v>
      </c>
      <c r="F365" s="729" t="s">
        <v>3123</v>
      </c>
    </row>
    <row r="366" spans="1:10">
      <c r="A366" s="426" t="s">
        <v>2982</v>
      </c>
      <c r="B366" s="412"/>
      <c r="C366" s="412"/>
      <c r="D366" s="371"/>
      <c r="E366" s="371"/>
      <c r="F366" s="371"/>
      <c r="G366" s="381"/>
      <c r="H366" s="381"/>
      <c r="I366" s="381"/>
      <c r="J366" s="381"/>
    </row>
    <row r="367" spans="1:10">
      <c r="A367" s="412"/>
      <c r="B367" s="412"/>
      <c r="C367" s="412"/>
      <c r="D367" s="371"/>
      <c r="E367" s="371"/>
      <c r="F367" s="371"/>
      <c r="G367" s="381"/>
      <c r="H367" s="381"/>
      <c r="I367" s="381"/>
      <c r="J367" s="381"/>
    </row>
    <row r="368" spans="1:10" ht="24.6" customHeight="1">
      <c r="A368" s="726" t="s">
        <v>3101</v>
      </c>
      <c r="B368" s="727"/>
      <c r="C368" s="728" t="s">
        <v>3124</v>
      </c>
      <c r="D368" s="728"/>
      <c r="E368" s="728"/>
      <c r="F368" s="728"/>
    </row>
    <row r="369" spans="1:10" ht="56.1">
      <c r="A369" s="350" t="s">
        <v>228</v>
      </c>
      <c r="B369" s="354" t="s">
        <v>2622</v>
      </c>
      <c r="C369" s="350" t="s">
        <v>2746</v>
      </c>
      <c r="D369" s="350" t="s">
        <v>2624</v>
      </c>
      <c r="E369" s="725" t="s">
        <v>2950</v>
      </c>
      <c r="F369" s="725"/>
    </row>
    <row r="370" spans="1:10">
      <c r="A370" s="226" t="s">
        <v>3103</v>
      </c>
      <c r="B370" s="385" t="s">
        <v>3125</v>
      </c>
      <c r="C370" s="424">
        <v>0.5</v>
      </c>
      <c r="D370" s="425">
        <v>8</v>
      </c>
      <c r="E370" s="729" t="s">
        <v>3126</v>
      </c>
      <c r="F370" s="729"/>
    </row>
    <row r="371" spans="1:10">
      <c r="A371" s="226" t="s">
        <v>3106</v>
      </c>
      <c r="B371" s="289" t="s">
        <v>3127</v>
      </c>
      <c r="C371" s="424">
        <v>0.5</v>
      </c>
      <c r="D371" s="425">
        <v>8</v>
      </c>
      <c r="E371" s="729" t="s">
        <v>3128</v>
      </c>
      <c r="F371" s="729" t="s">
        <v>3128</v>
      </c>
    </row>
    <row r="372" spans="1:10">
      <c r="A372" s="226" t="s">
        <v>3109</v>
      </c>
      <c r="B372" s="385" t="s">
        <v>3129</v>
      </c>
      <c r="C372" s="424">
        <v>0.5</v>
      </c>
      <c r="D372" s="425">
        <v>3</v>
      </c>
      <c r="E372" s="729" t="s">
        <v>3130</v>
      </c>
      <c r="F372" s="729" t="s">
        <v>3130</v>
      </c>
    </row>
    <row r="373" spans="1:10">
      <c r="A373" s="226" t="s">
        <v>3112</v>
      </c>
      <c r="B373" s="385" t="s">
        <v>3131</v>
      </c>
      <c r="C373" s="424">
        <v>0.5</v>
      </c>
      <c r="D373" s="425">
        <v>3</v>
      </c>
      <c r="E373" s="729" t="s">
        <v>3132</v>
      </c>
      <c r="F373" s="729" t="s">
        <v>3132</v>
      </c>
    </row>
    <row r="374" spans="1:10">
      <c r="A374" s="226" t="s">
        <v>3114</v>
      </c>
      <c r="B374" s="289" t="s">
        <v>2975</v>
      </c>
      <c r="C374" s="424">
        <v>0.5</v>
      </c>
      <c r="D374" s="425">
        <v>5</v>
      </c>
      <c r="E374" s="729" t="s">
        <v>3133</v>
      </c>
      <c r="F374" s="729" t="s">
        <v>3133</v>
      </c>
    </row>
    <row r="375" spans="1:10">
      <c r="A375" s="226" t="s">
        <v>3117</v>
      </c>
      <c r="B375" s="385" t="s">
        <v>3134</v>
      </c>
      <c r="C375" s="424">
        <v>0.5</v>
      </c>
      <c r="D375" s="425">
        <v>5</v>
      </c>
      <c r="E375" s="729" t="s">
        <v>3135</v>
      </c>
      <c r="F375" s="729" t="s">
        <v>3135</v>
      </c>
    </row>
    <row r="376" spans="1:10">
      <c r="A376" s="426" t="s">
        <v>2982</v>
      </c>
      <c r="B376" s="412"/>
      <c r="C376" s="412"/>
      <c r="D376" s="371"/>
      <c r="E376" s="371"/>
      <c r="F376" s="371"/>
      <c r="G376" s="381"/>
      <c r="H376" s="381"/>
      <c r="I376" s="381"/>
      <c r="J376" s="381"/>
    </row>
    <row r="377" spans="1:10">
      <c r="A377" s="412"/>
      <c r="B377" s="412"/>
      <c r="C377" s="412"/>
      <c r="D377" s="371"/>
      <c r="E377" s="371"/>
      <c r="F377" s="371"/>
      <c r="G377" s="381"/>
      <c r="H377" s="381"/>
      <c r="I377" s="381"/>
      <c r="J377" s="381"/>
    </row>
    <row r="378" spans="1:10" ht="24.6" customHeight="1">
      <c r="A378" s="726" t="s">
        <v>3136</v>
      </c>
      <c r="B378" s="727"/>
      <c r="C378" s="728" t="s">
        <v>3137</v>
      </c>
      <c r="D378" s="728"/>
      <c r="E378" s="728"/>
      <c r="F378" s="728"/>
    </row>
    <row r="379" spans="1:10" ht="56.1">
      <c r="A379" s="350" t="s">
        <v>228</v>
      </c>
      <c r="B379" s="354" t="s">
        <v>2622</v>
      </c>
      <c r="C379" s="350" t="s">
        <v>2746</v>
      </c>
      <c r="D379" s="350" t="s">
        <v>2624</v>
      </c>
      <c r="E379" s="725" t="s">
        <v>2950</v>
      </c>
      <c r="F379" s="725"/>
    </row>
    <row r="380" spans="1:10">
      <c r="A380" s="226"/>
      <c r="B380" s="385" t="s">
        <v>3138</v>
      </c>
      <c r="C380" s="424">
        <v>0.5</v>
      </c>
      <c r="D380" s="432">
        <v>6</v>
      </c>
      <c r="E380" s="724" t="s">
        <v>3139</v>
      </c>
      <c r="F380" s="724"/>
    </row>
    <row r="381" spans="1:10">
      <c r="A381" s="226"/>
      <c r="B381" s="289" t="s">
        <v>2975</v>
      </c>
      <c r="C381" s="424">
        <v>0.5</v>
      </c>
      <c r="D381" s="432">
        <v>6</v>
      </c>
      <c r="E381" s="724" t="s">
        <v>3140</v>
      </c>
      <c r="F381" s="724"/>
    </row>
    <row r="382" spans="1:10">
      <c r="A382" s="226"/>
      <c r="B382" s="385" t="s">
        <v>2981</v>
      </c>
      <c r="C382" s="424">
        <v>0.5</v>
      </c>
      <c r="D382" s="432">
        <v>6</v>
      </c>
      <c r="E382" s="724"/>
      <c r="F382" s="724"/>
    </row>
    <row r="383" spans="1:10">
      <c r="A383" s="426" t="s">
        <v>2982</v>
      </c>
      <c r="B383" s="412"/>
      <c r="C383" s="381"/>
      <c r="D383" s="381"/>
      <c r="E383" s="381"/>
      <c r="F383" s="381"/>
    </row>
    <row r="384" spans="1:10">
      <c r="A384" s="426"/>
      <c r="B384" s="412"/>
      <c r="C384" s="381"/>
      <c r="D384" s="381"/>
      <c r="E384" s="381"/>
      <c r="F384" s="381"/>
    </row>
    <row r="385" spans="1:6" ht="24.6" customHeight="1">
      <c r="A385" s="726" t="s">
        <v>3141</v>
      </c>
      <c r="B385" s="727"/>
      <c r="C385" s="728" t="s">
        <v>3142</v>
      </c>
      <c r="D385" s="728"/>
      <c r="E385" s="728"/>
      <c r="F385" s="728"/>
    </row>
    <row r="386" spans="1:6" ht="56.1">
      <c r="A386" s="350" t="s">
        <v>228</v>
      </c>
      <c r="B386" s="354" t="s">
        <v>2622</v>
      </c>
      <c r="C386" s="350" t="s">
        <v>2746</v>
      </c>
      <c r="D386" s="350" t="s">
        <v>2624</v>
      </c>
      <c r="E386" s="725" t="s">
        <v>2950</v>
      </c>
      <c r="F386" s="725"/>
    </row>
    <row r="387" spans="1:6">
      <c r="A387" s="226"/>
      <c r="B387" s="385" t="s">
        <v>3143</v>
      </c>
      <c r="C387" s="424">
        <v>0.5</v>
      </c>
      <c r="D387" s="432">
        <v>10</v>
      </c>
      <c r="E387" s="724" t="s">
        <v>3144</v>
      </c>
      <c r="F387" s="724"/>
    </row>
    <row r="388" spans="1:6">
      <c r="A388" s="226"/>
      <c r="B388" s="289" t="s">
        <v>2975</v>
      </c>
      <c r="C388" s="424">
        <v>0.5</v>
      </c>
      <c r="D388" s="432">
        <v>7</v>
      </c>
      <c r="E388" s="724" t="s">
        <v>3145</v>
      </c>
      <c r="F388" s="724"/>
    </row>
    <row r="389" spans="1:6">
      <c r="A389" s="226"/>
      <c r="B389" s="385" t="s">
        <v>2981</v>
      </c>
      <c r="C389" s="424">
        <v>0.5</v>
      </c>
      <c r="D389" s="432">
        <v>12</v>
      </c>
      <c r="E389" s="724"/>
      <c r="F389" s="724"/>
    </row>
    <row r="390" spans="1:6">
      <c r="A390" s="426" t="s">
        <v>2982</v>
      </c>
      <c r="B390" s="412"/>
      <c r="C390" s="381"/>
      <c r="D390" s="381"/>
      <c r="E390" s="381"/>
      <c r="F390" s="381"/>
    </row>
    <row r="391" spans="1:6">
      <c r="A391" s="426"/>
      <c r="B391" s="412"/>
      <c r="C391" s="381"/>
      <c r="D391" s="381"/>
      <c r="E391" s="381"/>
      <c r="F391" s="381"/>
    </row>
    <row r="392" spans="1:6" ht="24.6" customHeight="1">
      <c r="A392" s="726" t="s">
        <v>3146</v>
      </c>
      <c r="B392" s="727"/>
      <c r="C392" s="728" t="s">
        <v>3147</v>
      </c>
      <c r="D392" s="728"/>
      <c r="E392" s="728"/>
      <c r="F392" s="728"/>
    </row>
    <row r="393" spans="1:6" ht="56.1">
      <c r="A393" s="350" t="s">
        <v>228</v>
      </c>
      <c r="B393" s="350" t="s">
        <v>2622</v>
      </c>
      <c r="C393" s="350" t="s">
        <v>3148</v>
      </c>
      <c r="D393" s="350" t="s">
        <v>2624</v>
      </c>
      <c r="E393" s="350" t="s">
        <v>2625</v>
      </c>
      <c r="F393" s="350"/>
    </row>
    <row r="394" spans="1:6">
      <c r="A394" s="226"/>
      <c r="B394" s="226" t="s">
        <v>3149</v>
      </c>
      <c r="C394" s="424">
        <v>0.5</v>
      </c>
      <c r="D394" s="432">
        <v>8</v>
      </c>
      <c r="E394" s="724" t="s">
        <v>3150</v>
      </c>
      <c r="F394" s="724"/>
    </row>
    <row r="395" spans="1:6">
      <c r="A395" s="226"/>
      <c r="B395" s="226" t="s">
        <v>3151</v>
      </c>
      <c r="C395" s="424">
        <v>0.5</v>
      </c>
      <c r="D395" s="432">
        <v>10</v>
      </c>
      <c r="E395" s="724" t="s">
        <v>3152</v>
      </c>
      <c r="F395" s="724"/>
    </row>
    <row r="396" spans="1:6">
      <c r="A396" s="226"/>
      <c r="B396" s="226" t="s">
        <v>3153</v>
      </c>
      <c r="C396" s="424">
        <v>0.5</v>
      </c>
      <c r="D396" s="432">
        <v>8</v>
      </c>
      <c r="E396" s="724" t="s">
        <v>3154</v>
      </c>
      <c r="F396" s="724"/>
    </row>
  </sheetData>
  <mergeCells count="185">
    <mergeCell ref="E76:F76"/>
    <mergeCell ref="E77:F77"/>
    <mergeCell ref="E78:F78"/>
    <mergeCell ref="E79:F79"/>
    <mergeCell ref="E80:F80"/>
    <mergeCell ref="E81:F81"/>
    <mergeCell ref="A1:C1"/>
    <mergeCell ref="A41:C41"/>
    <mergeCell ref="A51:C51"/>
    <mergeCell ref="A58:D58"/>
    <mergeCell ref="E74:F74"/>
    <mergeCell ref="E75:F75"/>
    <mergeCell ref="E88:F88"/>
    <mergeCell ref="E89:F89"/>
    <mergeCell ref="E90:F90"/>
    <mergeCell ref="E91:F91"/>
    <mergeCell ref="E92:F92"/>
    <mergeCell ref="E93:F93"/>
    <mergeCell ref="E82:F82"/>
    <mergeCell ref="E83:F83"/>
    <mergeCell ref="E84:F84"/>
    <mergeCell ref="E85:F85"/>
    <mergeCell ref="E86:F86"/>
    <mergeCell ref="E87:F87"/>
    <mergeCell ref="E100:F100"/>
    <mergeCell ref="E101:F101"/>
    <mergeCell ref="E102:F102"/>
    <mergeCell ref="E103:F103"/>
    <mergeCell ref="E104:F104"/>
    <mergeCell ref="E105:F105"/>
    <mergeCell ref="E94:F94"/>
    <mergeCell ref="E95:F95"/>
    <mergeCell ref="E96:F96"/>
    <mergeCell ref="E97:F97"/>
    <mergeCell ref="E98:F98"/>
    <mergeCell ref="E99:F99"/>
    <mergeCell ref="E112:F112"/>
    <mergeCell ref="E113:F113"/>
    <mergeCell ref="E114:F114"/>
    <mergeCell ref="E115:F115"/>
    <mergeCell ref="E116:F116"/>
    <mergeCell ref="E117:F117"/>
    <mergeCell ref="E106:F106"/>
    <mergeCell ref="E107:F107"/>
    <mergeCell ref="E108:F108"/>
    <mergeCell ref="E109:F109"/>
    <mergeCell ref="E110:F110"/>
    <mergeCell ref="E111:F111"/>
    <mergeCell ref="A209:B209"/>
    <mergeCell ref="C209:E209"/>
    <mergeCell ref="C250:F250"/>
    <mergeCell ref="E251:F251"/>
    <mergeCell ref="E252:F252"/>
    <mergeCell ref="E253:F253"/>
    <mergeCell ref="C120:F120"/>
    <mergeCell ref="E121:F121"/>
    <mergeCell ref="E122:F122"/>
    <mergeCell ref="A131:B131"/>
    <mergeCell ref="C131:E131"/>
    <mergeCell ref="A145:B145"/>
    <mergeCell ref="C145:E145"/>
    <mergeCell ref="E260:F260"/>
    <mergeCell ref="E261:F261"/>
    <mergeCell ref="E262:F262"/>
    <mergeCell ref="E263:F263"/>
    <mergeCell ref="E264:F264"/>
    <mergeCell ref="C267:F267"/>
    <mergeCell ref="E254:F254"/>
    <mergeCell ref="E255:F255"/>
    <mergeCell ref="E256:F256"/>
    <mergeCell ref="E257:F257"/>
    <mergeCell ref="E258:F258"/>
    <mergeCell ref="E259:F259"/>
    <mergeCell ref="E274:F274"/>
    <mergeCell ref="E275:F275"/>
    <mergeCell ref="E276:F276"/>
    <mergeCell ref="E277:F277"/>
    <mergeCell ref="E278:F278"/>
    <mergeCell ref="C282:F282"/>
    <mergeCell ref="E268:F268"/>
    <mergeCell ref="E269:F269"/>
    <mergeCell ref="E270:F270"/>
    <mergeCell ref="E271:F271"/>
    <mergeCell ref="E272:F272"/>
    <mergeCell ref="E273:F273"/>
    <mergeCell ref="E291:F291"/>
    <mergeCell ref="A297:B297"/>
    <mergeCell ref="C297:F297"/>
    <mergeCell ref="E298:F298"/>
    <mergeCell ref="E299:F299"/>
    <mergeCell ref="E300:F300"/>
    <mergeCell ref="E283:F283"/>
    <mergeCell ref="E284:F284"/>
    <mergeCell ref="E285:F285"/>
    <mergeCell ref="C288:F288"/>
    <mergeCell ref="E289:F289"/>
    <mergeCell ref="E290:F290"/>
    <mergeCell ref="A312:B312"/>
    <mergeCell ref="C312:F312"/>
    <mergeCell ref="E313:F313"/>
    <mergeCell ref="E301:F301"/>
    <mergeCell ref="E302:F302"/>
    <mergeCell ref="E303:F303"/>
    <mergeCell ref="E304:F304"/>
    <mergeCell ref="E305:F305"/>
    <mergeCell ref="E306:F306"/>
    <mergeCell ref="E314:F314"/>
    <mergeCell ref="E315:F315"/>
    <mergeCell ref="E316:F316"/>
    <mergeCell ref="E317:F317"/>
    <mergeCell ref="E318:F318"/>
    <mergeCell ref="E319:F319"/>
    <mergeCell ref="E307:F307"/>
    <mergeCell ref="E308:F308"/>
    <mergeCell ref="E309:F309"/>
    <mergeCell ref="E326:F326"/>
    <mergeCell ref="E327:F327"/>
    <mergeCell ref="E328:F328"/>
    <mergeCell ref="E329:F329"/>
    <mergeCell ref="E330:F330"/>
    <mergeCell ref="E331:F331"/>
    <mergeCell ref="E320:F320"/>
    <mergeCell ref="E321:F321"/>
    <mergeCell ref="E322:F322"/>
    <mergeCell ref="E323:F323"/>
    <mergeCell ref="E324:F324"/>
    <mergeCell ref="E325:F325"/>
    <mergeCell ref="E338:F338"/>
    <mergeCell ref="E339:F339"/>
    <mergeCell ref="E340:F340"/>
    <mergeCell ref="E341:F341"/>
    <mergeCell ref="A344:B344"/>
    <mergeCell ref="C344:F344"/>
    <mergeCell ref="E332:F332"/>
    <mergeCell ref="E333:F333"/>
    <mergeCell ref="E334:F334"/>
    <mergeCell ref="E335:F335"/>
    <mergeCell ref="E336:F336"/>
    <mergeCell ref="E337:F337"/>
    <mergeCell ref="E351:F351"/>
    <mergeCell ref="E352:F352"/>
    <mergeCell ref="E353:F353"/>
    <mergeCell ref="A356:B356"/>
    <mergeCell ref="C356:F356"/>
    <mergeCell ref="E357:F357"/>
    <mergeCell ref="E345:F345"/>
    <mergeCell ref="E346:F346"/>
    <mergeCell ref="E347:F347"/>
    <mergeCell ref="E348:F348"/>
    <mergeCell ref="E349:F349"/>
    <mergeCell ref="E350:F350"/>
    <mergeCell ref="E364:F364"/>
    <mergeCell ref="E365:F365"/>
    <mergeCell ref="A368:B368"/>
    <mergeCell ref="C368:F368"/>
    <mergeCell ref="E369:F369"/>
    <mergeCell ref="E370:F370"/>
    <mergeCell ref="E358:F358"/>
    <mergeCell ref="E359:F359"/>
    <mergeCell ref="E360:F360"/>
    <mergeCell ref="E361:F361"/>
    <mergeCell ref="E362:F362"/>
    <mergeCell ref="E363:F363"/>
    <mergeCell ref="E379:F379"/>
    <mergeCell ref="E380:F380"/>
    <mergeCell ref="E381:F381"/>
    <mergeCell ref="E382:F382"/>
    <mergeCell ref="A385:B385"/>
    <mergeCell ref="C385:F385"/>
    <mergeCell ref="E371:F371"/>
    <mergeCell ref="E372:F372"/>
    <mergeCell ref="E373:F373"/>
    <mergeCell ref="E374:F374"/>
    <mergeCell ref="E375:F375"/>
    <mergeCell ref="A378:B378"/>
    <mergeCell ref="C378:F378"/>
    <mergeCell ref="E394:F394"/>
    <mergeCell ref="E395:F395"/>
    <mergeCell ref="E396:F396"/>
    <mergeCell ref="E386:F386"/>
    <mergeCell ref="E387:F387"/>
    <mergeCell ref="E388:F388"/>
    <mergeCell ref="E389:F389"/>
    <mergeCell ref="A392:B392"/>
    <mergeCell ref="C392:F392"/>
  </mergeCells>
  <pageMargins left="0.7" right="0.7" top="0.75" bottom="0.75" header="0.3" footer="0.3"/>
  <pageSetup paperSize="9" orientation="portrait" verticalDpi="0"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813FA5-FB38-4636-B757-F2DA2E5EB085}">
  <sheetPr codeName="Feuil9">
    <tabColor rgb="FFFF0000"/>
  </sheetPr>
  <dimension ref="A1:L787"/>
  <sheetViews>
    <sheetView topLeftCell="A750" workbookViewId="0">
      <selection activeCell="E777" sqref="E777"/>
    </sheetView>
  </sheetViews>
  <sheetFormatPr defaultColWidth="11.42578125" defaultRowHeight="14.45"/>
  <cols>
    <col min="1" max="1" width="10.140625" bestFit="1" customWidth="1"/>
    <col min="2" max="2" width="16.5703125" bestFit="1" customWidth="1"/>
    <col min="3" max="3" width="52.5703125" bestFit="1" customWidth="1"/>
    <col min="4" max="4" width="36.42578125" bestFit="1" customWidth="1"/>
    <col min="5" max="5" width="37.5703125" bestFit="1" customWidth="1"/>
    <col min="7" max="7" width="12.42578125" style="688" bestFit="1" customWidth="1"/>
  </cols>
  <sheetData>
    <row r="1" spans="1:7" ht="25.5" thickBot="1">
      <c r="A1" s="755" t="s">
        <v>3155</v>
      </c>
      <c r="B1" s="756"/>
      <c r="C1" s="756"/>
      <c r="D1" s="756"/>
      <c r="E1" s="756"/>
      <c r="F1" s="756"/>
      <c r="G1" s="756"/>
    </row>
    <row r="2" spans="1:7" ht="27.95">
      <c r="A2" s="169" t="s">
        <v>228</v>
      </c>
      <c r="B2" s="170" t="s">
        <v>3156</v>
      </c>
      <c r="C2" s="170" t="s">
        <v>15</v>
      </c>
      <c r="D2" s="170" t="s">
        <v>3157</v>
      </c>
      <c r="E2" s="170" t="s">
        <v>3158</v>
      </c>
      <c r="F2" s="170" t="s">
        <v>3159</v>
      </c>
      <c r="G2" s="677" t="s">
        <v>3160</v>
      </c>
    </row>
    <row r="3" spans="1:7">
      <c r="A3" t="s">
        <v>3161</v>
      </c>
      <c r="B3" s="171" t="s">
        <v>3162</v>
      </c>
      <c r="C3" s="171" t="s">
        <v>3163</v>
      </c>
      <c r="D3" s="172" t="s">
        <v>3164</v>
      </c>
      <c r="E3" s="172" t="s">
        <v>3165</v>
      </c>
      <c r="F3" s="173" t="s">
        <v>3166</v>
      </c>
      <c r="G3" s="678">
        <v>1.3376999999999999</v>
      </c>
    </row>
    <row r="4" spans="1:7">
      <c r="A4" t="s">
        <v>3167</v>
      </c>
      <c r="B4" s="174" t="s">
        <v>3168</v>
      </c>
      <c r="C4" s="174" t="s">
        <v>3169</v>
      </c>
      <c r="D4" s="175" t="s">
        <v>3170</v>
      </c>
      <c r="E4" s="175" t="s">
        <v>3171</v>
      </c>
      <c r="F4" s="176" t="s">
        <v>3166</v>
      </c>
      <c r="G4" s="679">
        <v>35067.6198</v>
      </c>
    </row>
    <row r="5" spans="1:7">
      <c r="A5" t="s">
        <v>3172</v>
      </c>
      <c r="B5" s="177" t="s">
        <v>3173</v>
      </c>
      <c r="C5" s="177" t="s">
        <v>3174</v>
      </c>
      <c r="D5" s="178" t="s">
        <v>3175</v>
      </c>
      <c r="E5" s="178" t="s">
        <v>3176</v>
      </c>
      <c r="F5" s="179" t="s">
        <v>3166</v>
      </c>
      <c r="G5" s="680">
        <v>1.7050000000000001</v>
      </c>
    </row>
    <row r="6" spans="1:7">
      <c r="A6" t="s">
        <v>3177</v>
      </c>
      <c r="B6" s="174" t="s">
        <v>3178</v>
      </c>
      <c r="C6" s="174" t="s">
        <v>3179</v>
      </c>
      <c r="D6" s="175" t="s">
        <v>3175</v>
      </c>
      <c r="E6" s="175" t="s">
        <v>3176</v>
      </c>
      <c r="F6" s="176" t="s">
        <v>3166</v>
      </c>
      <c r="G6" s="679">
        <v>597608.429</v>
      </c>
    </row>
    <row r="7" spans="1:7">
      <c r="A7" t="s">
        <v>3180</v>
      </c>
      <c r="B7" s="174" t="s">
        <v>3181</v>
      </c>
      <c r="C7" s="174" t="s">
        <v>3182</v>
      </c>
      <c r="D7" s="175" t="s">
        <v>3175</v>
      </c>
      <c r="E7" s="175" t="s">
        <v>3176</v>
      </c>
      <c r="F7" s="176" t="s">
        <v>3166</v>
      </c>
      <c r="G7" s="679">
        <v>22604.723399999999</v>
      </c>
    </row>
    <row r="8" spans="1:7">
      <c r="A8" t="s">
        <v>3183</v>
      </c>
      <c r="B8" s="174" t="s">
        <v>3184</v>
      </c>
      <c r="C8" s="174" t="s">
        <v>3185</v>
      </c>
      <c r="D8" s="175" t="s">
        <v>3175</v>
      </c>
      <c r="E8" s="175" t="s">
        <v>3176</v>
      </c>
      <c r="F8" s="176" t="s">
        <v>3166</v>
      </c>
      <c r="G8" s="679">
        <v>134929.60000000001</v>
      </c>
    </row>
    <row r="9" spans="1:7">
      <c r="A9" t="s">
        <v>3186</v>
      </c>
      <c r="B9" s="174" t="s">
        <v>3187</v>
      </c>
      <c r="C9" s="174" t="s">
        <v>3188</v>
      </c>
      <c r="D9" s="175" t="s">
        <v>3175</v>
      </c>
      <c r="E9" s="175" t="s">
        <v>3176</v>
      </c>
      <c r="F9" s="176" t="s">
        <v>3166</v>
      </c>
      <c r="G9" s="679">
        <v>437257.5</v>
      </c>
    </row>
    <row r="10" spans="1:7">
      <c r="A10" t="s">
        <v>3189</v>
      </c>
      <c r="B10" s="174" t="s">
        <v>3190</v>
      </c>
      <c r="C10" s="174" t="s">
        <v>3191</v>
      </c>
      <c r="D10" s="175" t="s">
        <v>3175</v>
      </c>
      <c r="E10" s="175" t="s">
        <v>3176</v>
      </c>
      <c r="F10" s="176" t="s">
        <v>3166</v>
      </c>
      <c r="G10" s="679">
        <v>39596.591999999997</v>
      </c>
    </row>
    <row r="11" spans="1:7">
      <c r="A11" t="s">
        <v>3192</v>
      </c>
      <c r="B11" s="174" t="s">
        <v>3193</v>
      </c>
      <c r="C11" s="174" t="s">
        <v>3194</v>
      </c>
      <c r="D11" s="175" t="s">
        <v>3170</v>
      </c>
      <c r="E11" s="175" t="s">
        <v>3171</v>
      </c>
      <c r="F11" s="176" t="s">
        <v>3166</v>
      </c>
      <c r="G11" s="679">
        <v>670</v>
      </c>
    </row>
    <row r="12" spans="1:7">
      <c r="A12" t="s">
        <v>3195</v>
      </c>
      <c r="B12" s="174" t="s">
        <v>3196</v>
      </c>
      <c r="C12" s="174" t="s">
        <v>3197</v>
      </c>
      <c r="D12" s="175" t="s">
        <v>3170</v>
      </c>
      <c r="E12" s="175" t="s">
        <v>3171</v>
      </c>
      <c r="F12" s="176" t="s">
        <v>3166</v>
      </c>
      <c r="G12" s="679">
        <v>668</v>
      </c>
    </row>
    <row r="13" spans="1:7">
      <c r="A13" t="s">
        <v>3198</v>
      </c>
      <c r="B13" s="174" t="s">
        <v>3199</v>
      </c>
      <c r="C13" s="174" t="s">
        <v>3200</v>
      </c>
      <c r="D13" s="175" t="s">
        <v>3201</v>
      </c>
      <c r="E13" s="175" t="s">
        <v>3202</v>
      </c>
      <c r="F13" s="176" t="s">
        <v>3166</v>
      </c>
      <c r="G13" s="679">
        <v>3767.3788500000001</v>
      </c>
    </row>
    <row r="14" spans="1:7">
      <c r="A14" t="s">
        <v>3203</v>
      </c>
      <c r="B14" s="174" t="s">
        <v>3204</v>
      </c>
      <c r="C14" s="174" t="s">
        <v>3205</v>
      </c>
      <c r="D14" s="175" t="s">
        <v>3201</v>
      </c>
      <c r="E14" s="175" t="s">
        <v>3202</v>
      </c>
      <c r="F14" s="176" t="s">
        <v>3166</v>
      </c>
      <c r="G14" s="679">
        <v>1029.2</v>
      </c>
    </row>
    <row r="15" spans="1:7">
      <c r="A15" t="s">
        <v>3206</v>
      </c>
      <c r="B15" s="174" t="s">
        <v>3207</v>
      </c>
      <c r="C15" s="174" t="s">
        <v>3208</v>
      </c>
      <c r="D15" s="175" t="s">
        <v>3201</v>
      </c>
      <c r="E15" s="175" t="s">
        <v>3202</v>
      </c>
      <c r="F15" s="176" t="s">
        <v>3166</v>
      </c>
      <c r="G15" s="679">
        <v>26209.78815</v>
      </c>
    </row>
    <row r="16" spans="1:7">
      <c r="A16" t="s">
        <v>3209</v>
      </c>
      <c r="B16" s="174" t="s">
        <v>3210</v>
      </c>
      <c r="C16" s="174" t="s">
        <v>3211</v>
      </c>
      <c r="D16" s="175" t="s">
        <v>3201</v>
      </c>
      <c r="E16" s="175" t="s">
        <v>3202</v>
      </c>
      <c r="F16" s="176" t="s">
        <v>3166</v>
      </c>
      <c r="G16" s="679">
        <v>14920.95</v>
      </c>
    </row>
    <row r="17" spans="1:7">
      <c r="A17" t="s">
        <v>3212</v>
      </c>
      <c r="B17" s="174" t="s">
        <v>3213</v>
      </c>
      <c r="C17" s="174" t="s">
        <v>3214</v>
      </c>
      <c r="D17" s="175" t="s">
        <v>3201</v>
      </c>
      <c r="E17" s="175" t="s">
        <v>3202</v>
      </c>
      <c r="F17" s="176" t="s">
        <v>3166</v>
      </c>
      <c r="G17" s="679">
        <v>9870</v>
      </c>
    </row>
    <row r="18" spans="1:7">
      <c r="A18" t="s">
        <v>3215</v>
      </c>
      <c r="B18" s="174" t="s">
        <v>3216</v>
      </c>
      <c r="C18" s="174" t="s">
        <v>3217</v>
      </c>
      <c r="D18" s="175" t="s">
        <v>3201</v>
      </c>
      <c r="E18" s="175" t="s">
        <v>3202</v>
      </c>
      <c r="F18" s="176" t="s">
        <v>3166</v>
      </c>
      <c r="G18" s="679">
        <v>6731.1831999999995</v>
      </c>
    </row>
    <row r="19" spans="1:7">
      <c r="A19" t="s">
        <v>3218</v>
      </c>
      <c r="B19" s="174" t="s">
        <v>3219</v>
      </c>
      <c r="C19" s="174" t="s">
        <v>3220</v>
      </c>
      <c r="D19" s="175" t="s">
        <v>3201</v>
      </c>
      <c r="E19" s="175" t="s">
        <v>3202</v>
      </c>
      <c r="F19" s="176" t="s">
        <v>3166</v>
      </c>
      <c r="G19" s="679">
        <v>7271.0739000000003</v>
      </c>
    </row>
    <row r="20" spans="1:7">
      <c r="A20" t="s">
        <v>3221</v>
      </c>
      <c r="B20" s="174" t="s">
        <v>3222</v>
      </c>
      <c r="C20" s="174" t="s">
        <v>3223</v>
      </c>
      <c r="D20" s="175" t="s">
        <v>3201</v>
      </c>
      <c r="E20" s="175" t="s">
        <v>3202</v>
      </c>
      <c r="F20" s="176" t="s">
        <v>3166</v>
      </c>
      <c r="G20" s="679">
        <v>22848.932500000003</v>
      </c>
    </row>
    <row r="21" spans="1:7">
      <c r="A21" t="s">
        <v>3224</v>
      </c>
      <c r="B21" s="177" t="s">
        <v>3225</v>
      </c>
      <c r="C21" s="177" t="s">
        <v>3226</v>
      </c>
      <c r="D21" s="178" t="s">
        <v>3201</v>
      </c>
      <c r="E21" s="178" t="s">
        <v>3227</v>
      </c>
      <c r="F21" s="179" t="s">
        <v>3166</v>
      </c>
      <c r="G21" s="680">
        <v>15.047499999999999</v>
      </c>
    </row>
    <row r="22" spans="1:7">
      <c r="A22" t="s">
        <v>3228</v>
      </c>
      <c r="B22" s="174" t="s">
        <v>3229</v>
      </c>
      <c r="C22" s="174" t="s">
        <v>3230</v>
      </c>
      <c r="D22" s="175" t="s">
        <v>3201</v>
      </c>
      <c r="E22" s="175" t="s">
        <v>3227</v>
      </c>
      <c r="F22" s="176" t="s">
        <v>3166</v>
      </c>
      <c r="G22" s="679">
        <v>211422.96</v>
      </c>
    </row>
    <row r="23" spans="1:7">
      <c r="A23" t="s">
        <v>3231</v>
      </c>
      <c r="B23" s="174" t="s">
        <v>3232</v>
      </c>
      <c r="C23" s="174" t="s">
        <v>3233</v>
      </c>
      <c r="D23" s="175" t="s">
        <v>3201</v>
      </c>
      <c r="E23" s="175" t="s">
        <v>3227</v>
      </c>
      <c r="F23" s="176" t="s">
        <v>3166</v>
      </c>
      <c r="G23" s="679">
        <v>224646.5</v>
      </c>
    </row>
    <row r="24" spans="1:7">
      <c r="A24" t="s">
        <v>3234</v>
      </c>
      <c r="B24" s="174" t="s">
        <v>3235</v>
      </c>
      <c r="C24" s="174" t="s">
        <v>3236</v>
      </c>
      <c r="D24" s="175" t="s">
        <v>3201</v>
      </c>
      <c r="E24" s="175" t="s">
        <v>3227</v>
      </c>
      <c r="F24" s="176" t="s">
        <v>3166</v>
      </c>
      <c r="G24" s="679">
        <v>276899.07</v>
      </c>
    </row>
    <row r="25" spans="1:7">
      <c r="A25" t="s">
        <v>3237</v>
      </c>
      <c r="B25" s="174" t="s">
        <v>3238</v>
      </c>
      <c r="C25" s="174" t="s">
        <v>3239</v>
      </c>
      <c r="D25" s="175" t="s">
        <v>3201</v>
      </c>
      <c r="E25" s="175" t="s">
        <v>3227</v>
      </c>
      <c r="F25" s="176" t="s">
        <v>3166</v>
      </c>
      <c r="G25" s="679">
        <v>46320.283949999997</v>
      </c>
    </row>
    <row r="26" spans="1:7">
      <c r="A26" t="s">
        <v>3240</v>
      </c>
      <c r="B26" s="174" t="s">
        <v>3241</v>
      </c>
      <c r="C26" s="174" t="s">
        <v>3242</v>
      </c>
      <c r="D26" s="175" t="s">
        <v>3201</v>
      </c>
      <c r="E26" s="175" t="s">
        <v>3227</v>
      </c>
      <c r="F26" s="176" t="s">
        <v>3166</v>
      </c>
      <c r="G26" s="679">
        <v>48400</v>
      </c>
    </row>
    <row r="27" spans="1:7">
      <c r="A27" t="s">
        <v>3243</v>
      </c>
      <c r="B27" s="174" t="s">
        <v>3244</v>
      </c>
      <c r="C27" s="174" t="s">
        <v>3245</v>
      </c>
      <c r="D27" s="175" t="s">
        <v>3201</v>
      </c>
      <c r="E27" s="175" t="s">
        <v>3227</v>
      </c>
      <c r="F27" s="176" t="s">
        <v>3166</v>
      </c>
      <c r="G27" s="679">
        <v>60524.970549999998</v>
      </c>
    </row>
    <row r="28" spans="1:7">
      <c r="A28" t="s">
        <v>3246</v>
      </c>
      <c r="B28" s="174" t="s">
        <v>3247</v>
      </c>
      <c r="C28" s="174" t="s">
        <v>3248</v>
      </c>
      <c r="D28" s="175" t="s">
        <v>3201</v>
      </c>
      <c r="E28" s="175" t="s">
        <v>3227</v>
      </c>
      <c r="F28" s="176" t="s">
        <v>3166</v>
      </c>
      <c r="G28" s="679">
        <v>43459.994700000003</v>
      </c>
    </row>
    <row r="29" spans="1:7">
      <c r="A29" t="s">
        <v>3249</v>
      </c>
      <c r="B29" s="177" t="s">
        <v>3250</v>
      </c>
      <c r="C29" s="177" t="s">
        <v>3251</v>
      </c>
      <c r="D29" s="178" t="s">
        <v>3201</v>
      </c>
      <c r="E29" s="178" t="s">
        <v>3227</v>
      </c>
      <c r="F29" s="179" t="s">
        <v>3166</v>
      </c>
      <c r="G29" s="680">
        <v>0</v>
      </c>
    </row>
    <row r="30" spans="1:7">
      <c r="A30" t="s">
        <v>3252</v>
      </c>
      <c r="B30" s="174" t="s">
        <v>3253</v>
      </c>
      <c r="C30" s="174" t="s">
        <v>3254</v>
      </c>
      <c r="D30" s="175" t="s">
        <v>3201</v>
      </c>
      <c r="E30" s="175" t="s">
        <v>3227</v>
      </c>
      <c r="F30" s="176" t="s">
        <v>3166</v>
      </c>
      <c r="G30" s="679">
        <v>63726.14</v>
      </c>
    </row>
    <row r="31" spans="1:7">
      <c r="A31" t="s">
        <v>3255</v>
      </c>
      <c r="B31" s="174" t="s">
        <v>3256</v>
      </c>
      <c r="C31" s="174" t="s">
        <v>3257</v>
      </c>
      <c r="D31" s="175" t="s">
        <v>3201</v>
      </c>
      <c r="E31" s="175" t="s">
        <v>3227</v>
      </c>
      <c r="F31" s="176" t="s">
        <v>3166</v>
      </c>
      <c r="G31" s="679">
        <v>60487.875</v>
      </c>
    </row>
    <row r="32" spans="1:7">
      <c r="A32" t="s">
        <v>3258</v>
      </c>
      <c r="B32" s="174" t="s">
        <v>3259</v>
      </c>
      <c r="C32" s="174" t="s">
        <v>3260</v>
      </c>
      <c r="D32" s="175" t="s">
        <v>3201</v>
      </c>
      <c r="E32" s="175" t="s">
        <v>3227</v>
      </c>
      <c r="F32" s="176" t="s">
        <v>3166</v>
      </c>
      <c r="G32" s="679">
        <v>45844</v>
      </c>
    </row>
    <row r="33" spans="1:7">
      <c r="A33" t="s">
        <v>3261</v>
      </c>
      <c r="B33" s="174" t="s">
        <v>3262</v>
      </c>
      <c r="C33" s="174" t="s">
        <v>3263</v>
      </c>
      <c r="D33" s="175" t="s">
        <v>3201</v>
      </c>
      <c r="E33" s="175" t="s">
        <v>3227</v>
      </c>
      <c r="F33" s="176" t="s">
        <v>3166</v>
      </c>
      <c r="G33" s="679">
        <v>57054.625950000001</v>
      </c>
    </row>
    <row r="34" spans="1:7">
      <c r="A34" t="s">
        <v>3264</v>
      </c>
      <c r="B34" s="174" t="s">
        <v>3265</v>
      </c>
      <c r="C34" s="174" t="s">
        <v>3266</v>
      </c>
      <c r="D34" s="175" t="s">
        <v>3201</v>
      </c>
      <c r="E34" s="175" t="s">
        <v>3227</v>
      </c>
      <c r="F34" s="176" t="s">
        <v>3166</v>
      </c>
      <c r="G34" s="679">
        <v>73271.4372</v>
      </c>
    </row>
    <row r="35" spans="1:7">
      <c r="A35" t="s">
        <v>3267</v>
      </c>
      <c r="B35" s="180" t="s">
        <v>3268</v>
      </c>
      <c r="C35" s="180" t="s">
        <v>3269</v>
      </c>
      <c r="D35" s="181" t="s">
        <v>3201</v>
      </c>
      <c r="E35" s="181" t="s">
        <v>3227</v>
      </c>
      <c r="F35" s="182" t="s">
        <v>3166</v>
      </c>
      <c r="G35" s="681">
        <v>102836.815</v>
      </c>
    </row>
    <row r="36" spans="1:7">
      <c r="A36" t="s">
        <v>3270</v>
      </c>
      <c r="B36" s="174" t="s">
        <v>3271</v>
      </c>
      <c r="C36" s="174" t="s">
        <v>3272</v>
      </c>
      <c r="D36" s="175" t="s">
        <v>3273</v>
      </c>
      <c r="E36" s="175" t="s">
        <v>3274</v>
      </c>
      <c r="F36" s="176" t="s">
        <v>3166</v>
      </c>
      <c r="G36" s="679">
        <v>13020</v>
      </c>
    </row>
    <row r="37" spans="1:7">
      <c r="A37" t="s">
        <v>3275</v>
      </c>
      <c r="B37" s="174" t="s">
        <v>3276</v>
      </c>
      <c r="C37" s="174" t="s">
        <v>3277</v>
      </c>
      <c r="D37" s="175" t="s">
        <v>3201</v>
      </c>
      <c r="E37" s="175" t="s">
        <v>3227</v>
      </c>
      <c r="F37" s="176" t="s">
        <v>3166</v>
      </c>
      <c r="G37" s="679">
        <v>62920.125</v>
      </c>
    </row>
    <row r="38" spans="1:7">
      <c r="A38" t="s">
        <v>3278</v>
      </c>
      <c r="B38" s="174" t="s">
        <v>3279</v>
      </c>
      <c r="C38" s="174" t="s">
        <v>3280</v>
      </c>
      <c r="D38" s="175" t="s">
        <v>3201</v>
      </c>
      <c r="E38" s="175" t="s">
        <v>3227</v>
      </c>
      <c r="F38" s="176" t="s">
        <v>3166</v>
      </c>
      <c r="G38" s="679">
        <v>154</v>
      </c>
    </row>
    <row r="39" spans="1:7">
      <c r="A39" t="s">
        <v>3281</v>
      </c>
      <c r="B39" s="177" t="s">
        <v>3282</v>
      </c>
      <c r="C39" s="177" t="s">
        <v>3283</v>
      </c>
      <c r="D39" s="178" t="s">
        <v>3201</v>
      </c>
      <c r="E39" s="178" t="s">
        <v>3227</v>
      </c>
      <c r="F39" s="179" t="s">
        <v>3166</v>
      </c>
      <c r="G39" s="680">
        <v>0</v>
      </c>
    </row>
    <row r="40" spans="1:7">
      <c r="A40" t="s">
        <v>3284</v>
      </c>
      <c r="B40" s="174" t="s">
        <v>3285</v>
      </c>
      <c r="C40" s="174" t="s">
        <v>3286</v>
      </c>
      <c r="D40" s="175" t="s">
        <v>3201</v>
      </c>
      <c r="E40" s="175" t="s">
        <v>3227</v>
      </c>
      <c r="F40" s="176" t="s">
        <v>3166</v>
      </c>
      <c r="G40" s="679">
        <v>930815.92259999993</v>
      </c>
    </row>
    <row r="41" spans="1:7">
      <c r="A41" t="s">
        <v>3287</v>
      </c>
      <c r="B41" s="174" t="s">
        <v>3288</v>
      </c>
      <c r="C41" s="174" t="s">
        <v>3289</v>
      </c>
      <c r="D41" s="175" t="s">
        <v>3201</v>
      </c>
      <c r="E41" s="175" t="s">
        <v>3227</v>
      </c>
      <c r="F41" s="176" t="s">
        <v>3166</v>
      </c>
      <c r="G41" s="679">
        <v>1450213.31375</v>
      </c>
    </row>
    <row r="42" spans="1:7">
      <c r="A42" t="s">
        <v>3290</v>
      </c>
      <c r="B42" s="174" t="s">
        <v>3291</v>
      </c>
      <c r="C42" s="174" t="s">
        <v>3292</v>
      </c>
      <c r="D42" s="175" t="s">
        <v>3201</v>
      </c>
      <c r="E42" s="175" t="s">
        <v>3227</v>
      </c>
      <c r="F42" s="176" t="s">
        <v>3166</v>
      </c>
      <c r="G42" s="679">
        <v>1858233.5008</v>
      </c>
    </row>
    <row r="43" spans="1:7">
      <c r="A43" t="s">
        <v>3293</v>
      </c>
      <c r="B43" s="174" t="s">
        <v>3294</v>
      </c>
      <c r="C43" s="174" t="s">
        <v>3295</v>
      </c>
      <c r="D43" s="175" t="s">
        <v>3201</v>
      </c>
      <c r="E43" s="175" t="s">
        <v>3296</v>
      </c>
      <c r="F43" s="176" t="s">
        <v>3166</v>
      </c>
      <c r="G43" s="679">
        <v>80640.42</v>
      </c>
    </row>
    <row r="44" spans="1:7">
      <c r="A44" t="s">
        <v>3297</v>
      </c>
      <c r="B44" s="174" t="s">
        <v>3298</v>
      </c>
      <c r="C44" s="174" t="s">
        <v>3299</v>
      </c>
      <c r="D44" s="175" t="s">
        <v>3201</v>
      </c>
      <c r="E44" s="175" t="s">
        <v>3296</v>
      </c>
      <c r="F44" s="176" t="s">
        <v>3166</v>
      </c>
      <c r="G44" s="679">
        <v>1328.8000000000002</v>
      </c>
    </row>
    <row r="45" spans="1:7">
      <c r="A45" t="s">
        <v>3300</v>
      </c>
      <c r="B45" s="174" t="s">
        <v>3301</v>
      </c>
      <c r="C45" s="174" t="s">
        <v>3302</v>
      </c>
      <c r="D45" s="175" t="s">
        <v>3201</v>
      </c>
      <c r="E45" s="175" t="s">
        <v>3296</v>
      </c>
      <c r="F45" s="176" t="s">
        <v>3166</v>
      </c>
      <c r="G45" s="679">
        <v>11438</v>
      </c>
    </row>
    <row r="46" spans="1:7">
      <c r="A46" t="s">
        <v>3303</v>
      </c>
      <c r="B46" s="174" t="s">
        <v>3304</v>
      </c>
      <c r="C46" s="174" t="s">
        <v>3305</v>
      </c>
      <c r="D46" s="175" t="s">
        <v>3201</v>
      </c>
      <c r="E46" s="175" t="s">
        <v>3296</v>
      </c>
      <c r="F46" s="176" t="s">
        <v>3166</v>
      </c>
      <c r="G46" s="679">
        <v>4402.7550000000001</v>
      </c>
    </row>
    <row r="47" spans="1:7">
      <c r="A47" t="s">
        <v>3306</v>
      </c>
      <c r="B47" s="174" t="s">
        <v>3307</v>
      </c>
      <c r="C47" s="174" t="s">
        <v>3308</v>
      </c>
      <c r="D47" s="175" t="s">
        <v>3201</v>
      </c>
      <c r="E47" s="175" t="s">
        <v>3296</v>
      </c>
      <c r="F47" s="176" t="s">
        <v>3166</v>
      </c>
      <c r="G47" s="679">
        <v>7014.2559500000007</v>
      </c>
    </row>
    <row r="48" spans="1:7">
      <c r="A48" t="s">
        <v>3309</v>
      </c>
      <c r="B48" s="174" t="s">
        <v>3310</v>
      </c>
      <c r="C48" s="174" t="s">
        <v>3311</v>
      </c>
      <c r="D48" s="175" t="s">
        <v>3201</v>
      </c>
      <c r="E48" s="175" t="s">
        <v>3296</v>
      </c>
      <c r="F48" s="176" t="s">
        <v>3166</v>
      </c>
      <c r="G48" s="679">
        <v>5941.2707</v>
      </c>
    </row>
    <row r="49" spans="1:7">
      <c r="A49" t="s">
        <v>3312</v>
      </c>
      <c r="B49" s="174" t="s">
        <v>3313</v>
      </c>
      <c r="C49" s="174" t="s">
        <v>3314</v>
      </c>
      <c r="D49" s="175" t="s">
        <v>3201</v>
      </c>
      <c r="E49" s="175" t="s">
        <v>3296</v>
      </c>
      <c r="F49" s="176" t="s">
        <v>3166</v>
      </c>
      <c r="G49" s="679">
        <v>129765.4479</v>
      </c>
    </row>
    <row r="50" spans="1:7">
      <c r="A50" t="s">
        <v>3315</v>
      </c>
      <c r="B50" s="174" t="s">
        <v>3316</v>
      </c>
      <c r="C50" s="174" t="s">
        <v>3317</v>
      </c>
      <c r="D50" s="175" t="s">
        <v>3201</v>
      </c>
      <c r="E50" s="175" t="s">
        <v>3296</v>
      </c>
      <c r="F50" s="176" t="s">
        <v>3166</v>
      </c>
      <c r="G50" s="679">
        <v>1832.24</v>
      </c>
    </row>
    <row r="51" spans="1:7">
      <c r="A51" t="s">
        <v>3318</v>
      </c>
      <c r="B51" s="174" t="s">
        <v>3319</v>
      </c>
      <c r="C51" s="174" t="s">
        <v>3320</v>
      </c>
      <c r="D51" s="175" t="s">
        <v>3321</v>
      </c>
      <c r="E51" s="175" t="s">
        <v>3322</v>
      </c>
      <c r="F51" s="176" t="s">
        <v>3166</v>
      </c>
      <c r="G51" s="679">
        <v>455611.11274999997</v>
      </c>
    </row>
    <row r="52" spans="1:7">
      <c r="A52" t="s">
        <v>3323</v>
      </c>
      <c r="B52" s="174" t="s">
        <v>3324</v>
      </c>
      <c r="C52" s="174" t="s">
        <v>3325</v>
      </c>
      <c r="D52" s="175" t="s">
        <v>3321</v>
      </c>
      <c r="E52" s="175" t="s">
        <v>3322</v>
      </c>
      <c r="F52" s="176" t="s">
        <v>3166</v>
      </c>
      <c r="G52" s="679">
        <v>668850</v>
      </c>
    </row>
    <row r="53" spans="1:7">
      <c r="A53" t="s">
        <v>3326</v>
      </c>
      <c r="B53" s="174" t="s">
        <v>3327</v>
      </c>
      <c r="C53" s="174" t="s">
        <v>3328</v>
      </c>
      <c r="D53" s="175" t="s">
        <v>3321</v>
      </c>
      <c r="E53" s="175" t="s">
        <v>3322</v>
      </c>
      <c r="F53" s="176" t="s">
        <v>3166</v>
      </c>
      <c r="G53" s="679">
        <v>810145</v>
      </c>
    </row>
    <row r="54" spans="1:7">
      <c r="A54" t="s">
        <v>3329</v>
      </c>
      <c r="B54" s="174" t="s">
        <v>3330</v>
      </c>
      <c r="C54" s="174" t="s">
        <v>3331</v>
      </c>
      <c r="D54" s="175" t="s">
        <v>3321</v>
      </c>
      <c r="E54" s="175" t="s">
        <v>3322</v>
      </c>
      <c r="F54" s="176" t="s">
        <v>3166</v>
      </c>
      <c r="G54" s="679">
        <v>364170.72000000003</v>
      </c>
    </row>
    <row r="55" spans="1:7">
      <c r="A55" t="s">
        <v>3332</v>
      </c>
      <c r="B55" s="174" t="s">
        <v>3333</v>
      </c>
      <c r="C55" s="174" t="s">
        <v>3334</v>
      </c>
      <c r="D55" s="175" t="s">
        <v>3321</v>
      </c>
      <c r="E55" s="175" t="s">
        <v>3322</v>
      </c>
      <c r="F55" s="176" t="s">
        <v>3166</v>
      </c>
      <c r="G55" s="679">
        <v>549744.80339999998</v>
      </c>
    </row>
    <row r="56" spans="1:7">
      <c r="A56" t="s">
        <v>3335</v>
      </c>
      <c r="B56" s="174" t="s">
        <v>3336</v>
      </c>
      <c r="C56" s="174" t="s">
        <v>3337</v>
      </c>
      <c r="D56" s="175" t="s">
        <v>3321</v>
      </c>
      <c r="E56" s="175" t="s">
        <v>3322</v>
      </c>
      <c r="F56" s="176" t="s">
        <v>3166</v>
      </c>
      <c r="G56" s="679">
        <v>694561.6</v>
      </c>
    </row>
    <row r="57" spans="1:7">
      <c r="A57" t="s">
        <v>3338</v>
      </c>
      <c r="B57" s="177" t="s">
        <v>3339</v>
      </c>
      <c r="C57" s="177" t="s">
        <v>3340</v>
      </c>
      <c r="D57" s="178" t="s">
        <v>3341</v>
      </c>
      <c r="E57" s="178" t="s">
        <v>3342</v>
      </c>
      <c r="F57" s="179" t="s">
        <v>3166</v>
      </c>
      <c r="G57" s="680">
        <v>7.4851000000000001</v>
      </c>
    </row>
    <row r="58" spans="1:7">
      <c r="A58" t="s">
        <v>3343</v>
      </c>
      <c r="B58" s="177" t="s">
        <v>3344</v>
      </c>
      <c r="C58" s="177" t="s">
        <v>3345</v>
      </c>
      <c r="D58" s="178" t="s">
        <v>3296</v>
      </c>
      <c r="E58" s="178" t="s">
        <v>3346</v>
      </c>
      <c r="F58" s="179" t="s">
        <v>3166</v>
      </c>
      <c r="G58" s="680">
        <v>1.44</v>
      </c>
    </row>
    <row r="59" spans="1:7">
      <c r="A59" t="s">
        <v>3347</v>
      </c>
      <c r="B59" s="174" t="s">
        <v>3348</v>
      </c>
      <c r="C59" s="174" t="s">
        <v>3349</v>
      </c>
      <c r="D59" s="175" t="s">
        <v>3296</v>
      </c>
      <c r="E59" s="175" t="s">
        <v>3350</v>
      </c>
      <c r="F59" s="176" t="s">
        <v>3166</v>
      </c>
      <c r="G59" s="679">
        <v>114958.3953</v>
      </c>
    </row>
    <row r="60" spans="1:7">
      <c r="A60" t="s">
        <v>3351</v>
      </c>
      <c r="B60" s="174" t="s">
        <v>3352</v>
      </c>
      <c r="C60" s="174" t="s">
        <v>3353</v>
      </c>
      <c r="D60" s="175" t="s">
        <v>3354</v>
      </c>
      <c r="E60" s="175" t="s">
        <v>3355</v>
      </c>
      <c r="F60" s="176" t="s">
        <v>3166</v>
      </c>
      <c r="G60" s="679">
        <v>93010.646299999993</v>
      </c>
    </row>
    <row r="61" spans="1:7">
      <c r="A61" t="s">
        <v>3356</v>
      </c>
      <c r="B61" s="177" t="s">
        <v>3357</v>
      </c>
      <c r="C61" s="177" t="s">
        <v>3358</v>
      </c>
      <c r="D61" s="178" t="s">
        <v>3359</v>
      </c>
      <c r="E61" s="178" t="s">
        <v>3360</v>
      </c>
      <c r="F61" s="179" t="s">
        <v>3166</v>
      </c>
      <c r="G61" s="680">
        <v>0</v>
      </c>
    </row>
    <row r="62" spans="1:7">
      <c r="A62" t="s">
        <v>3361</v>
      </c>
      <c r="B62" s="174" t="s">
        <v>3362</v>
      </c>
      <c r="C62" s="174" t="s">
        <v>3363</v>
      </c>
      <c r="D62" s="175" t="s">
        <v>3359</v>
      </c>
      <c r="E62" s="175" t="s">
        <v>3360</v>
      </c>
      <c r="F62" s="176" t="s">
        <v>3166</v>
      </c>
      <c r="G62" s="679">
        <v>653.19999999999993</v>
      </c>
    </row>
    <row r="63" spans="1:7">
      <c r="A63" t="s">
        <v>3364</v>
      </c>
      <c r="B63" s="174" t="s">
        <v>3365</v>
      </c>
      <c r="C63" s="174" t="s">
        <v>3366</v>
      </c>
      <c r="D63" s="175" t="s">
        <v>3359</v>
      </c>
      <c r="E63" s="175" t="s">
        <v>3360</v>
      </c>
      <c r="F63" s="176" t="s">
        <v>3166</v>
      </c>
      <c r="G63" s="679">
        <v>21225</v>
      </c>
    </row>
    <row r="64" spans="1:7">
      <c r="A64" t="s">
        <v>3367</v>
      </c>
      <c r="B64" s="174" t="s">
        <v>3368</v>
      </c>
      <c r="C64" s="174" t="s">
        <v>3369</v>
      </c>
      <c r="D64" s="175" t="s">
        <v>3359</v>
      </c>
      <c r="E64" s="175" t="s">
        <v>3360</v>
      </c>
      <c r="F64" s="176" t="s">
        <v>3166</v>
      </c>
      <c r="G64" s="679">
        <v>45066.222600000001</v>
      </c>
    </row>
    <row r="65" spans="1:7">
      <c r="A65" t="s">
        <v>3370</v>
      </c>
      <c r="B65" s="174" t="s">
        <v>3371</v>
      </c>
      <c r="C65" s="174" t="s">
        <v>3372</v>
      </c>
      <c r="D65" s="175" t="s">
        <v>3359</v>
      </c>
      <c r="E65" s="175" t="s">
        <v>3360</v>
      </c>
      <c r="F65" s="176" t="s">
        <v>3166</v>
      </c>
      <c r="G65" s="679">
        <v>47770</v>
      </c>
    </row>
    <row r="66" spans="1:7">
      <c r="A66" t="s">
        <v>3373</v>
      </c>
      <c r="B66" s="174" t="s">
        <v>3374</v>
      </c>
      <c r="C66" s="174" t="s">
        <v>3375</v>
      </c>
      <c r="D66" s="175" t="s">
        <v>3359</v>
      </c>
      <c r="E66" s="175" t="s">
        <v>3360</v>
      </c>
      <c r="F66" s="176" t="s">
        <v>3166</v>
      </c>
      <c r="G66" s="679">
        <v>60200</v>
      </c>
    </row>
    <row r="67" spans="1:7">
      <c r="A67" t="s">
        <v>3376</v>
      </c>
      <c r="B67" s="180" t="s">
        <v>3377</v>
      </c>
      <c r="C67" s="180" t="s">
        <v>3378</v>
      </c>
      <c r="D67" s="181" t="s">
        <v>3359</v>
      </c>
      <c r="E67" s="181" t="s">
        <v>3360</v>
      </c>
      <c r="F67" s="182" t="s">
        <v>3166</v>
      </c>
      <c r="G67" s="681">
        <v>30759.75</v>
      </c>
    </row>
    <row r="68" spans="1:7">
      <c r="A68" t="s">
        <v>3379</v>
      </c>
      <c r="B68" s="174" t="s">
        <v>3380</v>
      </c>
      <c r="C68" s="174" t="s">
        <v>3381</v>
      </c>
      <c r="D68" s="175" t="s">
        <v>3382</v>
      </c>
      <c r="E68" s="175" t="s">
        <v>3383</v>
      </c>
      <c r="F68" s="176" t="s">
        <v>3166</v>
      </c>
      <c r="G68" s="679">
        <v>811.76</v>
      </c>
    </row>
    <row r="69" spans="1:7">
      <c r="A69" t="s">
        <v>3384</v>
      </c>
      <c r="B69" s="174" t="s">
        <v>3385</v>
      </c>
      <c r="C69" s="174" t="s">
        <v>3386</v>
      </c>
      <c r="D69" s="175" t="s">
        <v>3382</v>
      </c>
      <c r="E69" s="175" t="s">
        <v>3383</v>
      </c>
      <c r="F69" s="176" t="s">
        <v>3166</v>
      </c>
      <c r="G69" s="679">
        <v>2497.3211999999999</v>
      </c>
    </row>
    <row r="70" spans="1:7">
      <c r="A70" t="s">
        <v>3387</v>
      </c>
      <c r="B70" s="174" t="s">
        <v>3388</v>
      </c>
      <c r="C70" s="174" t="s">
        <v>3389</v>
      </c>
      <c r="D70" s="175" t="s">
        <v>3382</v>
      </c>
      <c r="E70" s="175" t="s">
        <v>3390</v>
      </c>
      <c r="F70" s="176" t="s">
        <v>3166</v>
      </c>
      <c r="G70" s="679">
        <v>2573.6999999999998</v>
      </c>
    </row>
    <row r="71" spans="1:7">
      <c r="A71" t="s">
        <v>3391</v>
      </c>
      <c r="B71" s="174" t="s">
        <v>3392</v>
      </c>
      <c r="C71" s="174" t="s">
        <v>3393</v>
      </c>
      <c r="D71" s="175" t="s">
        <v>3394</v>
      </c>
      <c r="E71" s="175" t="s">
        <v>3395</v>
      </c>
      <c r="F71" s="176" t="s">
        <v>3166</v>
      </c>
      <c r="G71" s="679">
        <v>32945.962500000001</v>
      </c>
    </row>
    <row r="72" spans="1:7">
      <c r="A72" t="s">
        <v>3396</v>
      </c>
      <c r="B72" s="174" t="s">
        <v>3397</v>
      </c>
      <c r="C72" s="174" t="s">
        <v>3398</v>
      </c>
      <c r="D72" s="175" t="s">
        <v>3394</v>
      </c>
      <c r="E72" s="175" t="s">
        <v>3395</v>
      </c>
      <c r="F72" s="176" t="s">
        <v>3166</v>
      </c>
      <c r="G72" s="679">
        <v>12640.592699999999</v>
      </c>
    </row>
    <row r="73" spans="1:7">
      <c r="A73" t="s">
        <v>3399</v>
      </c>
      <c r="B73" s="174" t="s">
        <v>3400</v>
      </c>
      <c r="C73" s="174" t="s">
        <v>3401</v>
      </c>
      <c r="D73" s="175" t="s">
        <v>3394</v>
      </c>
      <c r="E73" s="175" t="s">
        <v>3395</v>
      </c>
      <c r="F73" s="176" t="s">
        <v>3166</v>
      </c>
      <c r="G73" s="679">
        <v>857.22</v>
      </c>
    </row>
    <row r="74" spans="1:7">
      <c r="A74" t="s">
        <v>3402</v>
      </c>
      <c r="B74" s="174" t="s">
        <v>3403</v>
      </c>
      <c r="C74" s="174" t="s">
        <v>3404</v>
      </c>
      <c r="D74" s="175" t="s">
        <v>3394</v>
      </c>
      <c r="E74" s="175" t="s">
        <v>3395</v>
      </c>
      <c r="F74" s="176" t="s">
        <v>3166</v>
      </c>
      <c r="G74" s="679">
        <v>25240.430399999997</v>
      </c>
    </row>
    <row r="75" spans="1:7">
      <c r="A75" t="s">
        <v>3405</v>
      </c>
      <c r="B75" s="174" t="s">
        <v>3406</v>
      </c>
      <c r="C75" s="174" t="s">
        <v>3407</v>
      </c>
      <c r="D75" s="175" t="s">
        <v>3394</v>
      </c>
      <c r="E75" s="175" t="s">
        <v>3395</v>
      </c>
      <c r="F75" s="176" t="s">
        <v>3166</v>
      </c>
      <c r="G75" s="679">
        <v>12774.00505</v>
      </c>
    </row>
    <row r="76" spans="1:7">
      <c r="A76" t="s">
        <v>3408</v>
      </c>
      <c r="B76" s="174" t="s">
        <v>3409</v>
      </c>
      <c r="C76" s="174" t="s">
        <v>3410</v>
      </c>
      <c r="D76" s="175" t="s">
        <v>3411</v>
      </c>
      <c r="E76" s="175" t="s">
        <v>3412</v>
      </c>
      <c r="F76" s="176" t="s">
        <v>3166</v>
      </c>
      <c r="G76" s="679">
        <v>14610.145499999999</v>
      </c>
    </row>
    <row r="77" spans="1:7">
      <c r="A77" t="s">
        <v>3413</v>
      </c>
      <c r="B77" s="174" t="s">
        <v>3414</v>
      </c>
      <c r="C77" s="174" t="s">
        <v>3415</v>
      </c>
      <c r="D77" s="175" t="s">
        <v>3394</v>
      </c>
      <c r="E77" s="175" t="s">
        <v>3416</v>
      </c>
      <c r="F77" s="176" t="s">
        <v>3166</v>
      </c>
      <c r="G77" s="679">
        <v>13937.5625</v>
      </c>
    </row>
    <row r="78" spans="1:7">
      <c r="A78" t="s">
        <v>3417</v>
      </c>
      <c r="B78" s="174" t="s">
        <v>3418</v>
      </c>
      <c r="C78" s="174" t="s">
        <v>3419</v>
      </c>
      <c r="D78" s="175" t="s">
        <v>3394</v>
      </c>
      <c r="E78" s="175" t="s">
        <v>3416</v>
      </c>
      <c r="F78" s="176" t="s">
        <v>3166</v>
      </c>
      <c r="G78" s="679">
        <v>12730</v>
      </c>
    </row>
    <row r="79" spans="1:7">
      <c r="A79" t="s">
        <v>3420</v>
      </c>
      <c r="B79" s="174" t="s">
        <v>3421</v>
      </c>
      <c r="C79" s="174" t="s">
        <v>3422</v>
      </c>
      <c r="D79" s="175" t="s">
        <v>3394</v>
      </c>
      <c r="E79" s="175" t="s">
        <v>3416</v>
      </c>
      <c r="F79" s="176" t="s">
        <v>3166</v>
      </c>
      <c r="G79" s="679">
        <v>278.00039999999996</v>
      </c>
    </row>
    <row r="80" spans="1:7">
      <c r="A80" t="s">
        <v>3423</v>
      </c>
      <c r="B80" s="174" t="s">
        <v>3424</v>
      </c>
      <c r="C80" s="174" t="s">
        <v>3425</v>
      </c>
      <c r="D80" s="175" t="s">
        <v>3394</v>
      </c>
      <c r="E80" s="175" t="s">
        <v>3416</v>
      </c>
      <c r="F80" s="176" t="s">
        <v>3166</v>
      </c>
      <c r="G80" s="679">
        <v>2409.3083000000001</v>
      </c>
    </row>
    <row r="81" spans="1:7">
      <c r="A81" t="s">
        <v>3426</v>
      </c>
      <c r="B81" s="174" t="s">
        <v>3427</v>
      </c>
      <c r="C81" s="174" t="s">
        <v>3428</v>
      </c>
      <c r="D81" s="175" t="s">
        <v>3429</v>
      </c>
      <c r="E81" s="175" t="s">
        <v>3430</v>
      </c>
      <c r="F81" s="176" t="s">
        <v>3166</v>
      </c>
      <c r="G81" s="679">
        <v>132.5</v>
      </c>
    </row>
    <row r="82" spans="1:7">
      <c r="A82" t="s">
        <v>3431</v>
      </c>
      <c r="B82" s="174" t="s">
        <v>3432</v>
      </c>
      <c r="C82" s="174" t="s">
        <v>3433</v>
      </c>
      <c r="D82" s="175" t="s">
        <v>3429</v>
      </c>
      <c r="E82" s="175" t="s">
        <v>3430</v>
      </c>
      <c r="F82" s="176" t="s">
        <v>3166</v>
      </c>
      <c r="G82" s="679">
        <v>132</v>
      </c>
    </row>
    <row r="83" spans="1:7">
      <c r="A83" t="s">
        <v>3434</v>
      </c>
      <c r="B83" s="174" t="s">
        <v>3435</v>
      </c>
      <c r="C83" s="174" t="s">
        <v>3436</v>
      </c>
      <c r="D83" s="175" t="s">
        <v>3429</v>
      </c>
      <c r="E83" s="175" t="s">
        <v>3430</v>
      </c>
      <c r="F83" s="176" t="s">
        <v>3166</v>
      </c>
      <c r="G83" s="679">
        <v>230.125</v>
      </c>
    </row>
    <row r="84" spans="1:7">
      <c r="A84" t="s">
        <v>3437</v>
      </c>
      <c r="B84" s="174" t="s">
        <v>3438</v>
      </c>
      <c r="C84" s="174" t="s">
        <v>3439</v>
      </c>
      <c r="D84" s="175" t="s">
        <v>3429</v>
      </c>
      <c r="E84" s="175" t="s">
        <v>3430</v>
      </c>
      <c r="F84" s="176" t="s">
        <v>3166</v>
      </c>
      <c r="G84" s="679">
        <v>131</v>
      </c>
    </row>
    <row r="85" spans="1:7">
      <c r="A85" t="s">
        <v>3440</v>
      </c>
      <c r="B85" s="174" t="s">
        <v>3441</v>
      </c>
      <c r="C85" s="174" t="s">
        <v>3442</v>
      </c>
      <c r="D85" s="175" t="s">
        <v>3429</v>
      </c>
      <c r="E85" s="175" t="s">
        <v>3430</v>
      </c>
      <c r="F85" s="176" t="s">
        <v>3166</v>
      </c>
      <c r="G85" s="679">
        <v>903.20354999999995</v>
      </c>
    </row>
    <row r="86" spans="1:7">
      <c r="A86" t="s">
        <v>3443</v>
      </c>
      <c r="B86" s="174" t="s">
        <v>3444</v>
      </c>
      <c r="C86" s="174" t="s">
        <v>3445</v>
      </c>
      <c r="D86" s="175" t="s">
        <v>3429</v>
      </c>
      <c r="E86" s="175" t="s">
        <v>3430</v>
      </c>
      <c r="F86" s="176" t="s">
        <v>3166</v>
      </c>
      <c r="G86" s="679">
        <v>130</v>
      </c>
    </row>
    <row r="87" spans="1:7">
      <c r="A87" t="s">
        <v>3446</v>
      </c>
      <c r="B87" s="174" t="s">
        <v>3447</v>
      </c>
      <c r="C87" s="174" t="s">
        <v>3448</v>
      </c>
      <c r="D87" s="175" t="s">
        <v>3429</v>
      </c>
      <c r="E87" s="175" t="s">
        <v>3430</v>
      </c>
      <c r="F87" s="176" t="s">
        <v>3166</v>
      </c>
      <c r="G87" s="679">
        <v>1623.9299999999998</v>
      </c>
    </row>
    <row r="88" spans="1:7">
      <c r="A88" t="s">
        <v>3449</v>
      </c>
      <c r="B88" s="174" t="s">
        <v>3450</v>
      </c>
      <c r="C88" s="174" t="s">
        <v>3451</v>
      </c>
      <c r="D88" s="175" t="s">
        <v>3429</v>
      </c>
      <c r="E88" s="175" t="s">
        <v>3430</v>
      </c>
      <c r="F88" s="176" t="s">
        <v>3166</v>
      </c>
      <c r="G88" s="679">
        <v>36708.239999999998</v>
      </c>
    </row>
    <row r="89" spans="1:7">
      <c r="A89" t="s">
        <v>3452</v>
      </c>
      <c r="B89" s="177" t="s">
        <v>3453</v>
      </c>
      <c r="C89" s="177" t="s">
        <v>3454</v>
      </c>
      <c r="D89" s="178" t="s">
        <v>3429</v>
      </c>
      <c r="E89" s="178" t="s">
        <v>3430</v>
      </c>
      <c r="F89" s="179" t="s">
        <v>3166</v>
      </c>
      <c r="G89" s="680">
        <v>64.892499999999998</v>
      </c>
    </row>
    <row r="90" spans="1:7">
      <c r="A90" t="s">
        <v>3455</v>
      </c>
      <c r="B90" s="177" t="s">
        <v>3456</v>
      </c>
      <c r="C90" s="177" t="s">
        <v>3457</v>
      </c>
      <c r="D90" s="178" t="s">
        <v>3429</v>
      </c>
      <c r="E90" s="178" t="s">
        <v>3430</v>
      </c>
      <c r="F90" s="179" t="s">
        <v>3166</v>
      </c>
      <c r="G90" s="680">
        <v>0</v>
      </c>
    </row>
    <row r="91" spans="1:7">
      <c r="A91" t="s">
        <v>99</v>
      </c>
      <c r="B91" s="174" t="s">
        <v>3458</v>
      </c>
      <c r="C91" s="174" t="s">
        <v>3459</v>
      </c>
      <c r="D91" s="175" t="s">
        <v>3429</v>
      </c>
      <c r="E91" s="175" t="s">
        <v>3430</v>
      </c>
      <c r="F91" s="176" t="s">
        <v>3166</v>
      </c>
      <c r="G91" s="679">
        <v>2250.0052499999997</v>
      </c>
    </row>
    <row r="92" spans="1:7">
      <c r="A92" t="s">
        <v>3460</v>
      </c>
      <c r="B92" s="177" t="s">
        <v>3461</v>
      </c>
      <c r="C92" s="177" t="s">
        <v>3462</v>
      </c>
      <c r="D92" s="178" t="s">
        <v>3429</v>
      </c>
      <c r="E92" s="178" t="s">
        <v>3430</v>
      </c>
      <c r="F92" s="179" t="s">
        <v>3166</v>
      </c>
      <c r="G92" s="680">
        <v>0</v>
      </c>
    </row>
    <row r="93" spans="1:7">
      <c r="A93" t="s">
        <v>3463</v>
      </c>
      <c r="B93" s="177" t="s">
        <v>3464</v>
      </c>
      <c r="C93" s="177" t="s">
        <v>3465</v>
      </c>
      <c r="D93" s="178" t="s">
        <v>3429</v>
      </c>
      <c r="E93" s="178" t="s">
        <v>3430</v>
      </c>
      <c r="F93" s="179" t="s">
        <v>3166</v>
      </c>
      <c r="G93" s="680">
        <v>4.2251000000000003</v>
      </c>
    </row>
    <row r="94" spans="1:7">
      <c r="A94" t="s">
        <v>3466</v>
      </c>
      <c r="B94" s="174" t="s">
        <v>3467</v>
      </c>
      <c r="C94" s="174" t="s">
        <v>3468</v>
      </c>
      <c r="D94" s="175" t="s">
        <v>3429</v>
      </c>
      <c r="E94" s="175" t="s">
        <v>3430</v>
      </c>
      <c r="F94" s="176" t="s">
        <v>3166</v>
      </c>
      <c r="G94" s="679">
        <v>18280.1178</v>
      </c>
    </row>
    <row r="95" spans="1:7">
      <c r="A95" t="s">
        <v>3469</v>
      </c>
      <c r="B95" s="177" t="s">
        <v>3470</v>
      </c>
      <c r="C95" s="177" t="s">
        <v>3471</v>
      </c>
      <c r="D95" s="178" t="s">
        <v>3429</v>
      </c>
      <c r="E95" s="178" t="s">
        <v>3430</v>
      </c>
      <c r="F95" s="179" t="s">
        <v>3166</v>
      </c>
      <c r="G95" s="680">
        <v>0.41415000000000002</v>
      </c>
    </row>
    <row r="96" spans="1:7">
      <c r="A96" t="s">
        <v>3472</v>
      </c>
      <c r="B96" s="177" t="s">
        <v>3473</v>
      </c>
      <c r="C96" s="177" t="s">
        <v>3474</v>
      </c>
      <c r="D96" s="178" t="s">
        <v>3429</v>
      </c>
      <c r="E96" s="178" t="s">
        <v>3430</v>
      </c>
      <c r="F96" s="179" t="s">
        <v>3166</v>
      </c>
      <c r="G96" s="680">
        <v>8.6750000000000007</v>
      </c>
    </row>
    <row r="97" spans="1:7">
      <c r="A97" t="s">
        <v>3475</v>
      </c>
      <c r="B97" s="177" t="s">
        <v>3476</v>
      </c>
      <c r="C97" s="177" t="s">
        <v>3477</v>
      </c>
      <c r="D97" s="178" t="s">
        <v>3429</v>
      </c>
      <c r="E97" s="178" t="s">
        <v>3430</v>
      </c>
      <c r="F97" s="179" t="s">
        <v>3166</v>
      </c>
      <c r="G97" s="680">
        <v>0.93374999999999997</v>
      </c>
    </row>
    <row r="98" spans="1:7">
      <c r="A98" t="s">
        <v>3478</v>
      </c>
      <c r="B98" s="174" t="s">
        <v>3479</v>
      </c>
      <c r="C98" s="174" t="s">
        <v>3480</v>
      </c>
      <c r="D98" s="175" t="s">
        <v>3429</v>
      </c>
      <c r="E98" s="175" t="s">
        <v>3430</v>
      </c>
      <c r="F98" s="176" t="s">
        <v>3166</v>
      </c>
      <c r="G98" s="679">
        <v>4216</v>
      </c>
    </row>
    <row r="99" spans="1:7">
      <c r="A99" t="s">
        <v>3481</v>
      </c>
      <c r="B99" s="180" t="s">
        <v>3482</v>
      </c>
      <c r="C99" s="180" t="s">
        <v>3483</v>
      </c>
      <c r="D99" s="181" t="s">
        <v>3429</v>
      </c>
      <c r="E99" s="181" t="s">
        <v>3430</v>
      </c>
      <c r="F99" s="182" t="s">
        <v>3166</v>
      </c>
      <c r="G99" s="681">
        <v>1173.25</v>
      </c>
    </row>
    <row r="100" spans="1:7">
      <c r="A100" t="s">
        <v>3484</v>
      </c>
      <c r="B100" s="174" t="s">
        <v>3485</v>
      </c>
      <c r="C100" s="174" t="s">
        <v>3486</v>
      </c>
      <c r="D100" s="175" t="s">
        <v>3429</v>
      </c>
      <c r="E100" s="175" t="s">
        <v>3430</v>
      </c>
      <c r="F100" s="176" t="s">
        <v>3166</v>
      </c>
      <c r="G100" s="679">
        <v>32595</v>
      </c>
    </row>
    <row r="101" spans="1:7">
      <c r="A101" t="s">
        <v>3487</v>
      </c>
      <c r="B101" s="174" t="s">
        <v>3488</v>
      </c>
      <c r="C101" s="174" t="s">
        <v>3489</v>
      </c>
      <c r="D101" s="175" t="s">
        <v>3429</v>
      </c>
      <c r="E101" s="175" t="s">
        <v>3430</v>
      </c>
      <c r="F101" s="176" t="s">
        <v>3166</v>
      </c>
      <c r="G101" s="679">
        <v>4655</v>
      </c>
    </row>
    <row r="102" spans="1:7">
      <c r="A102" t="s">
        <v>3490</v>
      </c>
      <c r="B102" s="174" t="s">
        <v>3491</v>
      </c>
      <c r="C102" s="174" t="s">
        <v>3492</v>
      </c>
      <c r="D102" s="175" t="s">
        <v>3429</v>
      </c>
      <c r="E102" s="175" t="s">
        <v>3493</v>
      </c>
      <c r="F102" s="176" t="s">
        <v>3166</v>
      </c>
      <c r="G102" s="679">
        <v>1830</v>
      </c>
    </row>
    <row r="103" spans="1:7">
      <c r="A103" t="s">
        <v>3494</v>
      </c>
      <c r="B103" s="174" t="s">
        <v>3495</v>
      </c>
      <c r="C103" s="174" t="s">
        <v>3496</v>
      </c>
      <c r="D103" s="175" t="s">
        <v>3497</v>
      </c>
      <c r="E103" s="175" t="s">
        <v>3296</v>
      </c>
      <c r="F103" s="176" t="s">
        <v>3166</v>
      </c>
      <c r="G103" s="679">
        <v>40969.799999999996</v>
      </c>
    </row>
    <row r="104" spans="1:7">
      <c r="A104" t="s">
        <v>3498</v>
      </c>
      <c r="B104" s="177" t="s">
        <v>3499</v>
      </c>
      <c r="C104" s="177" t="s">
        <v>3500</v>
      </c>
      <c r="D104" s="178" t="s">
        <v>3497</v>
      </c>
      <c r="E104" s="178" t="s">
        <v>3296</v>
      </c>
      <c r="F104" s="179" t="s">
        <v>3166</v>
      </c>
      <c r="G104" s="680">
        <v>121</v>
      </c>
    </row>
    <row r="105" spans="1:7">
      <c r="A105" t="s">
        <v>3501</v>
      </c>
      <c r="B105" s="177" t="s">
        <v>3502</v>
      </c>
      <c r="C105" s="177" t="s">
        <v>3503</v>
      </c>
      <c r="D105" s="178" t="s">
        <v>3497</v>
      </c>
      <c r="E105" s="178" t="s">
        <v>3296</v>
      </c>
      <c r="F105" s="179" t="s">
        <v>3166</v>
      </c>
      <c r="G105" s="680">
        <v>1.2050000000000001</v>
      </c>
    </row>
    <row r="106" spans="1:7">
      <c r="A106" t="s">
        <v>3504</v>
      </c>
      <c r="B106" s="174" t="s">
        <v>3505</v>
      </c>
      <c r="C106" s="174" t="s">
        <v>3506</v>
      </c>
      <c r="D106" s="175" t="s">
        <v>3497</v>
      </c>
      <c r="E106" s="175" t="s">
        <v>3296</v>
      </c>
      <c r="F106" s="176" t="s">
        <v>3166</v>
      </c>
      <c r="G106" s="679">
        <v>90984</v>
      </c>
    </row>
    <row r="107" spans="1:7">
      <c r="A107" t="s">
        <v>3507</v>
      </c>
      <c r="B107" s="174" t="s">
        <v>3508</v>
      </c>
      <c r="C107" s="174" t="s">
        <v>3509</v>
      </c>
      <c r="D107" s="175" t="s">
        <v>3497</v>
      </c>
      <c r="E107" s="175" t="s">
        <v>3296</v>
      </c>
      <c r="F107" s="176" t="s">
        <v>3166</v>
      </c>
      <c r="G107" s="679">
        <v>52556.30315</v>
      </c>
    </row>
    <row r="108" spans="1:7">
      <c r="A108" t="s">
        <v>3510</v>
      </c>
      <c r="B108" s="174" t="s">
        <v>3511</v>
      </c>
      <c r="C108" s="174" t="s">
        <v>3512</v>
      </c>
      <c r="D108" s="175" t="s">
        <v>3497</v>
      </c>
      <c r="E108" s="175" t="s">
        <v>3296</v>
      </c>
      <c r="F108" s="176" t="s">
        <v>3166</v>
      </c>
      <c r="G108" s="679">
        <v>85085</v>
      </c>
    </row>
    <row r="109" spans="1:7">
      <c r="A109" t="s">
        <v>3513</v>
      </c>
      <c r="B109" s="177" t="s">
        <v>3514</v>
      </c>
      <c r="C109" s="177" t="s">
        <v>3515</v>
      </c>
      <c r="D109" s="178" t="s">
        <v>3497</v>
      </c>
      <c r="E109" s="178" t="s">
        <v>3516</v>
      </c>
      <c r="F109" s="179" t="s">
        <v>3166</v>
      </c>
      <c r="G109" s="680">
        <v>0</v>
      </c>
    </row>
    <row r="110" spans="1:7">
      <c r="A110" t="s">
        <v>3517</v>
      </c>
      <c r="B110" s="174" t="s">
        <v>3518</v>
      </c>
      <c r="C110" s="174" t="s">
        <v>3519</v>
      </c>
      <c r="D110" s="175" t="s">
        <v>3497</v>
      </c>
      <c r="E110" s="175" t="s">
        <v>3516</v>
      </c>
      <c r="F110" s="176" t="s">
        <v>3166</v>
      </c>
      <c r="G110" s="679">
        <v>8496</v>
      </c>
    </row>
    <row r="111" spans="1:7">
      <c r="A111" t="s">
        <v>3520</v>
      </c>
      <c r="B111" s="174" t="s">
        <v>3521</v>
      </c>
      <c r="C111" s="174" t="s">
        <v>3522</v>
      </c>
      <c r="D111" s="175" t="s">
        <v>3497</v>
      </c>
      <c r="E111" s="175" t="s">
        <v>3516</v>
      </c>
      <c r="F111" s="176" t="s">
        <v>3166</v>
      </c>
      <c r="G111" s="679">
        <v>3407.5</v>
      </c>
    </row>
    <row r="112" spans="1:7">
      <c r="A112" t="s">
        <v>3523</v>
      </c>
      <c r="B112" s="174" t="s">
        <v>3524</v>
      </c>
      <c r="C112" s="174" t="s">
        <v>3525</v>
      </c>
      <c r="D112" s="175" t="s">
        <v>3497</v>
      </c>
      <c r="E112" s="175" t="s">
        <v>3516</v>
      </c>
      <c r="F112" s="176" t="s">
        <v>3166</v>
      </c>
      <c r="G112" s="679">
        <v>37416.6</v>
      </c>
    </row>
    <row r="113" spans="1:7">
      <c r="A113" t="s">
        <v>3526</v>
      </c>
      <c r="B113" s="174" t="s">
        <v>3527</v>
      </c>
      <c r="C113" s="174" t="s">
        <v>3528</v>
      </c>
      <c r="D113" s="175" t="s">
        <v>3497</v>
      </c>
      <c r="E113" s="175" t="s">
        <v>3516</v>
      </c>
      <c r="F113" s="176" t="s">
        <v>3166</v>
      </c>
      <c r="G113" s="679">
        <v>5126</v>
      </c>
    </row>
    <row r="114" spans="1:7">
      <c r="A114" t="s">
        <v>3529</v>
      </c>
      <c r="B114" s="174" t="s">
        <v>3530</v>
      </c>
      <c r="C114" s="174" t="s">
        <v>3531</v>
      </c>
      <c r="D114" s="175" t="s">
        <v>3497</v>
      </c>
      <c r="E114" s="175" t="s">
        <v>3516</v>
      </c>
      <c r="F114" s="176" t="s">
        <v>3166</v>
      </c>
      <c r="G114" s="679">
        <v>91664.069999999992</v>
      </c>
    </row>
    <row r="115" spans="1:7">
      <c r="A115" t="s">
        <v>3532</v>
      </c>
      <c r="B115" s="174" t="s">
        <v>3533</v>
      </c>
      <c r="C115" s="174" t="s">
        <v>3534</v>
      </c>
      <c r="D115" s="175" t="s">
        <v>3497</v>
      </c>
      <c r="E115" s="175" t="s">
        <v>3516</v>
      </c>
      <c r="F115" s="176" t="s">
        <v>3166</v>
      </c>
      <c r="G115" s="679">
        <v>36143.415000000001</v>
      </c>
    </row>
    <row r="116" spans="1:7">
      <c r="A116" t="s">
        <v>3535</v>
      </c>
      <c r="B116" s="174" t="s">
        <v>3536</v>
      </c>
      <c r="C116" s="174" t="s">
        <v>3537</v>
      </c>
      <c r="D116" s="175" t="s">
        <v>3497</v>
      </c>
      <c r="E116" s="175" t="s">
        <v>3516</v>
      </c>
      <c r="F116" s="176" t="s">
        <v>3166</v>
      </c>
      <c r="G116" s="679">
        <v>114532.0995</v>
      </c>
    </row>
    <row r="117" spans="1:7">
      <c r="A117" t="s">
        <v>3538</v>
      </c>
      <c r="B117" s="174" t="s">
        <v>3539</v>
      </c>
      <c r="C117" s="174" t="s">
        <v>3540</v>
      </c>
      <c r="D117" s="175" t="s">
        <v>3497</v>
      </c>
      <c r="E117" s="175" t="s">
        <v>3516</v>
      </c>
      <c r="F117" s="176" t="s">
        <v>3166</v>
      </c>
      <c r="G117" s="679">
        <v>13585.94025</v>
      </c>
    </row>
    <row r="118" spans="1:7">
      <c r="A118" t="s">
        <v>3541</v>
      </c>
      <c r="B118" s="174" t="s">
        <v>3542</v>
      </c>
      <c r="C118" s="174" t="s">
        <v>3543</v>
      </c>
      <c r="D118" s="175" t="s">
        <v>3497</v>
      </c>
      <c r="E118" s="175" t="s">
        <v>3516</v>
      </c>
      <c r="F118" s="176" t="s">
        <v>3166</v>
      </c>
      <c r="G118" s="679">
        <v>2447.6597999999999</v>
      </c>
    </row>
    <row r="119" spans="1:7">
      <c r="A119" t="s">
        <v>3544</v>
      </c>
      <c r="B119" s="174" t="s">
        <v>3545</v>
      </c>
      <c r="C119" s="174" t="s">
        <v>3546</v>
      </c>
      <c r="D119" s="175" t="s">
        <v>3497</v>
      </c>
      <c r="E119" s="175" t="s">
        <v>3516</v>
      </c>
      <c r="F119" s="176" t="s">
        <v>3166</v>
      </c>
      <c r="G119" s="679">
        <v>2201.8999999999996</v>
      </c>
    </row>
    <row r="120" spans="1:7">
      <c r="A120" t="s">
        <v>3547</v>
      </c>
      <c r="B120" s="174" t="s">
        <v>3548</v>
      </c>
      <c r="C120" s="174" t="s">
        <v>3549</v>
      </c>
      <c r="D120" s="175" t="s">
        <v>3497</v>
      </c>
      <c r="E120" s="175" t="s">
        <v>3516</v>
      </c>
      <c r="F120" s="176" t="s">
        <v>3166</v>
      </c>
      <c r="G120" s="679">
        <v>2192.1999999999998</v>
      </c>
    </row>
    <row r="121" spans="1:7">
      <c r="A121" t="s">
        <v>3550</v>
      </c>
      <c r="B121" s="174" t="s">
        <v>3551</v>
      </c>
      <c r="C121" s="174" t="s">
        <v>3552</v>
      </c>
      <c r="D121" s="175" t="s">
        <v>3497</v>
      </c>
      <c r="E121" s="175" t="s">
        <v>3516</v>
      </c>
      <c r="F121" s="176" t="s">
        <v>3166</v>
      </c>
      <c r="G121" s="679">
        <v>585</v>
      </c>
    </row>
    <row r="122" spans="1:7">
      <c r="A122" t="s">
        <v>3553</v>
      </c>
      <c r="B122" s="174" t="s">
        <v>3554</v>
      </c>
      <c r="C122" s="174" t="s">
        <v>3555</v>
      </c>
      <c r="D122" s="175" t="s">
        <v>3497</v>
      </c>
      <c r="E122" s="175" t="s">
        <v>3516</v>
      </c>
      <c r="F122" s="176" t="s">
        <v>3166</v>
      </c>
      <c r="G122" s="679">
        <v>162924.00320000001</v>
      </c>
    </row>
    <row r="123" spans="1:7">
      <c r="A123" t="s">
        <v>3556</v>
      </c>
      <c r="B123" s="174" t="s">
        <v>3557</v>
      </c>
      <c r="C123" s="174" t="s">
        <v>3558</v>
      </c>
      <c r="D123" s="175" t="s">
        <v>3497</v>
      </c>
      <c r="E123" s="175" t="s">
        <v>3516</v>
      </c>
      <c r="F123" s="176" t="s">
        <v>3166</v>
      </c>
      <c r="G123" s="679">
        <v>142111.5668</v>
      </c>
    </row>
    <row r="124" spans="1:7">
      <c r="A124" t="s">
        <v>3559</v>
      </c>
      <c r="B124" s="174" t="s">
        <v>3560</v>
      </c>
      <c r="C124" s="174" t="s">
        <v>3561</v>
      </c>
      <c r="D124" s="175" t="s">
        <v>3497</v>
      </c>
      <c r="E124" s="175" t="s">
        <v>3562</v>
      </c>
      <c r="F124" s="176" t="s">
        <v>3166</v>
      </c>
      <c r="G124" s="679">
        <v>111</v>
      </c>
    </row>
    <row r="125" spans="1:7">
      <c r="A125" t="s">
        <v>3563</v>
      </c>
      <c r="B125" s="174" t="s">
        <v>3564</v>
      </c>
      <c r="C125" s="174" t="s">
        <v>3565</v>
      </c>
      <c r="D125" s="175" t="s">
        <v>3497</v>
      </c>
      <c r="E125" s="175" t="s">
        <v>3562</v>
      </c>
      <c r="F125" s="176" t="s">
        <v>3166</v>
      </c>
      <c r="G125" s="679">
        <v>38060.465300000003</v>
      </c>
    </row>
    <row r="126" spans="1:7">
      <c r="A126" t="s">
        <v>3566</v>
      </c>
      <c r="B126" s="174" t="s">
        <v>3567</v>
      </c>
      <c r="C126" s="174" t="s">
        <v>3568</v>
      </c>
      <c r="D126" s="175" t="s">
        <v>3497</v>
      </c>
      <c r="E126" s="175" t="s">
        <v>3562</v>
      </c>
      <c r="F126" s="176" t="s">
        <v>3166</v>
      </c>
      <c r="G126" s="679">
        <v>52815.884000000005</v>
      </c>
    </row>
    <row r="127" spans="1:7">
      <c r="A127" t="s">
        <v>3569</v>
      </c>
      <c r="B127" s="177" t="s">
        <v>3570</v>
      </c>
      <c r="C127" s="177" t="s">
        <v>3571</v>
      </c>
      <c r="D127" s="178" t="s">
        <v>3497</v>
      </c>
      <c r="E127" s="178" t="s">
        <v>3562</v>
      </c>
      <c r="F127" s="179" t="s">
        <v>3166</v>
      </c>
      <c r="G127" s="680">
        <v>0</v>
      </c>
    </row>
    <row r="128" spans="1:7">
      <c r="A128" t="s">
        <v>3572</v>
      </c>
      <c r="B128" s="174" t="s">
        <v>3573</v>
      </c>
      <c r="C128" s="174" t="s">
        <v>3574</v>
      </c>
      <c r="D128" s="175" t="s">
        <v>3497</v>
      </c>
      <c r="E128" s="175" t="s">
        <v>3562</v>
      </c>
      <c r="F128" s="176" t="s">
        <v>3166</v>
      </c>
      <c r="G128" s="679">
        <v>206010</v>
      </c>
    </row>
    <row r="129" spans="1:7">
      <c r="A129" t="s">
        <v>3575</v>
      </c>
      <c r="B129" s="174" t="s">
        <v>3576</v>
      </c>
      <c r="C129" s="174" t="s">
        <v>3577</v>
      </c>
      <c r="D129" s="175" t="s">
        <v>3497</v>
      </c>
      <c r="E129" s="175" t="s">
        <v>3562</v>
      </c>
      <c r="F129" s="176" t="s">
        <v>3166</v>
      </c>
      <c r="G129" s="679">
        <v>79639</v>
      </c>
    </row>
    <row r="130" spans="1:7">
      <c r="A130" t="s">
        <v>3578</v>
      </c>
      <c r="B130" s="174" t="s">
        <v>3579</v>
      </c>
      <c r="C130" s="174" t="s">
        <v>3580</v>
      </c>
      <c r="D130" s="175" t="s">
        <v>3497</v>
      </c>
      <c r="E130" s="175" t="s">
        <v>3562</v>
      </c>
      <c r="F130" s="176" t="s">
        <v>3166</v>
      </c>
      <c r="G130" s="679">
        <v>24780.837599999999</v>
      </c>
    </row>
    <row r="131" spans="1:7">
      <c r="A131" t="s">
        <v>3581</v>
      </c>
      <c r="B131" s="180" t="s">
        <v>3582</v>
      </c>
      <c r="C131" s="180" t="s">
        <v>3583</v>
      </c>
      <c r="D131" s="181" t="s">
        <v>3497</v>
      </c>
      <c r="E131" s="181" t="s">
        <v>3562</v>
      </c>
      <c r="F131" s="182" t="s">
        <v>3166</v>
      </c>
      <c r="G131" s="681">
        <v>49746.345250000006</v>
      </c>
    </row>
    <row r="132" spans="1:7">
      <c r="A132" t="s">
        <v>3584</v>
      </c>
      <c r="B132" s="174" t="s">
        <v>3585</v>
      </c>
      <c r="C132" s="174" t="s">
        <v>3586</v>
      </c>
      <c r="D132" s="175" t="s">
        <v>3497</v>
      </c>
      <c r="E132" s="175" t="s">
        <v>3562</v>
      </c>
      <c r="F132" s="176" t="s">
        <v>3166</v>
      </c>
      <c r="G132" s="679">
        <v>41772.083100000003</v>
      </c>
    </row>
    <row r="133" spans="1:7">
      <c r="A133" t="s">
        <v>3587</v>
      </c>
      <c r="B133" s="177" t="s">
        <v>3588</v>
      </c>
      <c r="C133" s="177" t="s">
        <v>3589</v>
      </c>
      <c r="D133" s="178" t="s">
        <v>3497</v>
      </c>
      <c r="E133" s="178" t="s">
        <v>3562</v>
      </c>
      <c r="F133" s="179" t="s">
        <v>3166</v>
      </c>
      <c r="G133" s="680">
        <v>1.0649999999999999</v>
      </c>
    </row>
    <row r="134" spans="1:7">
      <c r="A134" t="s">
        <v>3590</v>
      </c>
      <c r="B134" s="174" t="s">
        <v>3591</v>
      </c>
      <c r="C134" s="174" t="s">
        <v>3592</v>
      </c>
      <c r="D134" s="175" t="s">
        <v>3497</v>
      </c>
      <c r="E134" s="175" t="s">
        <v>3562</v>
      </c>
      <c r="F134" s="176" t="s">
        <v>3166</v>
      </c>
      <c r="G134" s="679">
        <v>198683.5698</v>
      </c>
    </row>
    <row r="135" spans="1:7">
      <c r="A135" t="s">
        <v>3593</v>
      </c>
      <c r="B135" s="174" t="s">
        <v>3594</v>
      </c>
      <c r="C135" s="174" t="s">
        <v>3595</v>
      </c>
      <c r="D135" s="175" t="s">
        <v>3497</v>
      </c>
      <c r="E135" s="175" t="s">
        <v>3562</v>
      </c>
      <c r="F135" s="176" t="s">
        <v>3166</v>
      </c>
      <c r="G135" s="679">
        <v>266915</v>
      </c>
    </row>
    <row r="136" spans="1:7">
      <c r="A136" t="s">
        <v>3596</v>
      </c>
      <c r="B136" s="174" t="s">
        <v>3597</v>
      </c>
      <c r="C136" s="174" t="s">
        <v>3598</v>
      </c>
      <c r="D136" s="175" t="s">
        <v>3497</v>
      </c>
      <c r="E136" s="175" t="s">
        <v>3562</v>
      </c>
      <c r="F136" s="176" t="s">
        <v>3166</v>
      </c>
      <c r="G136" s="679">
        <v>225750</v>
      </c>
    </row>
    <row r="137" spans="1:7">
      <c r="A137" t="s">
        <v>3599</v>
      </c>
      <c r="B137" s="174" t="s">
        <v>3600</v>
      </c>
      <c r="C137" s="174" t="s">
        <v>3601</v>
      </c>
      <c r="D137" s="175" t="s">
        <v>3497</v>
      </c>
      <c r="E137" s="175" t="s">
        <v>3562</v>
      </c>
      <c r="F137" s="176" t="s">
        <v>3166</v>
      </c>
      <c r="G137" s="679">
        <v>224675</v>
      </c>
    </row>
    <row r="138" spans="1:7">
      <c r="A138" t="s">
        <v>3602</v>
      </c>
      <c r="B138" s="174" t="s">
        <v>3603</v>
      </c>
      <c r="C138" s="174" t="s">
        <v>3604</v>
      </c>
      <c r="D138" s="175" t="s">
        <v>3497</v>
      </c>
      <c r="E138" s="175" t="s">
        <v>3562</v>
      </c>
      <c r="F138" s="176" t="s">
        <v>3166</v>
      </c>
      <c r="G138" s="679">
        <v>308256</v>
      </c>
    </row>
    <row r="139" spans="1:7">
      <c r="A139" t="s">
        <v>3605</v>
      </c>
      <c r="B139" s="174" t="s">
        <v>3606</v>
      </c>
      <c r="C139" s="174" t="s">
        <v>3607</v>
      </c>
      <c r="D139" s="175" t="s">
        <v>3497</v>
      </c>
      <c r="E139" s="175" t="s">
        <v>3562</v>
      </c>
      <c r="F139" s="176" t="s">
        <v>3166</v>
      </c>
      <c r="G139" s="679">
        <v>218291.0013</v>
      </c>
    </row>
    <row r="140" spans="1:7">
      <c r="A140" t="s">
        <v>3608</v>
      </c>
      <c r="B140" s="174" t="s">
        <v>3609</v>
      </c>
      <c r="C140" s="174" t="s">
        <v>3610</v>
      </c>
      <c r="D140" s="175" t="s">
        <v>3497</v>
      </c>
      <c r="E140" s="175" t="s">
        <v>3562</v>
      </c>
      <c r="F140" s="176" t="s">
        <v>3166</v>
      </c>
      <c r="G140" s="679">
        <v>321399.14</v>
      </c>
    </row>
    <row r="141" spans="1:7">
      <c r="A141" t="s">
        <v>3611</v>
      </c>
      <c r="B141" s="174" t="s">
        <v>3612</v>
      </c>
      <c r="C141" s="174" t="s">
        <v>3613</v>
      </c>
      <c r="D141" s="175" t="s">
        <v>3497</v>
      </c>
      <c r="E141" s="175" t="s">
        <v>3562</v>
      </c>
      <c r="F141" s="176" t="s">
        <v>3166</v>
      </c>
      <c r="G141" s="679">
        <v>237800</v>
      </c>
    </row>
    <row r="142" spans="1:7">
      <c r="A142" t="s">
        <v>3614</v>
      </c>
      <c r="B142" s="177" t="s">
        <v>3615</v>
      </c>
      <c r="C142" s="177" t="s">
        <v>3616</v>
      </c>
      <c r="D142" s="178" t="s">
        <v>3497</v>
      </c>
      <c r="E142" s="178" t="s">
        <v>3562</v>
      </c>
      <c r="F142" s="179" t="s">
        <v>3166</v>
      </c>
      <c r="G142" s="680">
        <v>0</v>
      </c>
    </row>
    <row r="143" spans="1:7">
      <c r="A143" t="s">
        <v>3617</v>
      </c>
      <c r="B143" s="177" t="s">
        <v>3618</v>
      </c>
      <c r="C143" s="177" t="s">
        <v>3619</v>
      </c>
      <c r="D143" s="178" t="s">
        <v>3497</v>
      </c>
      <c r="E143" s="178" t="s">
        <v>3562</v>
      </c>
      <c r="F143" s="179" t="s">
        <v>3166</v>
      </c>
      <c r="G143" s="680">
        <v>0</v>
      </c>
    </row>
    <row r="144" spans="1:7">
      <c r="A144" t="s">
        <v>3620</v>
      </c>
      <c r="B144" s="174" t="s">
        <v>3621</v>
      </c>
      <c r="C144" s="174" t="s">
        <v>3622</v>
      </c>
      <c r="D144" s="175" t="s">
        <v>3497</v>
      </c>
      <c r="E144" s="175" t="s">
        <v>3562</v>
      </c>
      <c r="F144" s="176" t="s">
        <v>3166</v>
      </c>
      <c r="G144" s="679">
        <v>337340</v>
      </c>
    </row>
    <row r="145" spans="1:7">
      <c r="A145" t="s">
        <v>3623</v>
      </c>
      <c r="B145" s="174" t="s">
        <v>3624</v>
      </c>
      <c r="C145" s="174" t="s">
        <v>3625</v>
      </c>
      <c r="D145" s="175" t="s">
        <v>3497</v>
      </c>
      <c r="E145" s="175" t="s">
        <v>3562</v>
      </c>
      <c r="F145" s="176" t="s">
        <v>3166</v>
      </c>
      <c r="G145" s="679">
        <v>335670</v>
      </c>
    </row>
    <row r="146" spans="1:7">
      <c r="A146" t="s">
        <v>3626</v>
      </c>
      <c r="B146" s="174" t="s">
        <v>3627</v>
      </c>
      <c r="C146" s="174" t="s">
        <v>3628</v>
      </c>
      <c r="D146" s="175" t="s">
        <v>3497</v>
      </c>
      <c r="E146" s="175" t="s">
        <v>3562</v>
      </c>
      <c r="F146" s="176" t="s">
        <v>3166</v>
      </c>
      <c r="G146" s="679">
        <v>261000</v>
      </c>
    </row>
    <row r="147" spans="1:7">
      <c r="A147" t="s">
        <v>3629</v>
      </c>
      <c r="B147" s="177" t="s">
        <v>3630</v>
      </c>
      <c r="C147" s="177" t="s">
        <v>3631</v>
      </c>
      <c r="D147" s="178" t="s">
        <v>3497</v>
      </c>
      <c r="E147" s="178" t="s">
        <v>3562</v>
      </c>
      <c r="F147" s="179" t="s">
        <v>3166</v>
      </c>
      <c r="G147" s="680">
        <v>0.995</v>
      </c>
    </row>
    <row r="148" spans="1:7">
      <c r="A148" t="s">
        <v>3632</v>
      </c>
      <c r="B148" s="177" t="s">
        <v>3633</v>
      </c>
      <c r="C148" s="177" t="s">
        <v>3634</v>
      </c>
      <c r="D148" s="178" t="s">
        <v>3497</v>
      </c>
      <c r="E148" s="178" t="s">
        <v>3562</v>
      </c>
      <c r="F148" s="179" t="s">
        <v>3166</v>
      </c>
      <c r="G148" s="680">
        <v>0.99</v>
      </c>
    </row>
    <row r="149" spans="1:7">
      <c r="A149" t="s">
        <v>3635</v>
      </c>
      <c r="B149" s="177" t="s">
        <v>3636</v>
      </c>
      <c r="C149" s="177" t="s">
        <v>3637</v>
      </c>
      <c r="D149" s="178" t="s">
        <v>3497</v>
      </c>
      <c r="E149" s="178" t="s">
        <v>3562</v>
      </c>
      <c r="F149" s="179" t="s">
        <v>3166</v>
      </c>
      <c r="G149" s="680">
        <v>0.98499999999999999</v>
      </c>
    </row>
    <row r="150" spans="1:7">
      <c r="A150" t="s">
        <v>3638</v>
      </c>
      <c r="B150" s="177" t="s">
        <v>3639</v>
      </c>
      <c r="C150" s="177" t="s">
        <v>3640</v>
      </c>
      <c r="D150" s="178" t="s">
        <v>3497</v>
      </c>
      <c r="E150" s="178" t="s">
        <v>3562</v>
      </c>
      <c r="F150" s="179" t="s">
        <v>3166</v>
      </c>
      <c r="G150" s="680">
        <v>0.98</v>
      </c>
    </row>
    <row r="151" spans="1:7">
      <c r="A151" t="s">
        <v>3641</v>
      </c>
      <c r="B151" s="174" t="s">
        <v>3642</v>
      </c>
      <c r="C151" s="174" t="s">
        <v>3643</v>
      </c>
      <c r="D151" s="175" t="s">
        <v>3644</v>
      </c>
      <c r="E151" s="175" t="s">
        <v>3645</v>
      </c>
      <c r="F151" s="176" t="s">
        <v>3166</v>
      </c>
      <c r="G151" s="679">
        <v>10530</v>
      </c>
    </row>
    <row r="152" spans="1:7">
      <c r="A152" t="s">
        <v>3646</v>
      </c>
      <c r="B152" s="174" t="s">
        <v>3647</v>
      </c>
      <c r="C152" s="174" t="s">
        <v>3648</v>
      </c>
      <c r="D152" s="175" t="s">
        <v>3644</v>
      </c>
      <c r="E152" s="175" t="s">
        <v>3645</v>
      </c>
      <c r="F152" s="176" t="s">
        <v>3166</v>
      </c>
      <c r="G152" s="679">
        <v>168101</v>
      </c>
    </row>
    <row r="153" spans="1:7">
      <c r="A153" t="s">
        <v>3649</v>
      </c>
      <c r="B153" s="174" t="s">
        <v>3650</v>
      </c>
      <c r="C153" s="174" t="s">
        <v>3651</v>
      </c>
      <c r="D153" s="175" t="s">
        <v>3644</v>
      </c>
      <c r="E153" s="175" t="s">
        <v>3645</v>
      </c>
      <c r="F153" s="176" t="s">
        <v>3166</v>
      </c>
      <c r="G153" s="679">
        <v>55005</v>
      </c>
    </row>
    <row r="154" spans="1:7">
      <c r="A154" t="s">
        <v>3652</v>
      </c>
      <c r="B154" s="174" t="s">
        <v>3653</v>
      </c>
      <c r="C154" s="174" t="s">
        <v>3654</v>
      </c>
      <c r="D154" s="175" t="s">
        <v>3644</v>
      </c>
      <c r="E154" s="175" t="s">
        <v>3645</v>
      </c>
      <c r="F154" s="176" t="s">
        <v>3166</v>
      </c>
      <c r="G154" s="679">
        <v>52800</v>
      </c>
    </row>
    <row r="155" spans="1:7">
      <c r="A155" t="s">
        <v>3655</v>
      </c>
      <c r="B155" s="174" t="s">
        <v>3656</v>
      </c>
      <c r="C155" s="174" t="s">
        <v>3657</v>
      </c>
      <c r="D155" s="175" t="s">
        <v>3644</v>
      </c>
      <c r="E155" s="175" t="s">
        <v>3645</v>
      </c>
      <c r="F155" s="176" t="s">
        <v>3166</v>
      </c>
      <c r="G155" s="679">
        <v>71625</v>
      </c>
    </row>
    <row r="156" spans="1:7">
      <c r="A156" t="s">
        <v>3658</v>
      </c>
      <c r="B156" s="174" t="s">
        <v>3659</v>
      </c>
      <c r="C156" s="174" t="s">
        <v>3660</v>
      </c>
      <c r="D156" s="175" t="s">
        <v>3644</v>
      </c>
      <c r="E156" s="175" t="s">
        <v>3645</v>
      </c>
      <c r="F156" s="176" t="s">
        <v>3166</v>
      </c>
      <c r="G156" s="679">
        <v>34295</v>
      </c>
    </row>
    <row r="157" spans="1:7">
      <c r="A157" t="s">
        <v>3661</v>
      </c>
      <c r="B157" s="174" t="s">
        <v>3662</v>
      </c>
      <c r="C157" s="174" t="s">
        <v>3663</v>
      </c>
      <c r="D157" s="175" t="s">
        <v>3644</v>
      </c>
      <c r="E157" s="175" t="s">
        <v>3645</v>
      </c>
      <c r="F157" s="176" t="s">
        <v>3166</v>
      </c>
      <c r="G157" s="679">
        <v>27310.5</v>
      </c>
    </row>
    <row r="158" spans="1:7">
      <c r="A158" t="s">
        <v>3664</v>
      </c>
      <c r="B158" s="174" t="s">
        <v>3665</v>
      </c>
      <c r="C158" s="174" t="s">
        <v>3666</v>
      </c>
      <c r="D158" s="175" t="s">
        <v>3644</v>
      </c>
      <c r="E158" s="175" t="s">
        <v>3645</v>
      </c>
      <c r="F158" s="176" t="s">
        <v>3166</v>
      </c>
      <c r="G158" s="679">
        <v>57340</v>
      </c>
    </row>
    <row r="159" spans="1:7">
      <c r="A159" t="s">
        <v>3667</v>
      </c>
      <c r="B159" s="174" t="s">
        <v>3668</v>
      </c>
      <c r="C159" s="174" t="s">
        <v>3669</v>
      </c>
      <c r="D159" s="175" t="s">
        <v>3644</v>
      </c>
      <c r="E159" s="175" t="s">
        <v>3645</v>
      </c>
      <c r="F159" s="176" t="s">
        <v>3166</v>
      </c>
      <c r="G159" s="679">
        <v>58375.163549999997</v>
      </c>
    </row>
    <row r="160" spans="1:7">
      <c r="A160" t="s">
        <v>3670</v>
      </c>
      <c r="B160" s="177" t="s">
        <v>3671</v>
      </c>
      <c r="C160" s="177" t="s">
        <v>3672</v>
      </c>
      <c r="D160" s="178" t="s">
        <v>3644</v>
      </c>
      <c r="E160" s="178" t="s">
        <v>3645</v>
      </c>
      <c r="F160" s="179" t="s">
        <v>3166</v>
      </c>
      <c r="G160" s="680">
        <v>0</v>
      </c>
    </row>
    <row r="161" spans="1:7">
      <c r="A161" t="s">
        <v>3673</v>
      </c>
      <c r="B161" s="174" t="s">
        <v>3674</v>
      </c>
      <c r="C161" s="174" t="s">
        <v>3675</v>
      </c>
      <c r="D161" s="175" t="s">
        <v>3644</v>
      </c>
      <c r="E161" s="175" t="s">
        <v>3645</v>
      </c>
      <c r="F161" s="176" t="s">
        <v>3166</v>
      </c>
      <c r="G161" s="679">
        <v>53465</v>
      </c>
    </row>
    <row r="162" spans="1:7">
      <c r="A162" t="s">
        <v>3676</v>
      </c>
      <c r="B162" s="177" t="s">
        <v>3677</v>
      </c>
      <c r="C162" s="177" t="s">
        <v>3678</v>
      </c>
      <c r="D162" s="178" t="s">
        <v>3644</v>
      </c>
      <c r="E162" s="178" t="s">
        <v>3645</v>
      </c>
      <c r="F162" s="179" t="s">
        <v>3166</v>
      </c>
      <c r="G162" s="680">
        <v>0</v>
      </c>
    </row>
    <row r="163" spans="1:7">
      <c r="A163" t="s">
        <v>3679</v>
      </c>
      <c r="B163" s="180" t="s">
        <v>3680</v>
      </c>
      <c r="C163" s="180" t="s">
        <v>3681</v>
      </c>
      <c r="D163" s="181" t="s">
        <v>3644</v>
      </c>
      <c r="E163" s="181" t="s">
        <v>3645</v>
      </c>
      <c r="F163" s="182" t="s">
        <v>3166</v>
      </c>
      <c r="G163" s="681">
        <v>158569.5</v>
      </c>
    </row>
    <row r="164" spans="1:7">
      <c r="A164" t="s">
        <v>3682</v>
      </c>
      <c r="B164" s="174" t="s">
        <v>3683</v>
      </c>
      <c r="C164" s="174" t="s">
        <v>3684</v>
      </c>
      <c r="D164" s="175" t="s">
        <v>3644</v>
      </c>
      <c r="E164" s="175" t="s">
        <v>3645</v>
      </c>
      <c r="F164" s="176" t="s">
        <v>3166</v>
      </c>
      <c r="G164" s="679">
        <v>13723.710000000001</v>
      </c>
    </row>
    <row r="165" spans="1:7">
      <c r="A165" t="s">
        <v>3685</v>
      </c>
      <c r="B165" s="174" t="s">
        <v>3686</v>
      </c>
      <c r="C165" s="174" t="s">
        <v>3687</v>
      </c>
      <c r="D165" s="175" t="s">
        <v>3644</v>
      </c>
      <c r="E165" s="175" t="s">
        <v>3645</v>
      </c>
      <c r="F165" s="176" t="s">
        <v>3166</v>
      </c>
      <c r="G165" s="679">
        <v>20724.5</v>
      </c>
    </row>
    <row r="166" spans="1:7">
      <c r="A166" t="s">
        <v>3688</v>
      </c>
      <c r="B166" s="174" t="s">
        <v>3689</v>
      </c>
      <c r="C166" s="174" t="s">
        <v>3690</v>
      </c>
      <c r="D166" s="175" t="s">
        <v>3644</v>
      </c>
      <c r="E166" s="175" t="s">
        <v>3645</v>
      </c>
      <c r="F166" s="176" t="s">
        <v>3166</v>
      </c>
      <c r="G166" s="679">
        <v>35610.642</v>
      </c>
    </row>
    <row r="167" spans="1:7">
      <c r="A167" t="s">
        <v>3691</v>
      </c>
      <c r="B167" s="174" t="s">
        <v>3692</v>
      </c>
      <c r="C167" s="174" t="s">
        <v>3693</v>
      </c>
      <c r="D167" s="175" t="s">
        <v>3644</v>
      </c>
      <c r="E167" s="175" t="s">
        <v>3645</v>
      </c>
      <c r="F167" s="176" t="s">
        <v>3166</v>
      </c>
      <c r="G167" s="679">
        <v>20495.5</v>
      </c>
    </row>
    <row r="168" spans="1:7">
      <c r="A168" t="s">
        <v>3694</v>
      </c>
      <c r="B168" s="174" t="s">
        <v>3695</v>
      </c>
      <c r="C168" s="174" t="s">
        <v>3696</v>
      </c>
      <c r="D168" s="175" t="s">
        <v>3644</v>
      </c>
      <c r="E168" s="175" t="s">
        <v>3697</v>
      </c>
      <c r="F168" s="176" t="s">
        <v>3166</v>
      </c>
      <c r="G168" s="679">
        <v>8297.4700000000012</v>
      </c>
    </row>
    <row r="169" spans="1:7">
      <c r="A169" t="s">
        <v>3698</v>
      </c>
      <c r="B169" s="174" t="s">
        <v>3699</v>
      </c>
      <c r="C169" s="174" t="s">
        <v>3700</v>
      </c>
      <c r="D169" s="175" t="s">
        <v>3644</v>
      </c>
      <c r="E169" s="175" t="s">
        <v>3701</v>
      </c>
      <c r="F169" s="176" t="s">
        <v>3166</v>
      </c>
      <c r="G169" s="679">
        <v>2516.0815499999999</v>
      </c>
    </row>
    <row r="170" spans="1:7">
      <c r="A170" t="s">
        <v>3702</v>
      </c>
      <c r="B170" s="174" t="s">
        <v>3703</v>
      </c>
      <c r="C170" s="174" t="s">
        <v>3704</v>
      </c>
      <c r="D170" s="175" t="s">
        <v>3644</v>
      </c>
      <c r="E170" s="175" t="s">
        <v>3701</v>
      </c>
      <c r="F170" s="176" t="s">
        <v>3166</v>
      </c>
      <c r="G170" s="679">
        <v>447.91999999999996</v>
      </c>
    </row>
    <row r="171" spans="1:7">
      <c r="A171" t="s">
        <v>3705</v>
      </c>
      <c r="B171" s="174" t="s">
        <v>3706</v>
      </c>
      <c r="C171" s="174" t="s">
        <v>3707</v>
      </c>
      <c r="D171" s="175" t="s">
        <v>3644</v>
      </c>
      <c r="E171" s="175" t="s">
        <v>3701</v>
      </c>
      <c r="F171" s="176" t="s">
        <v>3166</v>
      </c>
      <c r="G171" s="679">
        <v>1800.7499999999998</v>
      </c>
    </row>
    <row r="172" spans="1:7">
      <c r="A172" t="s">
        <v>3708</v>
      </c>
      <c r="B172" s="174" t="s">
        <v>3709</v>
      </c>
      <c r="C172" s="174" t="s">
        <v>3710</v>
      </c>
      <c r="D172" s="175" t="s">
        <v>3644</v>
      </c>
      <c r="E172" s="175" t="s">
        <v>3701</v>
      </c>
      <c r="F172" s="176" t="s">
        <v>3166</v>
      </c>
      <c r="G172" s="679">
        <v>1790.4599999999998</v>
      </c>
    </row>
    <row r="173" spans="1:7">
      <c r="A173" t="s">
        <v>3711</v>
      </c>
      <c r="B173" s="174" t="s">
        <v>3712</v>
      </c>
      <c r="C173" s="174" t="s">
        <v>3713</v>
      </c>
      <c r="D173" s="175" t="s">
        <v>3644</v>
      </c>
      <c r="E173" s="175" t="s">
        <v>3701</v>
      </c>
      <c r="F173" s="176" t="s">
        <v>3166</v>
      </c>
      <c r="G173" s="679">
        <v>178.38029999999998</v>
      </c>
    </row>
    <row r="174" spans="1:7">
      <c r="A174" t="s">
        <v>3714</v>
      </c>
      <c r="B174" s="174" t="s">
        <v>3715</v>
      </c>
      <c r="C174" s="174" t="s">
        <v>3716</v>
      </c>
      <c r="D174" s="175" t="s">
        <v>3644</v>
      </c>
      <c r="E174" s="175" t="s">
        <v>3701</v>
      </c>
      <c r="F174" s="176" t="s">
        <v>3166</v>
      </c>
      <c r="G174" s="679">
        <v>202.1</v>
      </c>
    </row>
    <row r="175" spans="1:7">
      <c r="A175" t="s">
        <v>3717</v>
      </c>
      <c r="B175" s="174" t="s">
        <v>3718</v>
      </c>
      <c r="C175" s="174" t="s">
        <v>3719</v>
      </c>
      <c r="D175" s="175" t="s">
        <v>3644</v>
      </c>
      <c r="E175" s="175" t="s">
        <v>3720</v>
      </c>
      <c r="F175" s="176" t="s">
        <v>3166</v>
      </c>
      <c r="G175" s="679">
        <v>21676.866299999998</v>
      </c>
    </row>
    <row r="176" spans="1:7">
      <c r="A176" t="s">
        <v>3721</v>
      </c>
      <c r="B176" s="174" t="s">
        <v>3722</v>
      </c>
      <c r="C176" s="174" t="s">
        <v>3723</v>
      </c>
      <c r="D176" s="175" t="s">
        <v>3644</v>
      </c>
      <c r="E176" s="175" t="s">
        <v>3720</v>
      </c>
      <c r="F176" s="176" t="s">
        <v>3166</v>
      </c>
      <c r="G176" s="679">
        <v>13932.273499999999</v>
      </c>
    </row>
    <row r="177" spans="1:7">
      <c r="A177" t="s">
        <v>3724</v>
      </c>
      <c r="B177" s="174" t="s">
        <v>3725</v>
      </c>
      <c r="C177" s="174" t="s">
        <v>3726</v>
      </c>
      <c r="D177" s="175" t="s">
        <v>3644</v>
      </c>
      <c r="E177" s="175" t="s">
        <v>3720</v>
      </c>
      <c r="F177" s="176" t="s">
        <v>3166</v>
      </c>
      <c r="G177" s="679">
        <v>63950.13235</v>
      </c>
    </row>
    <row r="178" spans="1:7">
      <c r="A178" t="s">
        <v>3727</v>
      </c>
      <c r="B178" s="174" t="s">
        <v>3728</v>
      </c>
      <c r="C178" s="174" t="s">
        <v>3729</v>
      </c>
      <c r="D178" s="175" t="s">
        <v>3644</v>
      </c>
      <c r="E178" s="175" t="s">
        <v>3720</v>
      </c>
      <c r="F178" s="176" t="s">
        <v>3166</v>
      </c>
      <c r="G178" s="679">
        <v>10680.2724</v>
      </c>
    </row>
    <row r="179" spans="1:7">
      <c r="A179" t="s">
        <v>3730</v>
      </c>
      <c r="B179" s="174" t="s">
        <v>3731</v>
      </c>
      <c r="C179" s="174" t="s">
        <v>3732</v>
      </c>
      <c r="D179" s="175" t="s">
        <v>3644</v>
      </c>
      <c r="E179" s="175" t="s">
        <v>3720</v>
      </c>
      <c r="F179" s="176" t="s">
        <v>3166</v>
      </c>
      <c r="G179" s="679">
        <v>30205.891200000002</v>
      </c>
    </row>
    <row r="180" spans="1:7">
      <c r="A180" t="s">
        <v>3733</v>
      </c>
      <c r="B180" s="174" t="s">
        <v>3734</v>
      </c>
      <c r="C180" s="174" t="s">
        <v>3735</v>
      </c>
      <c r="D180" s="175" t="s">
        <v>3644</v>
      </c>
      <c r="E180" s="175" t="s">
        <v>3720</v>
      </c>
      <c r="F180" s="176" t="s">
        <v>3166</v>
      </c>
      <c r="G180" s="679">
        <v>23460.614000000001</v>
      </c>
    </row>
    <row r="181" spans="1:7">
      <c r="A181" t="s">
        <v>3736</v>
      </c>
      <c r="B181" s="174" t="s">
        <v>3737</v>
      </c>
      <c r="C181" s="174" t="s">
        <v>3738</v>
      </c>
      <c r="D181" s="175" t="s">
        <v>3644</v>
      </c>
      <c r="E181" s="175" t="s">
        <v>3720</v>
      </c>
      <c r="F181" s="176" t="s">
        <v>3166</v>
      </c>
      <c r="G181" s="679">
        <v>6492.2632500000009</v>
      </c>
    </row>
    <row r="182" spans="1:7">
      <c r="A182" t="s">
        <v>3739</v>
      </c>
      <c r="B182" s="174" t="s">
        <v>3740</v>
      </c>
      <c r="C182" s="174" t="s">
        <v>3741</v>
      </c>
      <c r="D182" s="175" t="s">
        <v>3644</v>
      </c>
      <c r="E182" s="175" t="s">
        <v>3720</v>
      </c>
      <c r="F182" s="176" t="s">
        <v>3166</v>
      </c>
      <c r="G182" s="679">
        <v>6520.6399999999994</v>
      </c>
    </row>
    <row r="183" spans="1:7">
      <c r="A183" t="s">
        <v>3742</v>
      </c>
      <c r="B183" s="174" t="s">
        <v>3743</v>
      </c>
      <c r="C183" s="174" t="s">
        <v>3744</v>
      </c>
      <c r="D183" s="175" t="s">
        <v>3644</v>
      </c>
      <c r="E183" s="175" t="s">
        <v>3720</v>
      </c>
      <c r="F183" s="176" t="s">
        <v>3166</v>
      </c>
      <c r="G183" s="679">
        <v>11388.467700000001</v>
      </c>
    </row>
    <row r="184" spans="1:7">
      <c r="A184" t="s">
        <v>3745</v>
      </c>
      <c r="B184" s="174" t="s">
        <v>3746</v>
      </c>
      <c r="C184" s="174" t="s">
        <v>3747</v>
      </c>
      <c r="D184" s="175" t="s">
        <v>3644</v>
      </c>
      <c r="E184" s="175" t="s">
        <v>3720</v>
      </c>
      <c r="F184" s="176" t="s">
        <v>3166</v>
      </c>
      <c r="G184" s="679">
        <v>967.94999999999993</v>
      </c>
    </row>
    <row r="185" spans="1:7">
      <c r="A185" t="s">
        <v>3748</v>
      </c>
      <c r="B185" s="177" t="s">
        <v>3749</v>
      </c>
      <c r="C185" s="177" t="s">
        <v>3750</v>
      </c>
      <c r="D185" s="178" t="s">
        <v>3644</v>
      </c>
      <c r="E185" s="178" t="s">
        <v>3720</v>
      </c>
      <c r="F185" s="179" t="s">
        <v>3166</v>
      </c>
      <c r="G185" s="680">
        <v>0</v>
      </c>
    </row>
    <row r="186" spans="1:7">
      <c r="A186" t="s">
        <v>3751</v>
      </c>
      <c r="B186" s="177" t="s">
        <v>3752</v>
      </c>
      <c r="C186" s="177" t="s">
        <v>3753</v>
      </c>
      <c r="D186" s="178" t="s">
        <v>3644</v>
      </c>
      <c r="E186" s="178" t="s">
        <v>3720</v>
      </c>
      <c r="F186" s="179" t="s">
        <v>3166</v>
      </c>
      <c r="G186" s="680">
        <v>0</v>
      </c>
    </row>
    <row r="187" spans="1:7">
      <c r="A187" t="s">
        <v>3754</v>
      </c>
      <c r="B187" s="177" t="s">
        <v>3755</v>
      </c>
      <c r="C187" s="177" t="s">
        <v>3756</v>
      </c>
      <c r="D187" s="178" t="s">
        <v>3644</v>
      </c>
      <c r="E187" s="178" t="s">
        <v>3720</v>
      </c>
      <c r="F187" s="179" t="s">
        <v>3166</v>
      </c>
      <c r="G187" s="680">
        <v>0</v>
      </c>
    </row>
    <row r="188" spans="1:7">
      <c r="A188" t="s">
        <v>3757</v>
      </c>
      <c r="B188" s="174" t="s">
        <v>3758</v>
      </c>
      <c r="C188" s="174" t="s">
        <v>3759</v>
      </c>
      <c r="D188" s="175" t="s">
        <v>3644</v>
      </c>
      <c r="E188" s="175" t="s">
        <v>3720</v>
      </c>
      <c r="F188" s="176" t="s">
        <v>3166</v>
      </c>
      <c r="G188" s="679">
        <v>13035</v>
      </c>
    </row>
    <row r="189" spans="1:7">
      <c r="A189" t="s">
        <v>3760</v>
      </c>
      <c r="B189" s="174" t="s">
        <v>3761</v>
      </c>
      <c r="C189" s="174" t="s">
        <v>3762</v>
      </c>
      <c r="D189" s="175" t="s">
        <v>3644</v>
      </c>
      <c r="E189" s="175" t="s">
        <v>3763</v>
      </c>
      <c r="F189" s="176" t="s">
        <v>3166</v>
      </c>
      <c r="G189" s="679">
        <v>107840.94499999999</v>
      </c>
    </row>
    <row r="190" spans="1:7">
      <c r="A190" t="s">
        <v>3764</v>
      </c>
      <c r="B190" s="174" t="s">
        <v>3765</v>
      </c>
      <c r="C190" s="174" t="s">
        <v>3766</v>
      </c>
      <c r="D190" s="175" t="s">
        <v>3644</v>
      </c>
      <c r="E190" s="175" t="s">
        <v>3763</v>
      </c>
      <c r="F190" s="176" t="s">
        <v>3166</v>
      </c>
      <c r="G190" s="679">
        <v>4041.6011999999996</v>
      </c>
    </row>
    <row r="191" spans="1:7">
      <c r="A191" t="s">
        <v>3767</v>
      </c>
      <c r="B191" s="174" t="s">
        <v>3768</v>
      </c>
      <c r="C191" s="174" t="s">
        <v>3769</v>
      </c>
      <c r="D191" s="175" t="s">
        <v>3644</v>
      </c>
      <c r="E191" s="175" t="s">
        <v>3763</v>
      </c>
      <c r="F191" s="176" t="s">
        <v>3166</v>
      </c>
      <c r="G191" s="679">
        <v>2319.5749999999998</v>
      </c>
    </row>
    <row r="192" spans="1:7">
      <c r="A192" t="s">
        <v>3770</v>
      </c>
      <c r="B192" s="174" t="s">
        <v>3771</v>
      </c>
      <c r="C192" s="174" t="s">
        <v>3772</v>
      </c>
      <c r="D192" s="175" t="s">
        <v>3644</v>
      </c>
      <c r="E192" s="175" t="s">
        <v>3763</v>
      </c>
      <c r="F192" s="176" t="s">
        <v>3166</v>
      </c>
      <c r="G192" s="679">
        <v>77</v>
      </c>
    </row>
    <row r="193" spans="1:7">
      <c r="A193" t="s">
        <v>3773</v>
      </c>
      <c r="B193" s="174" t="s">
        <v>3774</v>
      </c>
      <c r="C193" s="174" t="s">
        <v>3775</v>
      </c>
      <c r="D193" s="175" t="s">
        <v>3644</v>
      </c>
      <c r="E193" s="175" t="s">
        <v>3763</v>
      </c>
      <c r="F193" s="176" t="s">
        <v>3166</v>
      </c>
      <c r="G193" s="679">
        <v>78959.475000000006</v>
      </c>
    </row>
    <row r="194" spans="1:7">
      <c r="A194" t="s">
        <v>3776</v>
      </c>
      <c r="B194" s="174" t="s">
        <v>3777</v>
      </c>
      <c r="C194" s="174" t="s">
        <v>3778</v>
      </c>
      <c r="D194" s="175" t="s">
        <v>3644</v>
      </c>
      <c r="E194" s="175" t="s">
        <v>3763</v>
      </c>
      <c r="F194" s="176" t="s">
        <v>3166</v>
      </c>
      <c r="G194" s="679">
        <v>2234.6508000000003</v>
      </c>
    </row>
    <row r="195" spans="1:7">
      <c r="A195" t="s">
        <v>3779</v>
      </c>
      <c r="B195" s="180" t="s">
        <v>3780</v>
      </c>
      <c r="C195" s="180" t="s">
        <v>3781</v>
      </c>
      <c r="D195" s="181" t="s">
        <v>3644</v>
      </c>
      <c r="E195" s="181" t="s">
        <v>3763</v>
      </c>
      <c r="F195" s="182" t="s">
        <v>3166</v>
      </c>
      <c r="G195" s="681">
        <v>4454.5</v>
      </c>
    </row>
    <row r="196" spans="1:7">
      <c r="A196" t="s">
        <v>3782</v>
      </c>
      <c r="B196" s="174" t="s">
        <v>3783</v>
      </c>
      <c r="C196" s="174" t="s">
        <v>3784</v>
      </c>
      <c r="D196" s="175" t="s">
        <v>3644</v>
      </c>
      <c r="E196" s="175" t="s">
        <v>3763</v>
      </c>
      <c r="F196" s="176" t="s">
        <v>3166</v>
      </c>
      <c r="G196" s="679">
        <v>3589.4025000000001</v>
      </c>
    </row>
    <row r="197" spans="1:7">
      <c r="A197" t="s">
        <v>3785</v>
      </c>
      <c r="B197" s="174" t="s">
        <v>3786</v>
      </c>
      <c r="C197" s="174" t="s">
        <v>3787</v>
      </c>
      <c r="D197" s="175" t="s">
        <v>3644</v>
      </c>
      <c r="E197" s="175" t="s">
        <v>3763</v>
      </c>
      <c r="F197" s="176" t="s">
        <v>3166</v>
      </c>
      <c r="G197" s="679">
        <v>3084.97795</v>
      </c>
    </row>
    <row r="198" spans="1:7">
      <c r="A198" t="s">
        <v>3788</v>
      </c>
      <c r="B198" s="174" t="s">
        <v>3789</v>
      </c>
      <c r="C198" s="174" t="s">
        <v>3790</v>
      </c>
      <c r="D198" s="175" t="s">
        <v>3644</v>
      </c>
      <c r="E198" s="175" t="s">
        <v>3763</v>
      </c>
      <c r="F198" s="176" t="s">
        <v>3166</v>
      </c>
      <c r="G198" s="679">
        <v>96841.335800000001</v>
      </c>
    </row>
    <row r="199" spans="1:7">
      <c r="A199" t="s">
        <v>3791</v>
      </c>
      <c r="B199" s="174" t="s">
        <v>3792</v>
      </c>
      <c r="C199" s="174" t="s">
        <v>3793</v>
      </c>
      <c r="D199" s="175" t="s">
        <v>3644</v>
      </c>
      <c r="E199" s="175" t="s">
        <v>3763</v>
      </c>
      <c r="F199" s="176" t="s">
        <v>3166</v>
      </c>
      <c r="G199" s="679">
        <v>103035.6222</v>
      </c>
    </row>
    <row r="200" spans="1:7">
      <c r="A200" t="s">
        <v>3794</v>
      </c>
      <c r="B200" s="174" t="s">
        <v>3795</v>
      </c>
      <c r="C200" s="174" t="s">
        <v>3796</v>
      </c>
      <c r="D200" s="175" t="s">
        <v>3644</v>
      </c>
      <c r="E200" s="175" t="s">
        <v>3763</v>
      </c>
      <c r="F200" s="176" t="s">
        <v>1022</v>
      </c>
      <c r="G200" s="679">
        <v>722.65620000000001</v>
      </c>
    </row>
    <row r="201" spans="1:7">
      <c r="A201" t="s">
        <v>3797</v>
      </c>
      <c r="B201" s="174" t="s">
        <v>3798</v>
      </c>
      <c r="C201" s="174" t="s">
        <v>3799</v>
      </c>
      <c r="D201" s="175" t="s">
        <v>3644</v>
      </c>
      <c r="E201" s="175" t="s">
        <v>3763</v>
      </c>
      <c r="F201" s="176" t="s">
        <v>3166</v>
      </c>
      <c r="G201" s="679">
        <v>2838.1574999999998</v>
      </c>
    </row>
    <row r="202" spans="1:7">
      <c r="A202" t="s">
        <v>3800</v>
      </c>
      <c r="B202" s="174" t="s">
        <v>3801</v>
      </c>
      <c r="C202" s="174" t="s">
        <v>3802</v>
      </c>
      <c r="D202" s="175" t="s">
        <v>3644</v>
      </c>
      <c r="E202" s="175" t="s">
        <v>3763</v>
      </c>
      <c r="F202" s="176" t="s">
        <v>3166</v>
      </c>
      <c r="G202" s="679">
        <v>7646.4000000000005</v>
      </c>
    </row>
    <row r="203" spans="1:7">
      <c r="A203" t="s">
        <v>3803</v>
      </c>
      <c r="B203" s="174" t="s">
        <v>3804</v>
      </c>
      <c r="C203" s="174" t="s">
        <v>3805</v>
      </c>
      <c r="D203" s="175" t="s">
        <v>3644</v>
      </c>
      <c r="E203" s="175" t="s">
        <v>3763</v>
      </c>
      <c r="F203" s="176" t="s">
        <v>3166</v>
      </c>
      <c r="G203" s="679">
        <v>101663.9767</v>
      </c>
    </row>
    <row r="204" spans="1:7">
      <c r="A204" t="s">
        <v>3806</v>
      </c>
      <c r="B204" s="174" t="s">
        <v>3807</v>
      </c>
      <c r="C204" s="174" t="s">
        <v>3808</v>
      </c>
      <c r="D204" s="175" t="s">
        <v>3411</v>
      </c>
      <c r="E204" s="175" t="s">
        <v>3412</v>
      </c>
      <c r="F204" s="176" t="s">
        <v>3166</v>
      </c>
      <c r="G204" s="679">
        <v>4867.7102999999997</v>
      </c>
    </row>
    <row r="205" spans="1:7">
      <c r="A205" t="s">
        <v>3809</v>
      </c>
      <c r="B205" s="174" t="s">
        <v>3810</v>
      </c>
      <c r="C205" s="174" t="s">
        <v>3811</v>
      </c>
      <c r="D205" s="175" t="s">
        <v>3644</v>
      </c>
      <c r="E205" s="175" t="s">
        <v>3812</v>
      </c>
      <c r="F205" s="176" t="s">
        <v>3166</v>
      </c>
      <c r="G205" s="679">
        <v>10887.53355</v>
      </c>
    </row>
    <row r="206" spans="1:7">
      <c r="A206" t="s">
        <v>3813</v>
      </c>
      <c r="B206" s="174" t="s">
        <v>3814</v>
      </c>
      <c r="C206" s="174" t="s">
        <v>3815</v>
      </c>
      <c r="D206" s="175" t="s">
        <v>3644</v>
      </c>
      <c r="E206" s="175" t="s">
        <v>3812</v>
      </c>
      <c r="F206" s="176" t="s">
        <v>3166</v>
      </c>
      <c r="G206" s="679">
        <v>29026.298000000003</v>
      </c>
    </row>
    <row r="207" spans="1:7">
      <c r="A207" t="s">
        <v>3816</v>
      </c>
      <c r="B207" s="174" t="s">
        <v>3817</v>
      </c>
      <c r="C207" s="174" t="s">
        <v>3818</v>
      </c>
      <c r="D207" s="175" t="s">
        <v>3644</v>
      </c>
      <c r="E207" s="175" t="s">
        <v>3812</v>
      </c>
      <c r="F207" s="176" t="s">
        <v>3166</v>
      </c>
      <c r="G207" s="679">
        <v>5256.8410000000003</v>
      </c>
    </row>
    <row r="208" spans="1:7">
      <c r="A208" t="s">
        <v>3819</v>
      </c>
      <c r="B208" s="174" t="s">
        <v>3820</v>
      </c>
      <c r="C208" s="174" t="s">
        <v>3821</v>
      </c>
      <c r="D208" s="175" t="s">
        <v>3644</v>
      </c>
      <c r="E208" s="175" t="s">
        <v>3812</v>
      </c>
      <c r="F208" s="176" t="s">
        <v>3166</v>
      </c>
      <c r="G208" s="679">
        <v>14976.9468</v>
      </c>
    </row>
    <row r="209" spans="1:7">
      <c r="A209" t="s">
        <v>3822</v>
      </c>
      <c r="B209" s="174" t="s">
        <v>3823</v>
      </c>
      <c r="C209" s="174" t="s">
        <v>3824</v>
      </c>
      <c r="D209" s="175" t="s">
        <v>3644</v>
      </c>
      <c r="E209" s="175" t="s">
        <v>3812</v>
      </c>
      <c r="F209" s="176" t="s">
        <v>3166</v>
      </c>
      <c r="G209" s="679">
        <v>18495</v>
      </c>
    </row>
    <row r="210" spans="1:7">
      <c r="A210" t="s">
        <v>3825</v>
      </c>
      <c r="B210" s="174" t="s">
        <v>3826</v>
      </c>
      <c r="C210" s="174" t="s">
        <v>3827</v>
      </c>
      <c r="D210" s="175" t="s">
        <v>3644</v>
      </c>
      <c r="E210" s="175" t="s">
        <v>3812</v>
      </c>
      <c r="F210" s="176" t="s">
        <v>3166</v>
      </c>
      <c r="G210" s="679">
        <v>1522.3568</v>
      </c>
    </row>
    <row r="211" spans="1:7">
      <c r="A211" t="s">
        <v>3828</v>
      </c>
      <c r="B211" s="174" t="s">
        <v>3829</v>
      </c>
      <c r="C211" s="174" t="s">
        <v>3830</v>
      </c>
      <c r="D211" s="175" t="s">
        <v>3644</v>
      </c>
      <c r="E211" s="175" t="s">
        <v>3812</v>
      </c>
      <c r="F211" s="176" t="s">
        <v>3166</v>
      </c>
      <c r="G211" s="679">
        <v>4457.241</v>
      </c>
    </row>
    <row r="212" spans="1:7">
      <c r="A212" t="s">
        <v>3831</v>
      </c>
      <c r="B212" s="174" t="s">
        <v>3832</v>
      </c>
      <c r="C212" s="174" t="s">
        <v>3833</v>
      </c>
      <c r="D212" s="175" t="s">
        <v>3644</v>
      </c>
      <c r="E212" s="175" t="s">
        <v>3812</v>
      </c>
      <c r="F212" s="176" t="s">
        <v>3166</v>
      </c>
      <c r="G212" s="679">
        <v>5989.8</v>
      </c>
    </row>
    <row r="213" spans="1:7">
      <c r="A213" t="s">
        <v>3834</v>
      </c>
      <c r="B213" s="174" t="s">
        <v>3835</v>
      </c>
      <c r="C213" s="174" t="s">
        <v>3836</v>
      </c>
      <c r="D213" s="175" t="s">
        <v>3644</v>
      </c>
      <c r="E213" s="175" t="s">
        <v>3812</v>
      </c>
      <c r="F213" s="176" t="s">
        <v>3166</v>
      </c>
      <c r="G213" s="679">
        <v>1995</v>
      </c>
    </row>
    <row r="214" spans="1:7">
      <c r="A214" t="s">
        <v>3837</v>
      </c>
      <c r="B214" s="174" t="s">
        <v>3838</v>
      </c>
      <c r="C214" s="174" t="s">
        <v>3839</v>
      </c>
      <c r="D214" s="175" t="s">
        <v>3644</v>
      </c>
      <c r="E214" s="175" t="s">
        <v>3812</v>
      </c>
      <c r="F214" s="176" t="s">
        <v>3166</v>
      </c>
      <c r="G214" s="679">
        <v>3379.2000000000003</v>
      </c>
    </row>
    <row r="215" spans="1:7">
      <c r="A215" t="s">
        <v>3840</v>
      </c>
      <c r="B215" s="174" t="s">
        <v>3841</v>
      </c>
      <c r="C215" s="174" t="s">
        <v>3842</v>
      </c>
      <c r="D215" s="175" t="s">
        <v>3644</v>
      </c>
      <c r="E215" s="175" t="s">
        <v>3812</v>
      </c>
      <c r="F215" s="176" t="s">
        <v>3166</v>
      </c>
      <c r="G215" s="679">
        <v>863.12625000000003</v>
      </c>
    </row>
    <row r="216" spans="1:7">
      <c r="A216" t="s">
        <v>3843</v>
      </c>
      <c r="B216" s="177" t="s">
        <v>3844</v>
      </c>
      <c r="C216" s="177" t="s">
        <v>3845</v>
      </c>
      <c r="D216" s="178" t="s">
        <v>3644</v>
      </c>
      <c r="E216" s="178" t="s">
        <v>3812</v>
      </c>
      <c r="F216" s="179" t="s">
        <v>3166</v>
      </c>
      <c r="G216" s="680">
        <v>195</v>
      </c>
    </row>
    <row r="217" spans="1:7">
      <c r="A217" t="s">
        <v>3846</v>
      </c>
      <c r="B217" s="174" t="s">
        <v>3847</v>
      </c>
      <c r="C217" s="174" t="s">
        <v>3848</v>
      </c>
      <c r="D217" s="175" t="s">
        <v>3644</v>
      </c>
      <c r="E217" s="175" t="s">
        <v>3812</v>
      </c>
      <c r="F217" s="176" t="s">
        <v>3166</v>
      </c>
      <c r="G217" s="679">
        <v>12908.83005</v>
      </c>
    </row>
    <row r="218" spans="1:7">
      <c r="A218" t="s">
        <v>3849</v>
      </c>
      <c r="B218" s="174" t="s">
        <v>3850</v>
      </c>
      <c r="C218" s="174" t="s">
        <v>3851</v>
      </c>
      <c r="D218" s="175" t="s">
        <v>3644</v>
      </c>
      <c r="E218" s="175" t="s">
        <v>3812</v>
      </c>
      <c r="F218" s="176" t="s">
        <v>3166</v>
      </c>
      <c r="G218" s="679">
        <v>11891.2</v>
      </c>
    </row>
    <row r="219" spans="1:7">
      <c r="A219" t="s">
        <v>3852</v>
      </c>
      <c r="B219" s="177" t="s">
        <v>3853</v>
      </c>
      <c r="C219" s="177" t="s">
        <v>3854</v>
      </c>
      <c r="D219" s="178" t="s">
        <v>3644</v>
      </c>
      <c r="E219" s="178" t="s">
        <v>3812</v>
      </c>
      <c r="F219" s="179" t="s">
        <v>3166</v>
      </c>
      <c r="G219" s="680">
        <v>0.63500000000000001</v>
      </c>
    </row>
    <row r="220" spans="1:7">
      <c r="A220" t="s">
        <v>3855</v>
      </c>
      <c r="B220" s="177" t="s">
        <v>3856</v>
      </c>
      <c r="C220" s="177" t="s">
        <v>3857</v>
      </c>
      <c r="D220" s="178" t="s">
        <v>3644</v>
      </c>
      <c r="E220" s="178" t="s">
        <v>3812</v>
      </c>
      <c r="F220" s="179" t="s">
        <v>3166</v>
      </c>
      <c r="G220" s="680">
        <v>0.63</v>
      </c>
    </row>
    <row r="221" spans="1:7">
      <c r="A221" t="s">
        <v>3858</v>
      </c>
      <c r="B221" s="174" t="s">
        <v>3859</v>
      </c>
      <c r="C221" s="174" t="s">
        <v>3860</v>
      </c>
      <c r="D221" s="175" t="s">
        <v>3644</v>
      </c>
      <c r="E221" s="175" t="s">
        <v>3812</v>
      </c>
      <c r="F221" s="176" t="s">
        <v>3166</v>
      </c>
      <c r="G221" s="679">
        <v>25862.5</v>
      </c>
    </row>
    <row r="222" spans="1:7">
      <c r="A222" t="s">
        <v>3861</v>
      </c>
      <c r="B222" s="174" t="s">
        <v>3862</v>
      </c>
      <c r="C222" s="174" t="s">
        <v>3863</v>
      </c>
      <c r="D222" s="175" t="s">
        <v>3644</v>
      </c>
      <c r="E222" s="175" t="s">
        <v>3812</v>
      </c>
      <c r="F222" s="176" t="s">
        <v>3166</v>
      </c>
      <c r="G222" s="679">
        <v>17200.232199999999</v>
      </c>
    </row>
    <row r="223" spans="1:7">
      <c r="A223" t="s">
        <v>3864</v>
      </c>
      <c r="B223" s="174" t="s">
        <v>3865</v>
      </c>
      <c r="C223" s="174" t="s">
        <v>3866</v>
      </c>
      <c r="D223" s="175" t="s">
        <v>3644</v>
      </c>
      <c r="E223" s="175" t="s">
        <v>3812</v>
      </c>
      <c r="F223" s="176" t="s">
        <v>3166</v>
      </c>
      <c r="G223" s="679">
        <v>5498.1</v>
      </c>
    </row>
    <row r="224" spans="1:7">
      <c r="A224" t="s">
        <v>3867</v>
      </c>
      <c r="B224" s="174" t="s">
        <v>3868</v>
      </c>
      <c r="C224" s="174" t="s">
        <v>3869</v>
      </c>
      <c r="D224" s="175" t="s">
        <v>3644</v>
      </c>
      <c r="E224" s="175" t="s">
        <v>3812</v>
      </c>
      <c r="F224" s="176" t="s">
        <v>3166</v>
      </c>
      <c r="G224" s="679">
        <v>3139.67</v>
      </c>
    </row>
    <row r="225" spans="1:7">
      <c r="A225" t="s">
        <v>3870</v>
      </c>
      <c r="B225" s="174" t="s">
        <v>3871</v>
      </c>
      <c r="C225" s="174" t="s">
        <v>3872</v>
      </c>
      <c r="D225" s="175" t="s">
        <v>3644</v>
      </c>
      <c r="E225" s="175" t="s">
        <v>3812</v>
      </c>
      <c r="F225" s="176" t="s">
        <v>3166</v>
      </c>
      <c r="G225" s="679">
        <v>2633.2141000000001</v>
      </c>
    </row>
    <row r="226" spans="1:7">
      <c r="A226" t="s">
        <v>3873</v>
      </c>
      <c r="B226" s="174" t="s">
        <v>3874</v>
      </c>
      <c r="C226" s="174" t="s">
        <v>3875</v>
      </c>
      <c r="D226" s="175" t="s">
        <v>3876</v>
      </c>
      <c r="E226" s="175" t="s">
        <v>3877</v>
      </c>
      <c r="F226" s="176" t="s">
        <v>3166</v>
      </c>
      <c r="G226" s="679">
        <v>32310.288000000004</v>
      </c>
    </row>
    <row r="227" spans="1:7">
      <c r="A227" t="s">
        <v>3878</v>
      </c>
      <c r="B227" s="180" t="s">
        <v>3879</v>
      </c>
      <c r="C227" s="180" t="s">
        <v>3880</v>
      </c>
      <c r="D227" s="181" t="s">
        <v>3876</v>
      </c>
      <c r="E227" s="181" t="s">
        <v>3877</v>
      </c>
      <c r="F227" s="182" t="s">
        <v>3166</v>
      </c>
      <c r="G227" s="681">
        <v>3441.3550499999997</v>
      </c>
    </row>
    <row r="228" spans="1:7">
      <c r="A228" t="s">
        <v>3881</v>
      </c>
      <c r="B228" s="174" t="s">
        <v>3882</v>
      </c>
      <c r="C228" s="174" t="s">
        <v>3883</v>
      </c>
      <c r="D228" s="175" t="s">
        <v>3876</v>
      </c>
      <c r="E228" s="175" t="s">
        <v>3877</v>
      </c>
      <c r="F228" s="176" t="s">
        <v>3166</v>
      </c>
      <c r="G228" s="679">
        <v>4699.2202000000007</v>
      </c>
    </row>
    <row r="229" spans="1:7">
      <c r="A229" t="s">
        <v>3884</v>
      </c>
      <c r="B229" s="174" t="s">
        <v>3885</v>
      </c>
      <c r="C229" s="174" t="s">
        <v>3886</v>
      </c>
      <c r="D229" s="175" t="s">
        <v>3644</v>
      </c>
      <c r="E229" s="175" t="s">
        <v>3360</v>
      </c>
      <c r="F229" s="176" t="s">
        <v>3166</v>
      </c>
      <c r="G229" s="679">
        <v>3580.9195500000001</v>
      </c>
    </row>
    <row r="230" spans="1:7">
      <c r="A230" t="s">
        <v>3887</v>
      </c>
      <c r="B230" s="174" t="s">
        <v>3888</v>
      </c>
      <c r="C230" s="174" t="s">
        <v>3889</v>
      </c>
      <c r="D230" s="175" t="s">
        <v>3644</v>
      </c>
      <c r="E230" s="175" t="s">
        <v>3360</v>
      </c>
      <c r="F230" s="176" t="s">
        <v>3166</v>
      </c>
      <c r="G230" s="679">
        <v>16472</v>
      </c>
    </row>
    <row r="231" spans="1:7">
      <c r="A231" t="s">
        <v>3890</v>
      </c>
      <c r="B231" s="174" t="s">
        <v>3891</v>
      </c>
      <c r="C231" s="174" t="s">
        <v>3892</v>
      </c>
      <c r="D231" s="175" t="s">
        <v>3644</v>
      </c>
      <c r="E231" s="175" t="s">
        <v>3360</v>
      </c>
      <c r="F231" s="176" t="s">
        <v>3166</v>
      </c>
      <c r="G231" s="679">
        <v>93322.5</v>
      </c>
    </row>
    <row r="232" spans="1:7">
      <c r="A232" t="s">
        <v>3893</v>
      </c>
      <c r="B232" s="174" t="s">
        <v>3894</v>
      </c>
      <c r="C232" s="174" t="s">
        <v>3895</v>
      </c>
      <c r="D232" s="175" t="s">
        <v>3644</v>
      </c>
      <c r="E232" s="175" t="s">
        <v>3360</v>
      </c>
      <c r="F232" s="176" t="s">
        <v>3166</v>
      </c>
      <c r="G232" s="679">
        <v>89547</v>
      </c>
    </row>
    <row r="233" spans="1:7">
      <c r="A233" t="s">
        <v>3896</v>
      </c>
      <c r="B233" s="177" t="s">
        <v>3897</v>
      </c>
      <c r="C233" s="177" t="s">
        <v>3898</v>
      </c>
      <c r="D233" s="178" t="s">
        <v>3644</v>
      </c>
      <c r="E233" s="178" t="s">
        <v>3360</v>
      </c>
      <c r="F233" s="179" t="s">
        <v>3166</v>
      </c>
      <c r="G233" s="680">
        <v>56.5</v>
      </c>
    </row>
    <row r="234" spans="1:7">
      <c r="A234" t="s">
        <v>3899</v>
      </c>
      <c r="B234" s="174" t="s">
        <v>3900</v>
      </c>
      <c r="C234" s="174" t="s">
        <v>3901</v>
      </c>
      <c r="D234" s="175" t="s">
        <v>3644</v>
      </c>
      <c r="E234" s="175" t="s">
        <v>3360</v>
      </c>
      <c r="F234" s="176" t="s">
        <v>3166</v>
      </c>
      <c r="G234" s="679">
        <v>56921.6872</v>
      </c>
    </row>
    <row r="235" spans="1:7">
      <c r="A235" t="s">
        <v>3902</v>
      </c>
      <c r="B235" s="174" t="s">
        <v>3903</v>
      </c>
      <c r="C235" s="174" t="s">
        <v>3904</v>
      </c>
      <c r="D235" s="175" t="s">
        <v>3644</v>
      </c>
      <c r="E235" s="175" t="s">
        <v>3360</v>
      </c>
      <c r="F235" s="176" t="s">
        <v>3166</v>
      </c>
      <c r="G235" s="679">
        <v>51038.91</v>
      </c>
    </row>
    <row r="236" spans="1:7">
      <c r="A236" t="s">
        <v>3905</v>
      </c>
      <c r="B236" s="174" t="s">
        <v>3906</v>
      </c>
      <c r="C236" s="174" t="s">
        <v>3907</v>
      </c>
      <c r="D236" s="175" t="s">
        <v>3644</v>
      </c>
      <c r="E236" s="175" t="s">
        <v>3360</v>
      </c>
      <c r="F236" s="176" t="s">
        <v>3166</v>
      </c>
      <c r="G236" s="679">
        <v>45540</v>
      </c>
    </row>
    <row r="237" spans="1:7">
      <c r="A237" t="s">
        <v>3908</v>
      </c>
      <c r="B237" s="174" t="s">
        <v>3909</v>
      </c>
      <c r="C237" s="174" t="s">
        <v>3910</v>
      </c>
      <c r="D237" s="175" t="s">
        <v>3644</v>
      </c>
      <c r="E237" s="175" t="s">
        <v>3360</v>
      </c>
      <c r="F237" s="176" t="s">
        <v>3166</v>
      </c>
      <c r="G237" s="679">
        <v>19210.574199999999</v>
      </c>
    </row>
    <row r="238" spans="1:7">
      <c r="A238" t="s">
        <v>3911</v>
      </c>
      <c r="B238" s="174" t="s">
        <v>3912</v>
      </c>
      <c r="C238" s="174" t="s">
        <v>3913</v>
      </c>
      <c r="D238" s="175" t="s">
        <v>3644</v>
      </c>
      <c r="E238" s="175" t="s">
        <v>3360</v>
      </c>
      <c r="F238" s="176" t="s">
        <v>3166</v>
      </c>
      <c r="G238" s="679">
        <v>1850.04</v>
      </c>
    </row>
    <row r="239" spans="1:7">
      <c r="A239" t="s">
        <v>3914</v>
      </c>
      <c r="B239" s="174" t="s">
        <v>3915</v>
      </c>
      <c r="C239" s="174" t="s">
        <v>3916</v>
      </c>
      <c r="D239" s="175" t="s">
        <v>3644</v>
      </c>
      <c r="E239" s="175" t="s">
        <v>3360</v>
      </c>
      <c r="F239" s="176" t="s">
        <v>3166</v>
      </c>
      <c r="G239" s="679">
        <v>3851.6790000000001</v>
      </c>
    </row>
    <row r="240" spans="1:7">
      <c r="A240" t="s">
        <v>3917</v>
      </c>
      <c r="B240" s="174" t="s">
        <v>3918</v>
      </c>
      <c r="C240" s="174" t="s">
        <v>3919</v>
      </c>
      <c r="D240" s="175" t="s">
        <v>3644</v>
      </c>
      <c r="E240" s="175" t="s">
        <v>3360</v>
      </c>
      <c r="F240" s="176" t="s">
        <v>3166</v>
      </c>
      <c r="G240" s="679">
        <v>42559</v>
      </c>
    </row>
    <row r="241" spans="1:7">
      <c r="A241" t="s">
        <v>3920</v>
      </c>
      <c r="B241" s="174" t="s">
        <v>3921</v>
      </c>
      <c r="C241" s="174" t="s">
        <v>3922</v>
      </c>
      <c r="D241" s="175" t="s">
        <v>3644</v>
      </c>
      <c r="E241" s="175" t="s">
        <v>3360</v>
      </c>
      <c r="F241" s="176" t="s">
        <v>3166</v>
      </c>
      <c r="G241" s="679">
        <v>5737.7092499999999</v>
      </c>
    </row>
    <row r="242" spans="1:7">
      <c r="A242" t="s">
        <v>3923</v>
      </c>
      <c r="B242" s="174" t="s">
        <v>3924</v>
      </c>
      <c r="C242" s="174" t="s">
        <v>3925</v>
      </c>
      <c r="D242" s="175" t="s">
        <v>3644</v>
      </c>
      <c r="E242" s="175" t="s">
        <v>3360</v>
      </c>
      <c r="F242" s="176" t="s">
        <v>3166</v>
      </c>
      <c r="G242" s="679">
        <v>13884</v>
      </c>
    </row>
    <row r="243" spans="1:7">
      <c r="A243" t="s">
        <v>3926</v>
      </c>
      <c r="B243" s="174" t="s">
        <v>3927</v>
      </c>
      <c r="C243" s="174" t="s">
        <v>3928</v>
      </c>
      <c r="D243" s="175" t="s">
        <v>3644</v>
      </c>
      <c r="E243" s="175" t="s">
        <v>3360</v>
      </c>
      <c r="F243" s="176" t="s">
        <v>3166</v>
      </c>
      <c r="G243" s="679">
        <v>45945.70955</v>
      </c>
    </row>
    <row r="244" spans="1:7">
      <c r="A244" t="s">
        <v>3929</v>
      </c>
      <c r="B244" s="174" t="s">
        <v>3930</v>
      </c>
      <c r="C244" s="174" t="s">
        <v>3931</v>
      </c>
      <c r="D244" s="175" t="s">
        <v>3644</v>
      </c>
      <c r="E244" s="175" t="s">
        <v>3360</v>
      </c>
      <c r="F244" s="176" t="s">
        <v>3166</v>
      </c>
      <c r="G244" s="679">
        <v>7456.067399999999</v>
      </c>
    </row>
    <row r="245" spans="1:7">
      <c r="A245" t="s">
        <v>3932</v>
      </c>
      <c r="B245" s="174" t="s">
        <v>3933</v>
      </c>
      <c r="C245" s="174" t="s">
        <v>3934</v>
      </c>
      <c r="D245" s="175" t="s">
        <v>3644</v>
      </c>
      <c r="E245" s="175" t="s">
        <v>3360</v>
      </c>
      <c r="F245" s="176" t="s">
        <v>3166</v>
      </c>
      <c r="G245" s="679">
        <v>24023.147949999999</v>
      </c>
    </row>
    <row r="246" spans="1:7">
      <c r="A246" t="s">
        <v>3935</v>
      </c>
      <c r="B246" s="174" t="s">
        <v>3936</v>
      </c>
      <c r="C246" s="174" t="s">
        <v>3937</v>
      </c>
      <c r="D246" s="175" t="s">
        <v>3644</v>
      </c>
      <c r="E246" s="175" t="s">
        <v>3360</v>
      </c>
      <c r="F246" s="176" t="s">
        <v>3166</v>
      </c>
      <c r="G246" s="679">
        <v>14500</v>
      </c>
    </row>
    <row r="247" spans="1:7">
      <c r="A247" t="s">
        <v>3938</v>
      </c>
      <c r="B247" s="174" t="s">
        <v>3939</v>
      </c>
      <c r="C247" s="174" t="s">
        <v>3940</v>
      </c>
      <c r="D247" s="175" t="s">
        <v>3644</v>
      </c>
      <c r="E247" s="175" t="s">
        <v>3941</v>
      </c>
      <c r="F247" s="176" t="s">
        <v>3166</v>
      </c>
      <c r="G247" s="679">
        <v>26049.9987</v>
      </c>
    </row>
    <row r="248" spans="1:7">
      <c r="A248" t="s">
        <v>3942</v>
      </c>
      <c r="B248" s="174" t="s">
        <v>3943</v>
      </c>
      <c r="C248" s="174" t="s">
        <v>3944</v>
      </c>
      <c r="D248" s="175" t="s">
        <v>3644</v>
      </c>
      <c r="E248" s="175" t="s">
        <v>3941</v>
      </c>
      <c r="F248" s="176" t="s">
        <v>3166</v>
      </c>
      <c r="G248" s="679">
        <v>32331.826800000003</v>
      </c>
    </row>
    <row r="249" spans="1:7">
      <c r="A249" t="s">
        <v>3945</v>
      </c>
      <c r="B249" s="177" t="s">
        <v>3946</v>
      </c>
      <c r="C249" s="177" t="s">
        <v>3947</v>
      </c>
      <c r="D249" s="178" t="s">
        <v>3644</v>
      </c>
      <c r="E249" s="178" t="s">
        <v>3941</v>
      </c>
      <c r="F249" s="179" t="s">
        <v>3166</v>
      </c>
      <c r="G249" s="680">
        <v>0</v>
      </c>
    </row>
    <row r="250" spans="1:7">
      <c r="A250" t="s">
        <v>3948</v>
      </c>
      <c r="B250" s="174" t="s">
        <v>3949</v>
      </c>
      <c r="C250" s="174" t="s">
        <v>3950</v>
      </c>
      <c r="D250" s="175" t="s">
        <v>3951</v>
      </c>
      <c r="E250" s="175" t="s">
        <v>3941</v>
      </c>
      <c r="F250" s="176" t="s">
        <v>3166</v>
      </c>
      <c r="G250" s="679">
        <v>2633.8368</v>
      </c>
    </row>
    <row r="251" spans="1:7">
      <c r="A251" t="s">
        <v>3952</v>
      </c>
      <c r="B251" s="174" t="s">
        <v>3953</v>
      </c>
      <c r="C251" s="174" t="s">
        <v>3954</v>
      </c>
      <c r="D251" s="175" t="s">
        <v>3644</v>
      </c>
      <c r="E251" s="175" t="s">
        <v>3941</v>
      </c>
      <c r="F251" s="176" t="s">
        <v>3166</v>
      </c>
      <c r="G251" s="679">
        <v>4145.9615000000003</v>
      </c>
    </row>
    <row r="252" spans="1:7">
      <c r="A252" t="s">
        <v>3955</v>
      </c>
      <c r="B252" s="174" t="s">
        <v>3956</v>
      </c>
      <c r="C252" s="174" t="s">
        <v>3957</v>
      </c>
      <c r="D252" s="175" t="s">
        <v>3644</v>
      </c>
      <c r="E252" s="175" t="s">
        <v>3941</v>
      </c>
      <c r="F252" s="176" t="s">
        <v>3166</v>
      </c>
      <c r="G252" s="679">
        <v>21399.955399999999</v>
      </c>
    </row>
    <row r="253" spans="1:7">
      <c r="A253" t="s">
        <v>3958</v>
      </c>
      <c r="B253" s="174" t="s">
        <v>3959</v>
      </c>
      <c r="C253" s="174" t="s">
        <v>3960</v>
      </c>
      <c r="D253" s="175" t="s">
        <v>3644</v>
      </c>
      <c r="E253" s="175" t="s">
        <v>3941</v>
      </c>
      <c r="F253" s="176" t="s">
        <v>3166</v>
      </c>
      <c r="G253" s="679">
        <v>25528.5</v>
      </c>
    </row>
    <row r="254" spans="1:7">
      <c r="A254" t="s">
        <v>3961</v>
      </c>
      <c r="B254" s="174" t="s">
        <v>3962</v>
      </c>
      <c r="C254" s="174" t="s">
        <v>3963</v>
      </c>
      <c r="D254" s="175" t="s">
        <v>3644</v>
      </c>
      <c r="E254" s="175" t="s">
        <v>3941</v>
      </c>
      <c r="F254" s="176" t="s">
        <v>3166</v>
      </c>
      <c r="G254" s="679">
        <v>27836.573400000001</v>
      </c>
    </row>
    <row r="255" spans="1:7">
      <c r="A255" t="s">
        <v>3964</v>
      </c>
      <c r="B255" s="177" t="s">
        <v>3965</v>
      </c>
      <c r="C255" s="177" t="s">
        <v>3966</v>
      </c>
      <c r="D255" s="178" t="s">
        <v>3644</v>
      </c>
      <c r="E255" s="178" t="s">
        <v>3941</v>
      </c>
      <c r="F255" s="179" t="s">
        <v>3166</v>
      </c>
      <c r="G255" s="680">
        <v>45.5</v>
      </c>
    </row>
    <row r="256" spans="1:7">
      <c r="A256" t="s">
        <v>3967</v>
      </c>
      <c r="B256" s="174" t="s">
        <v>3968</v>
      </c>
      <c r="C256" s="174" t="s">
        <v>3969</v>
      </c>
      <c r="D256" s="175" t="s">
        <v>3644</v>
      </c>
      <c r="E256" s="175" t="s">
        <v>3941</v>
      </c>
      <c r="F256" s="176" t="s">
        <v>3166</v>
      </c>
      <c r="G256" s="679">
        <v>31050</v>
      </c>
    </row>
    <row r="257" spans="1:7">
      <c r="A257" t="s">
        <v>3970</v>
      </c>
      <c r="B257" s="174" t="s">
        <v>3971</v>
      </c>
      <c r="C257" s="174" t="s">
        <v>3972</v>
      </c>
      <c r="D257" s="175" t="s">
        <v>3644</v>
      </c>
      <c r="E257" s="175" t="s">
        <v>3941</v>
      </c>
      <c r="F257" s="176" t="s">
        <v>3166</v>
      </c>
      <c r="G257" s="679">
        <v>30037.5</v>
      </c>
    </row>
    <row r="258" spans="1:7">
      <c r="A258" t="s">
        <v>3973</v>
      </c>
      <c r="B258" s="174" t="s">
        <v>3974</v>
      </c>
      <c r="C258" s="174" t="s">
        <v>3975</v>
      </c>
      <c r="D258" s="175" t="s">
        <v>3644</v>
      </c>
      <c r="E258" s="175" t="s">
        <v>3941</v>
      </c>
      <c r="F258" s="176" t="s">
        <v>3166</v>
      </c>
      <c r="G258" s="679">
        <v>1980.8535999999999</v>
      </c>
    </row>
    <row r="259" spans="1:7">
      <c r="A259" t="s">
        <v>3976</v>
      </c>
      <c r="B259" s="171" t="s">
        <v>3977</v>
      </c>
      <c r="C259" s="171" t="s">
        <v>3978</v>
      </c>
      <c r="D259" s="172" t="s">
        <v>3644</v>
      </c>
      <c r="E259" s="172" t="s">
        <v>3941</v>
      </c>
      <c r="F259" s="173" t="s">
        <v>3166</v>
      </c>
      <c r="G259" s="678">
        <v>43.5</v>
      </c>
    </row>
    <row r="260" spans="1:7">
      <c r="A260" t="s">
        <v>3979</v>
      </c>
      <c r="B260" s="174" t="s">
        <v>3980</v>
      </c>
      <c r="C260" s="174" t="s">
        <v>3981</v>
      </c>
      <c r="D260" s="175" t="s">
        <v>3951</v>
      </c>
      <c r="E260" s="175" t="s">
        <v>3941</v>
      </c>
      <c r="F260" s="176" t="s">
        <v>3166</v>
      </c>
      <c r="G260" s="679">
        <v>1679.8766999999998</v>
      </c>
    </row>
    <row r="261" spans="1:7">
      <c r="A261" t="s">
        <v>3982</v>
      </c>
      <c r="B261" s="177" t="s">
        <v>3983</v>
      </c>
      <c r="C261" s="177" t="s">
        <v>3984</v>
      </c>
      <c r="D261" s="178" t="s">
        <v>3644</v>
      </c>
      <c r="E261" s="178" t="s">
        <v>3941</v>
      </c>
      <c r="F261" s="179" t="s">
        <v>3166</v>
      </c>
      <c r="G261" s="680">
        <v>42.5</v>
      </c>
    </row>
    <row r="262" spans="1:7">
      <c r="A262" t="s">
        <v>3985</v>
      </c>
      <c r="B262" s="177" t="s">
        <v>3986</v>
      </c>
      <c r="C262" s="177" t="s">
        <v>3987</v>
      </c>
      <c r="D262" s="178" t="s">
        <v>3644</v>
      </c>
      <c r="E262" s="178" t="s">
        <v>3941</v>
      </c>
      <c r="F262" s="179" t="s">
        <v>3166</v>
      </c>
      <c r="G262" s="680">
        <v>42</v>
      </c>
    </row>
    <row r="263" spans="1:7">
      <c r="A263" t="s">
        <v>3988</v>
      </c>
      <c r="B263" s="177" t="s">
        <v>3989</v>
      </c>
      <c r="C263" s="177" t="s">
        <v>3990</v>
      </c>
      <c r="D263" s="178" t="s">
        <v>3644</v>
      </c>
      <c r="E263" s="178" t="s">
        <v>3941</v>
      </c>
      <c r="F263" s="179" t="s">
        <v>3166</v>
      </c>
      <c r="G263" s="680">
        <v>0.41500000000000004</v>
      </c>
    </row>
    <row r="264" spans="1:7">
      <c r="A264" t="s">
        <v>3991</v>
      </c>
      <c r="B264" s="174" t="s">
        <v>3992</v>
      </c>
      <c r="C264" s="174" t="s">
        <v>3993</v>
      </c>
      <c r="D264" s="175" t="s">
        <v>3644</v>
      </c>
      <c r="E264" s="175" t="s">
        <v>3941</v>
      </c>
      <c r="F264" s="176" t="s">
        <v>3166</v>
      </c>
      <c r="G264" s="679">
        <v>3476.7999999999997</v>
      </c>
    </row>
    <row r="265" spans="1:7">
      <c r="A265" t="s">
        <v>3994</v>
      </c>
      <c r="B265" s="174" t="s">
        <v>3995</v>
      </c>
      <c r="C265" s="174" t="s">
        <v>3996</v>
      </c>
      <c r="D265" s="175" t="s">
        <v>3644</v>
      </c>
      <c r="E265" s="175" t="s">
        <v>3941</v>
      </c>
      <c r="F265" s="176" t="s">
        <v>3166</v>
      </c>
      <c r="G265" s="679">
        <v>131301</v>
      </c>
    </row>
    <row r="266" spans="1:7">
      <c r="A266" t="s">
        <v>3997</v>
      </c>
      <c r="B266" s="174" t="s">
        <v>3998</v>
      </c>
      <c r="C266" s="174" t="s">
        <v>3999</v>
      </c>
      <c r="D266" s="175" t="s">
        <v>3644</v>
      </c>
      <c r="E266" s="175" t="s">
        <v>3941</v>
      </c>
      <c r="F266" s="176" t="s">
        <v>3166</v>
      </c>
      <c r="G266" s="679">
        <v>17528.572</v>
      </c>
    </row>
    <row r="267" spans="1:7">
      <c r="A267" t="s">
        <v>4000</v>
      </c>
      <c r="B267" s="174" t="s">
        <v>4001</v>
      </c>
      <c r="C267" s="174" t="s">
        <v>4002</v>
      </c>
      <c r="D267" s="175" t="s">
        <v>3644</v>
      </c>
      <c r="E267" s="175" t="s">
        <v>3941</v>
      </c>
      <c r="F267" s="176" t="s">
        <v>3166</v>
      </c>
      <c r="G267" s="679">
        <v>40619.216699999997</v>
      </c>
    </row>
    <row r="268" spans="1:7">
      <c r="A268" t="s">
        <v>4003</v>
      </c>
      <c r="B268" s="174" t="s">
        <v>4004</v>
      </c>
      <c r="C268" s="174" t="s">
        <v>4005</v>
      </c>
      <c r="D268" s="175" t="s">
        <v>3644</v>
      </c>
      <c r="E268" s="175" t="s">
        <v>3941</v>
      </c>
      <c r="F268" s="176" t="s">
        <v>3166</v>
      </c>
      <c r="G268" s="679">
        <v>48968.399999999994</v>
      </c>
    </row>
    <row r="269" spans="1:7">
      <c r="A269" t="s">
        <v>4006</v>
      </c>
      <c r="B269" s="174" t="s">
        <v>4007</v>
      </c>
      <c r="C269" s="174" t="s">
        <v>4008</v>
      </c>
      <c r="D269" s="175" t="s">
        <v>3644</v>
      </c>
      <c r="E269" s="175" t="s">
        <v>3941</v>
      </c>
      <c r="F269" s="176" t="s">
        <v>3166</v>
      </c>
      <c r="G269" s="679">
        <v>16231.6</v>
      </c>
    </row>
    <row r="270" spans="1:7">
      <c r="A270" t="s">
        <v>4009</v>
      </c>
      <c r="B270" s="174" t="s">
        <v>4010</v>
      </c>
      <c r="C270" s="174" t="s">
        <v>4011</v>
      </c>
      <c r="D270" s="175" t="s">
        <v>3644</v>
      </c>
      <c r="E270" s="175" t="s">
        <v>3941</v>
      </c>
      <c r="F270" s="176" t="s">
        <v>3166</v>
      </c>
      <c r="G270" s="679">
        <v>5878.0604000000003</v>
      </c>
    </row>
    <row r="271" spans="1:7">
      <c r="A271" t="s">
        <v>4012</v>
      </c>
      <c r="B271" s="174" t="s">
        <v>4013</v>
      </c>
      <c r="C271" s="174" t="s">
        <v>4014</v>
      </c>
      <c r="D271" s="175" t="s">
        <v>3644</v>
      </c>
      <c r="E271" s="175" t="s">
        <v>3941</v>
      </c>
      <c r="F271" s="176" t="s">
        <v>3166</v>
      </c>
      <c r="G271" s="679">
        <v>10931.25</v>
      </c>
    </row>
    <row r="272" spans="1:7">
      <c r="A272" t="s">
        <v>4015</v>
      </c>
      <c r="B272" s="174" t="s">
        <v>4016</v>
      </c>
      <c r="C272" s="174" t="s">
        <v>4017</v>
      </c>
      <c r="D272" s="175" t="s">
        <v>3644</v>
      </c>
      <c r="E272" s="175" t="s">
        <v>3941</v>
      </c>
      <c r="F272" s="176" t="s">
        <v>3166</v>
      </c>
      <c r="G272" s="679">
        <v>27702.639999999999</v>
      </c>
    </row>
    <row r="273" spans="1:7">
      <c r="A273" t="s">
        <v>4018</v>
      </c>
      <c r="B273" s="174" t="s">
        <v>4019</v>
      </c>
      <c r="C273" s="174" t="s">
        <v>4020</v>
      </c>
      <c r="D273" s="175" t="s">
        <v>3644</v>
      </c>
      <c r="E273" s="175" t="s">
        <v>3941</v>
      </c>
      <c r="F273" s="176" t="s">
        <v>3166</v>
      </c>
      <c r="G273" s="679">
        <v>45990</v>
      </c>
    </row>
    <row r="274" spans="1:7">
      <c r="A274" t="s">
        <v>4021</v>
      </c>
      <c r="B274" s="174" t="s">
        <v>4022</v>
      </c>
      <c r="C274" s="174" t="s">
        <v>4023</v>
      </c>
      <c r="D274" s="175" t="s">
        <v>3644</v>
      </c>
      <c r="E274" s="175" t="s">
        <v>3941</v>
      </c>
      <c r="F274" s="176" t="s">
        <v>3166</v>
      </c>
      <c r="G274" s="679">
        <v>44856</v>
      </c>
    </row>
    <row r="275" spans="1:7">
      <c r="A275" t="s">
        <v>4024</v>
      </c>
      <c r="B275" s="174" t="s">
        <v>4025</v>
      </c>
      <c r="C275" s="174" t="s">
        <v>4026</v>
      </c>
      <c r="D275" s="175" t="s">
        <v>3644</v>
      </c>
      <c r="E275" s="175" t="s">
        <v>3941</v>
      </c>
      <c r="F275" s="176" t="s">
        <v>3166</v>
      </c>
      <c r="G275" s="679">
        <v>931.875</v>
      </c>
    </row>
    <row r="276" spans="1:7">
      <c r="A276" t="s">
        <v>4027</v>
      </c>
      <c r="B276" s="174" t="s">
        <v>4028</v>
      </c>
      <c r="C276" s="174" t="s">
        <v>4029</v>
      </c>
      <c r="D276" s="175" t="s">
        <v>3644</v>
      </c>
      <c r="E276" s="175" t="s">
        <v>3941</v>
      </c>
      <c r="F276" s="176" t="s">
        <v>3166</v>
      </c>
      <c r="G276" s="679">
        <v>910</v>
      </c>
    </row>
    <row r="277" spans="1:7">
      <c r="A277" t="s">
        <v>4030</v>
      </c>
      <c r="B277" s="174" t="s">
        <v>4031</v>
      </c>
      <c r="C277" s="174" t="s">
        <v>4032</v>
      </c>
      <c r="D277" s="175" t="s">
        <v>3644</v>
      </c>
      <c r="E277" s="175" t="s">
        <v>3941</v>
      </c>
      <c r="F277" s="176" t="s">
        <v>3166</v>
      </c>
      <c r="G277" s="679">
        <v>1034.84475</v>
      </c>
    </row>
    <row r="278" spans="1:7">
      <c r="A278" t="s">
        <v>4033</v>
      </c>
      <c r="B278" s="174" t="s">
        <v>4034</v>
      </c>
      <c r="C278" s="174" t="s">
        <v>4035</v>
      </c>
      <c r="D278" s="175" t="s">
        <v>3644</v>
      </c>
      <c r="E278" s="175" t="s">
        <v>3941</v>
      </c>
      <c r="F278" s="176" t="s">
        <v>3166</v>
      </c>
      <c r="G278" s="679">
        <v>2616.3000000000002</v>
      </c>
    </row>
    <row r="279" spans="1:7">
      <c r="A279" t="s">
        <v>4036</v>
      </c>
      <c r="B279" s="174" t="s">
        <v>4037</v>
      </c>
      <c r="C279" s="174" t="s">
        <v>4038</v>
      </c>
      <c r="D279" s="175" t="s">
        <v>3644</v>
      </c>
      <c r="E279" s="175" t="s">
        <v>3941</v>
      </c>
      <c r="F279" s="176" t="s">
        <v>3166</v>
      </c>
      <c r="G279" s="679">
        <v>20435</v>
      </c>
    </row>
    <row r="280" spans="1:7">
      <c r="A280" t="s">
        <v>4039</v>
      </c>
      <c r="B280" s="174" t="s">
        <v>4040</v>
      </c>
      <c r="C280" s="174" t="s">
        <v>4041</v>
      </c>
      <c r="D280" s="175" t="s">
        <v>3644</v>
      </c>
      <c r="E280" s="175" t="s">
        <v>3941</v>
      </c>
      <c r="F280" s="176" t="s">
        <v>3166</v>
      </c>
      <c r="G280" s="679">
        <v>1225.7388000000001</v>
      </c>
    </row>
    <row r="281" spans="1:7">
      <c r="A281" t="s">
        <v>4042</v>
      </c>
      <c r="B281" s="174" t="s">
        <v>4043</v>
      </c>
      <c r="C281" s="174" t="s">
        <v>4044</v>
      </c>
      <c r="D281" s="175" t="s">
        <v>3644</v>
      </c>
      <c r="E281" s="175" t="s">
        <v>3941</v>
      </c>
      <c r="F281" s="176" t="s">
        <v>3166</v>
      </c>
      <c r="G281" s="679">
        <v>4433.8125</v>
      </c>
    </row>
    <row r="282" spans="1:7">
      <c r="A282" t="s">
        <v>4045</v>
      </c>
      <c r="B282" s="174" t="s">
        <v>4046</v>
      </c>
      <c r="C282" s="174" t="s">
        <v>4047</v>
      </c>
      <c r="D282" s="175" t="s">
        <v>3644</v>
      </c>
      <c r="E282" s="175" t="s">
        <v>3941</v>
      </c>
      <c r="F282" s="176" t="s">
        <v>3166</v>
      </c>
      <c r="G282" s="679">
        <v>4304</v>
      </c>
    </row>
    <row r="283" spans="1:7">
      <c r="A283" t="s">
        <v>4048</v>
      </c>
      <c r="B283" s="174" t="s">
        <v>4049</v>
      </c>
      <c r="C283" s="174" t="s">
        <v>4050</v>
      </c>
      <c r="D283" s="175" t="s">
        <v>3644</v>
      </c>
      <c r="E283" s="175" t="s">
        <v>3941</v>
      </c>
      <c r="F283" s="176" t="s">
        <v>3166</v>
      </c>
      <c r="G283" s="679">
        <v>1380.33</v>
      </c>
    </row>
    <row r="284" spans="1:7">
      <c r="A284" t="s">
        <v>4051</v>
      </c>
      <c r="B284" s="174" t="s">
        <v>4052</v>
      </c>
      <c r="C284" s="174" t="s">
        <v>4053</v>
      </c>
      <c r="D284" s="175" t="s">
        <v>3644</v>
      </c>
      <c r="E284" s="175" t="s">
        <v>3941</v>
      </c>
      <c r="F284" s="176" t="s">
        <v>3166</v>
      </c>
      <c r="G284" s="679">
        <v>813.75</v>
      </c>
    </row>
    <row r="285" spans="1:7">
      <c r="A285" t="s">
        <v>4054</v>
      </c>
      <c r="B285" s="174" t="s">
        <v>4055</v>
      </c>
      <c r="C285" s="174" t="s">
        <v>4056</v>
      </c>
      <c r="D285" s="175" t="s">
        <v>3644</v>
      </c>
      <c r="E285" s="175" t="s">
        <v>3941</v>
      </c>
      <c r="F285" s="176" t="s">
        <v>3166</v>
      </c>
      <c r="G285" s="679">
        <v>3640.4830500000003</v>
      </c>
    </row>
    <row r="286" spans="1:7">
      <c r="A286" t="s">
        <v>4057</v>
      </c>
      <c r="B286" s="177" t="s">
        <v>4058</v>
      </c>
      <c r="C286" s="177" t="s">
        <v>4059</v>
      </c>
      <c r="D286" s="178" t="s">
        <v>3644</v>
      </c>
      <c r="E286" s="178" t="s">
        <v>3941</v>
      </c>
      <c r="F286" s="179" t="s">
        <v>3166</v>
      </c>
      <c r="G286" s="680">
        <v>23.334000000000003</v>
      </c>
    </row>
    <row r="287" spans="1:7">
      <c r="A287" t="s">
        <v>4060</v>
      </c>
      <c r="B287" s="177" t="s">
        <v>4061</v>
      </c>
      <c r="C287" s="177" t="s">
        <v>4062</v>
      </c>
      <c r="D287" s="178" t="s">
        <v>3644</v>
      </c>
      <c r="E287" s="178" t="s">
        <v>3941</v>
      </c>
      <c r="F287" s="179" t="s">
        <v>3166</v>
      </c>
      <c r="G287" s="680">
        <v>23.659000000000002</v>
      </c>
    </row>
    <row r="288" spans="1:7">
      <c r="A288" t="s">
        <v>4063</v>
      </c>
      <c r="B288" s="174" t="s">
        <v>4064</v>
      </c>
      <c r="C288" s="174" t="s">
        <v>4065</v>
      </c>
      <c r="D288" s="175" t="s">
        <v>3644</v>
      </c>
      <c r="E288" s="175" t="s">
        <v>3763</v>
      </c>
      <c r="F288" s="176" t="s">
        <v>3166</v>
      </c>
      <c r="G288" s="679">
        <v>24881.71</v>
      </c>
    </row>
    <row r="289" spans="1:7">
      <c r="A289" t="s">
        <v>4066</v>
      </c>
      <c r="B289" s="174" t="s">
        <v>4067</v>
      </c>
      <c r="C289" s="174" t="s">
        <v>4068</v>
      </c>
      <c r="D289" s="175" t="s">
        <v>3644</v>
      </c>
      <c r="E289" s="175" t="s">
        <v>4069</v>
      </c>
      <c r="F289" s="176" t="s">
        <v>3166</v>
      </c>
      <c r="G289" s="679">
        <v>5841.2175000000007</v>
      </c>
    </row>
    <row r="290" spans="1:7">
      <c r="A290" t="s">
        <v>4070</v>
      </c>
      <c r="B290" s="174" t="s">
        <v>4071</v>
      </c>
      <c r="C290" s="174" t="s">
        <v>4072</v>
      </c>
      <c r="D290" s="175" t="s">
        <v>3411</v>
      </c>
      <c r="E290" s="175" t="s">
        <v>3412</v>
      </c>
      <c r="F290" s="176" t="s">
        <v>3166</v>
      </c>
      <c r="G290" s="679">
        <v>84</v>
      </c>
    </row>
    <row r="291" spans="1:7">
      <c r="A291" t="s">
        <v>4073</v>
      </c>
      <c r="B291" s="180" t="s">
        <v>4074</v>
      </c>
      <c r="C291" s="180" t="s">
        <v>4075</v>
      </c>
      <c r="D291" s="181" t="s">
        <v>3354</v>
      </c>
      <c r="E291" s="181" t="s">
        <v>3355</v>
      </c>
      <c r="F291" s="182" t="s">
        <v>3166</v>
      </c>
      <c r="G291" s="681">
        <v>3248.5062499999999</v>
      </c>
    </row>
    <row r="292" spans="1:7">
      <c r="A292" t="s">
        <v>4076</v>
      </c>
      <c r="B292" s="174" t="s">
        <v>4077</v>
      </c>
      <c r="C292" s="174" t="s">
        <v>4078</v>
      </c>
      <c r="D292" s="175" t="s">
        <v>3644</v>
      </c>
      <c r="E292" s="175" t="s">
        <v>4069</v>
      </c>
      <c r="F292" s="176" t="s">
        <v>3166</v>
      </c>
      <c r="G292" s="679">
        <v>348.3</v>
      </c>
    </row>
    <row r="293" spans="1:7">
      <c r="A293" t="s">
        <v>4079</v>
      </c>
      <c r="B293" s="174" t="s">
        <v>4080</v>
      </c>
      <c r="C293" s="174" t="s">
        <v>4081</v>
      </c>
      <c r="D293" s="175" t="s">
        <v>3644</v>
      </c>
      <c r="E293" s="175" t="s">
        <v>4069</v>
      </c>
      <c r="F293" s="176" t="s">
        <v>3166</v>
      </c>
      <c r="G293" s="679">
        <v>4741.2925500000001</v>
      </c>
    </row>
    <row r="294" spans="1:7">
      <c r="A294" t="s">
        <v>4082</v>
      </c>
      <c r="B294" s="174" t="s">
        <v>4083</v>
      </c>
      <c r="C294" s="174" t="s">
        <v>4084</v>
      </c>
      <c r="D294" s="175" t="s">
        <v>3644</v>
      </c>
      <c r="E294" s="175" t="s">
        <v>4069</v>
      </c>
      <c r="F294" s="176" t="s">
        <v>3166</v>
      </c>
      <c r="G294" s="679">
        <v>6580.08</v>
      </c>
    </row>
    <row r="295" spans="1:7">
      <c r="A295" t="s">
        <v>4085</v>
      </c>
      <c r="B295" s="174" t="s">
        <v>4086</v>
      </c>
      <c r="C295" s="174" t="s">
        <v>4087</v>
      </c>
      <c r="D295" s="175" t="s">
        <v>3644</v>
      </c>
      <c r="E295" s="175" t="s">
        <v>4069</v>
      </c>
      <c r="F295" s="176" t="s">
        <v>3166</v>
      </c>
      <c r="G295" s="679">
        <v>11214.140100000001</v>
      </c>
    </row>
    <row r="296" spans="1:7">
      <c r="A296" t="s">
        <v>4088</v>
      </c>
      <c r="B296" s="174" t="s">
        <v>4089</v>
      </c>
      <c r="C296" s="174" t="s">
        <v>4090</v>
      </c>
      <c r="D296" s="175" t="s">
        <v>3644</v>
      </c>
      <c r="E296" s="175" t="s">
        <v>4069</v>
      </c>
      <c r="F296" s="176" t="s">
        <v>3166</v>
      </c>
      <c r="G296" s="679">
        <v>51750</v>
      </c>
    </row>
    <row r="297" spans="1:7">
      <c r="A297" t="s">
        <v>4091</v>
      </c>
      <c r="B297" s="174" t="s">
        <v>4092</v>
      </c>
      <c r="C297" s="174" t="s">
        <v>4093</v>
      </c>
      <c r="D297" s="175" t="s">
        <v>3644</v>
      </c>
      <c r="E297" s="175" t="s">
        <v>4069</v>
      </c>
      <c r="F297" s="176" t="s">
        <v>3166</v>
      </c>
      <c r="G297" s="679">
        <v>10718.75</v>
      </c>
    </row>
    <row r="298" spans="1:7">
      <c r="A298" t="s">
        <v>4094</v>
      </c>
      <c r="B298" s="174" t="s">
        <v>4095</v>
      </c>
      <c r="C298" s="174" t="s">
        <v>4096</v>
      </c>
      <c r="D298" s="175" t="s">
        <v>3644</v>
      </c>
      <c r="E298" s="175" t="s">
        <v>4069</v>
      </c>
      <c r="F298" s="176" t="s">
        <v>3166</v>
      </c>
      <c r="G298" s="679">
        <v>7104</v>
      </c>
    </row>
    <row r="299" spans="1:7">
      <c r="A299" t="s">
        <v>4097</v>
      </c>
      <c r="B299" s="174" t="s">
        <v>4098</v>
      </c>
      <c r="C299" s="174" t="s">
        <v>4099</v>
      </c>
      <c r="D299" s="175" t="s">
        <v>3644</v>
      </c>
      <c r="E299" s="175" t="s">
        <v>4069</v>
      </c>
      <c r="F299" s="176" t="s">
        <v>3166</v>
      </c>
      <c r="G299" s="679">
        <v>2166.7000000000003</v>
      </c>
    </row>
    <row r="300" spans="1:7">
      <c r="A300" t="s">
        <v>4100</v>
      </c>
      <c r="B300" s="174" t="s">
        <v>4101</v>
      </c>
      <c r="C300" s="174" t="s">
        <v>4102</v>
      </c>
      <c r="D300" s="175" t="s">
        <v>3644</v>
      </c>
      <c r="E300" s="175" t="s">
        <v>4069</v>
      </c>
      <c r="F300" s="176" t="s">
        <v>3166</v>
      </c>
      <c r="G300" s="679">
        <v>41811.244599999998</v>
      </c>
    </row>
    <row r="301" spans="1:7">
      <c r="A301" t="s">
        <v>4103</v>
      </c>
      <c r="B301" s="174" t="s">
        <v>4104</v>
      </c>
      <c r="C301" s="174" t="s">
        <v>4105</v>
      </c>
      <c r="D301" s="175" t="s">
        <v>3644</v>
      </c>
      <c r="E301" s="175" t="s">
        <v>4069</v>
      </c>
      <c r="F301" s="176" t="s">
        <v>3166</v>
      </c>
      <c r="G301" s="679">
        <v>8071.6500000000005</v>
      </c>
    </row>
    <row r="302" spans="1:7">
      <c r="A302" t="s">
        <v>4106</v>
      </c>
      <c r="B302" s="174" t="s">
        <v>4107</v>
      </c>
      <c r="C302" s="174" t="s">
        <v>4108</v>
      </c>
      <c r="D302" s="175" t="s">
        <v>3644</v>
      </c>
      <c r="E302" s="175" t="s">
        <v>4069</v>
      </c>
      <c r="F302" s="176" t="s">
        <v>3166</v>
      </c>
      <c r="G302" s="679">
        <v>7737.9214000000002</v>
      </c>
    </row>
    <row r="303" spans="1:7">
      <c r="A303" t="s">
        <v>4109</v>
      </c>
      <c r="B303" s="174" t="s">
        <v>4110</v>
      </c>
      <c r="C303" s="174" t="s">
        <v>4111</v>
      </c>
      <c r="D303" s="175" t="s">
        <v>3644</v>
      </c>
      <c r="E303" s="175" t="s">
        <v>4069</v>
      </c>
      <c r="F303" s="176" t="s">
        <v>3166</v>
      </c>
      <c r="G303" s="679">
        <v>6880</v>
      </c>
    </row>
    <row r="304" spans="1:7">
      <c r="A304" t="s">
        <v>4112</v>
      </c>
      <c r="B304" s="174" t="s">
        <v>4113</v>
      </c>
      <c r="C304" s="174" t="s">
        <v>4114</v>
      </c>
      <c r="D304" s="175" t="s">
        <v>3644</v>
      </c>
      <c r="E304" s="175" t="s">
        <v>4069</v>
      </c>
      <c r="F304" s="176" t="s">
        <v>3166</v>
      </c>
      <c r="G304" s="679">
        <v>8589</v>
      </c>
    </row>
    <row r="305" spans="1:7">
      <c r="A305" t="s">
        <v>4115</v>
      </c>
      <c r="B305" s="174" t="s">
        <v>4116</v>
      </c>
      <c r="C305" s="174" t="s">
        <v>4117</v>
      </c>
      <c r="D305" s="175" t="s">
        <v>3644</v>
      </c>
      <c r="E305" s="175" t="s">
        <v>4069</v>
      </c>
      <c r="F305" s="176" t="s">
        <v>3166</v>
      </c>
      <c r="G305" s="679">
        <v>10524.699999999999</v>
      </c>
    </row>
    <row r="306" spans="1:7">
      <c r="A306" t="s">
        <v>4118</v>
      </c>
      <c r="B306" s="174" t="s">
        <v>4119</v>
      </c>
      <c r="C306" s="174" t="s">
        <v>4120</v>
      </c>
      <c r="D306" s="175" t="s">
        <v>3644</v>
      </c>
      <c r="E306" s="175" t="s">
        <v>4069</v>
      </c>
      <c r="F306" s="176" t="s">
        <v>3166</v>
      </c>
      <c r="G306" s="679">
        <v>2594.732</v>
      </c>
    </row>
    <row r="307" spans="1:7">
      <c r="A307" t="s">
        <v>4121</v>
      </c>
      <c r="B307" s="174" t="s">
        <v>4122</v>
      </c>
      <c r="C307" s="174" t="s">
        <v>4123</v>
      </c>
      <c r="D307" s="175" t="s">
        <v>3644</v>
      </c>
      <c r="E307" s="175" t="s">
        <v>4069</v>
      </c>
      <c r="F307" s="176" t="s">
        <v>3166</v>
      </c>
      <c r="G307" s="679">
        <v>3023.2799999999997</v>
      </c>
    </row>
    <row r="308" spans="1:7">
      <c r="A308" t="s">
        <v>4124</v>
      </c>
      <c r="B308" s="174" t="s">
        <v>4125</v>
      </c>
      <c r="C308" s="174" t="s">
        <v>4126</v>
      </c>
      <c r="D308" s="175" t="s">
        <v>3644</v>
      </c>
      <c r="E308" s="175" t="s">
        <v>4069</v>
      </c>
      <c r="F308" s="176" t="s">
        <v>3166</v>
      </c>
      <c r="G308" s="679">
        <v>2541.0219999999999</v>
      </c>
    </row>
    <row r="309" spans="1:7">
      <c r="A309" t="s">
        <v>4127</v>
      </c>
      <c r="B309" s="174" t="s">
        <v>4128</v>
      </c>
      <c r="C309" s="174" t="s">
        <v>4129</v>
      </c>
      <c r="D309" s="175" t="s">
        <v>3644</v>
      </c>
      <c r="E309" s="175" t="s">
        <v>4069</v>
      </c>
      <c r="F309" s="176" t="s">
        <v>3166</v>
      </c>
      <c r="G309" s="679">
        <v>5476</v>
      </c>
    </row>
    <row r="310" spans="1:7">
      <c r="A310" t="s">
        <v>4130</v>
      </c>
      <c r="B310" s="174" t="s">
        <v>4131</v>
      </c>
      <c r="C310" s="174" t="s">
        <v>4132</v>
      </c>
      <c r="D310" s="175" t="s">
        <v>3644</v>
      </c>
      <c r="E310" s="175" t="s">
        <v>4069</v>
      </c>
      <c r="F310" s="176" t="s">
        <v>3166</v>
      </c>
      <c r="G310" s="679">
        <v>4230.3600000000006</v>
      </c>
    </row>
    <row r="311" spans="1:7">
      <c r="A311" t="s">
        <v>4133</v>
      </c>
      <c r="B311" s="174" t="s">
        <v>4134</v>
      </c>
      <c r="C311" s="174" t="s">
        <v>4135</v>
      </c>
      <c r="D311" s="175" t="s">
        <v>3644</v>
      </c>
      <c r="E311" s="175" t="s">
        <v>4069</v>
      </c>
      <c r="F311" s="176" t="s">
        <v>3166</v>
      </c>
      <c r="G311" s="679">
        <v>3063.2</v>
      </c>
    </row>
    <row r="312" spans="1:7">
      <c r="A312" t="s">
        <v>4136</v>
      </c>
      <c r="B312" s="174" t="s">
        <v>4137</v>
      </c>
      <c r="C312" s="174" t="s">
        <v>4138</v>
      </c>
      <c r="D312" s="175" t="s">
        <v>3273</v>
      </c>
      <c r="E312" s="175" t="s">
        <v>3274</v>
      </c>
      <c r="F312" s="176" t="s">
        <v>3166</v>
      </c>
      <c r="G312" s="679">
        <v>2634.3182999999999</v>
      </c>
    </row>
    <row r="313" spans="1:7">
      <c r="A313" t="s">
        <v>4139</v>
      </c>
      <c r="B313" s="174" t="s">
        <v>4140</v>
      </c>
      <c r="C313" s="174" t="s">
        <v>4141</v>
      </c>
      <c r="D313" s="175" t="s">
        <v>3273</v>
      </c>
      <c r="E313" s="175" t="s">
        <v>3274</v>
      </c>
      <c r="F313" s="176" t="s">
        <v>3166</v>
      </c>
      <c r="G313" s="679">
        <v>4141.6105500000003</v>
      </c>
    </row>
    <row r="314" spans="1:7">
      <c r="A314" t="s">
        <v>4142</v>
      </c>
      <c r="B314" s="174" t="s">
        <v>4143</v>
      </c>
      <c r="C314" s="174" t="s">
        <v>4144</v>
      </c>
      <c r="D314" s="175" t="s">
        <v>3273</v>
      </c>
      <c r="E314" s="175" t="s">
        <v>3274</v>
      </c>
      <c r="F314" s="176" t="s">
        <v>3166</v>
      </c>
      <c r="G314" s="679">
        <v>5472.2272000000003</v>
      </c>
    </row>
    <row r="315" spans="1:7">
      <c r="A315" t="s">
        <v>4145</v>
      </c>
      <c r="B315" s="174" t="s">
        <v>4146</v>
      </c>
      <c r="C315" s="174" t="s">
        <v>4147</v>
      </c>
      <c r="D315" s="175" t="s">
        <v>3273</v>
      </c>
      <c r="E315" s="175" t="s">
        <v>3274</v>
      </c>
      <c r="F315" s="176" t="s">
        <v>3166</v>
      </c>
      <c r="G315" s="679">
        <v>6862.9628999999995</v>
      </c>
    </row>
    <row r="316" spans="1:7">
      <c r="A316" t="s">
        <v>4148</v>
      </c>
      <c r="B316" s="174" t="s">
        <v>4149</v>
      </c>
      <c r="C316" s="174" t="s">
        <v>4150</v>
      </c>
      <c r="D316" s="175" t="s">
        <v>3273</v>
      </c>
      <c r="E316" s="175" t="s">
        <v>3274</v>
      </c>
      <c r="F316" s="176" t="s">
        <v>3166</v>
      </c>
      <c r="G316" s="679">
        <v>10140</v>
      </c>
    </row>
    <row r="317" spans="1:7">
      <c r="A317" t="s">
        <v>4151</v>
      </c>
      <c r="B317" s="174" t="s">
        <v>4152</v>
      </c>
      <c r="C317" s="174" t="s">
        <v>4153</v>
      </c>
      <c r="D317" s="175" t="s">
        <v>3273</v>
      </c>
      <c r="E317" s="175" t="s">
        <v>3274</v>
      </c>
      <c r="F317" s="176" t="s">
        <v>3166</v>
      </c>
      <c r="G317" s="679">
        <v>12716.5</v>
      </c>
    </row>
    <row r="318" spans="1:7">
      <c r="A318" t="s">
        <v>4154</v>
      </c>
      <c r="B318" s="174" t="s">
        <v>4155</v>
      </c>
      <c r="C318" s="174" t="s">
        <v>4156</v>
      </c>
      <c r="D318" s="175" t="s">
        <v>3273</v>
      </c>
      <c r="E318" s="175" t="s">
        <v>3274</v>
      </c>
      <c r="F318" s="176" t="s">
        <v>3166</v>
      </c>
      <c r="G318" s="679">
        <v>8065.9865999999993</v>
      </c>
    </row>
    <row r="319" spans="1:7">
      <c r="A319" t="s">
        <v>4157</v>
      </c>
      <c r="B319" s="174" t="s">
        <v>4158</v>
      </c>
      <c r="C319" s="174" t="s">
        <v>4159</v>
      </c>
      <c r="D319" s="175" t="s">
        <v>3273</v>
      </c>
      <c r="E319" s="175" t="s">
        <v>3274</v>
      </c>
      <c r="F319" s="176" t="s">
        <v>3166</v>
      </c>
      <c r="G319" s="679">
        <v>680.15969999999993</v>
      </c>
    </row>
    <row r="320" spans="1:7">
      <c r="A320" t="s">
        <v>4160</v>
      </c>
      <c r="B320" s="174" t="s">
        <v>4161</v>
      </c>
      <c r="C320" s="174" t="s">
        <v>4162</v>
      </c>
      <c r="D320" s="175" t="s">
        <v>3273</v>
      </c>
      <c r="E320" s="175" t="s">
        <v>3274</v>
      </c>
      <c r="F320" s="176" t="s">
        <v>3166</v>
      </c>
      <c r="G320" s="679">
        <v>10803</v>
      </c>
    </row>
    <row r="321" spans="1:7">
      <c r="A321" t="s">
        <v>4163</v>
      </c>
      <c r="B321" s="174" t="s">
        <v>4164</v>
      </c>
      <c r="C321" s="174" t="s">
        <v>4165</v>
      </c>
      <c r="D321" s="175" t="s">
        <v>3273</v>
      </c>
      <c r="E321" s="175" t="s">
        <v>3274</v>
      </c>
      <c r="F321" s="176" t="s">
        <v>3166</v>
      </c>
      <c r="G321" s="679">
        <v>1196.0337500000001</v>
      </c>
    </row>
    <row r="322" spans="1:7">
      <c r="A322" t="s">
        <v>4166</v>
      </c>
      <c r="B322" s="174" t="s">
        <v>4167</v>
      </c>
      <c r="C322" s="174" t="s">
        <v>4168</v>
      </c>
      <c r="D322" s="175" t="s">
        <v>3273</v>
      </c>
      <c r="E322" s="175" t="s">
        <v>3274</v>
      </c>
      <c r="F322" s="176" t="s">
        <v>3166</v>
      </c>
      <c r="G322" s="679">
        <v>1755.9372000000001</v>
      </c>
    </row>
    <row r="323" spans="1:7">
      <c r="A323" t="s">
        <v>4169</v>
      </c>
      <c r="B323" s="180" t="s">
        <v>4170</v>
      </c>
      <c r="C323" s="180" t="s">
        <v>4171</v>
      </c>
      <c r="D323" s="181" t="s">
        <v>3273</v>
      </c>
      <c r="E323" s="181" t="s">
        <v>3274</v>
      </c>
      <c r="F323" s="182" t="s">
        <v>3166</v>
      </c>
      <c r="G323" s="681">
        <v>2250.08655</v>
      </c>
    </row>
    <row r="324" spans="1:7">
      <c r="A324" t="s">
        <v>4172</v>
      </c>
      <c r="B324" s="174" t="s">
        <v>4173</v>
      </c>
      <c r="C324" s="174" t="s">
        <v>4174</v>
      </c>
      <c r="D324" s="175" t="s">
        <v>3273</v>
      </c>
      <c r="E324" s="175" t="s">
        <v>3274</v>
      </c>
      <c r="F324" s="176" t="s">
        <v>3166</v>
      </c>
      <c r="G324" s="679">
        <v>1881</v>
      </c>
    </row>
    <row r="325" spans="1:7">
      <c r="A325" t="s">
        <v>4175</v>
      </c>
      <c r="B325" s="174" t="s">
        <v>4176</v>
      </c>
      <c r="C325" s="174" t="s">
        <v>4177</v>
      </c>
      <c r="D325" s="175" t="s">
        <v>3273</v>
      </c>
      <c r="E325" s="175" t="s">
        <v>3274</v>
      </c>
      <c r="F325" s="176" t="s">
        <v>3166</v>
      </c>
      <c r="G325" s="679">
        <v>4116</v>
      </c>
    </row>
    <row r="326" spans="1:7">
      <c r="A326" t="s">
        <v>4178</v>
      </c>
      <c r="B326" s="174" t="s">
        <v>4179</v>
      </c>
      <c r="C326" s="174" t="s">
        <v>4180</v>
      </c>
      <c r="D326" s="175" t="s">
        <v>3273</v>
      </c>
      <c r="E326" s="175" t="s">
        <v>3274</v>
      </c>
      <c r="F326" s="176" t="s">
        <v>3166</v>
      </c>
      <c r="G326" s="679">
        <v>1009.125</v>
      </c>
    </row>
    <row r="327" spans="1:7">
      <c r="A327" t="s">
        <v>4181</v>
      </c>
      <c r="B327" s="174" t="s">
        <v>4182</v>
      </c>
      <c r="C327" s="174" t="s">
        <v>4183</v>
      </c>
      <c r="D327" s="175" t="s">
        <v>3273</v>
      </c>
      <c r="E327" s="175" t="s">
        <v>3274</v>
      </c>
      <c r="F327" s="176" t="s">
        <v>3166</v>
      </c>
      <c r="G327" s="679">
        <v>2920.2999999999997</v>
      </c>
    </row>
    <row r="328" spans="1:7">
      <c r="A328" t="s">
        <v>4184</v>
      </c>
      <c r="B328" s="174" t="s">
        <v>4185</v>
      </c>
      <c r="C328" s="174" t="s">
        <v>4186</v>
      </c>
      <c r="D328" s="175" t="s">
        <v>3273</v>
      </c>
      <c r="E328" s="175" t="s">
        <v>3274</v>
      </c>
      <c r="F328" s="176" t="s">
        <v>3166</v>
      </c>
      <c r="G328" s="679">
        <v>2221.0569</v>
      </c>
    </row>
    <row r="329" spans="1:7">
      <c r="A329" t="s">
        <v>4187</v>
      </c>
      <c r="B329" s="174" t="s">
        <v>4188</v>
      </c>
      <c r="C329" s="174" t="s">
        <v>4189</v>
      </c>
      <c r="D329" s="175" t="s">
        <v>3273</v>
      </c>
      <c r="E329" s="175" t="s">
        <v>3274</v>
      </c>
      <c r="F329" s="176" t="s">
        <v>3166</v>
      </c>
      <c r="G329" s="679">
        <v>4488</v>
      </c>
    </row>
    <row r="330" spans="1:7">
      <c r="A330" t="s">
        <v>4190</v>
      </c>
      <c r="B330" s="174" t="s">
        <v>4191</v>
      </c>
      <c r="C330" s="174" t="s">
        <v>4192</v>
      </c>
      <c r="D330" s="175" t="s">
        <v>3273</v>
      </c>
      <c r="E330" s="175" t="s">
        <v>3274</v>
      </c>
      <c r="F330" s="176" t="s">
        <v>3166</v>
      </c>
      <c r="G330" s="679">
        <v>204</v>
      </c>
    </row>
    <row r="331" spans="1:7">
      <c r="A331" t="s">
        <v>4193</v>
      </c>
      <c r="B331" s="174" t="s">
        <v>4194</v>
      </c>
      <c r="C331" s="174" t="s">
        <v>4195</v>
      </c>
      <c r="D331" s="175" t="s">
        <v>3273</v>
      </c>
      <c r="E331" s="175" t="s">
        <v>3274</v>
      </c>
      <c r="F331" s="176" t="s">
        <v>3166</v>
      </c>
      <c r="G331" s="679">
        <v>165</v>
      </c>
    </row>
    <row r="332" spans="1:7">
      <c r="A332" t="s">
        <v>4196</v>
      </c>
      <c r="B332" s="174" t="s">
        <v>4197</v>
      </c>
      <c r="C332" s="174" t="s">
        <v>4198</v>
      </c>
      <c r="D332" s="175" t="s">
        <v>3273</v>
      </c>
      <c r="E332" s="175" t="s">
        <v>3274</v>
      </c>
      <c r="F332" s="176" t="s">
        <v>3166</v>
      </c>
      <c r="G332" s="679">
        <v>7.0000000000000007E-2</v>
      </c>
    </row>
    <row r="333" spans="1:7">
      <c r="A333" t="s">
        <v>4199</v>
      </c>
      <c r="B333" s="174" t="s">
        <v>4200</v>
      </c>
      <c r="C333" s="174" t="s">
        <v>4198</v>
      </c>
      <c r="D333" s="175" t="s">
        <v>3273</v>
      </c>
      <c r="E333" s="175" t="s">
        <v>3274</v>
      </c>
      <c r="F333" s="176" t="s">
        <v>3166</v>
      </c>
      <c r="G333" s="679">
        <v>6.5000000000000002E-2</v>
      </c>
    </row>
    <row r="334" spans="1:7">
      <c r="A334" t="s">
        <v>4201</v>
      </c>
      <c r="B334" s="174" t="s">
        <v>4202</v>
      </c>
      <c r="C334" s="174" t="s">
        <v>4198</v>
      </c>
      <c r="D334" s="175" t="s">
        <v>3273</v>
      </c>
      <c r="E334" s="175" t="s">
        <v>3274</v>
      </c>
      <c r="F334" s="176" t="s">
        <v>3166</v>
      </c>
      <c r="G334" s="679">
        <v>0.06</v>
      </c>
    </row>
    <row r="335" spans="1:7">
      <c r="A335" t="s">
        <v>4203</v>
      </c>
      <c r="B335" s="174" t="s">
        <v>4204</v>
      </c>
      <c r="C335" s="174" t="s">
        <v>4205</v>
      </c>
      <c r="D335" s="175" t="s">
        <v>3273</v>
      </c>
      <c r="E335" s="175" t="s">
        <v>3274</v>
      </c>
      <c r="F335" s="176" t="s">
        <v>3166</v>
      </c>
      <c r="G335" s="679">
        <v>777.18354999999997</v>
      </c>
    </row>
    <row r="336" spans="1:7">
      <c r="A336" t="s">
        <v>4206</v>
      </c>
      <c r="B336" s="174" t="s">
        <v>4207</v>
      </c>
      <c r="C336" s="174" t="s">
        <v>4208</v>
      </c>
      <c r="D336" s="175" t="s">
        <v>3273</v>
      </c>
      <c r="E336" s="175" t="s">
        <v>3274</v>
      </c>
      <c r="F336" s="176" t="s">
        <v>3166</v>
      </c>
      <c r="G336" s="679">
        <v>245</v>
      </c>
    </row>
    <row r="337" spans="1:7">
      <c r="A337" t="s">
        <v>4209</v>
      </c>
      <c r="B337" s="174" t="s">
        <v>4210</v>
      </c>
      <c r="C337" s="174" t="s">
        <v>4211</v>
      </c>
      <c r="D337" s="175" t="s">
        <v>3273</v>
      </c>
      <c r="E337" s="175" t="s">
        <v>3274</v>
      </c>
      <c r="F337" s="176" t="s">
        <v>3166</v>
      </c>
      <c r="G337" s="679">
        <v>954.63585</v>
      </c>
    </row>
    <row r="338" spans="1:7">
      <c r="A338" t="s">
        <v>4212</v>
      </c>
      <c r="B338" s="174" t="s">
        <v>4213</v>
      </c>
      <c r="C338" s="174" t="s">
        <v>4214</v>
      </c>
      <c r="D338" s="175" t="s">
        <v>3273</v>
      </c>
      <c r="E338" s="175" t="s">
        <v>3274</v>
      </c>
      <c r="F338" s="176" t="s">
        <v>3166</v>
      </c>
      <c r="G338" s="679">
        <v>76</v>
      </c>
    </row>
    <row r="339" spans="1:7">
      <c r="A339" t="s">
        <v>4215</v>
      </c>
      <c r="B339" s="174" t="s">
        <v>4216</v>
      </c>
      <c r="C339" s="174" t="s">
        <v>4217</v>
      </c>
      <c r="D339" s="175" t="s">
        <v>3273</v>
      </c>
      <c r="E339" s="175" t="s">
        <v>4218</v>
      </c>
      <c r="F339" s="176" t="s">
        <v>3166</v>
      </c>
      <c r="G339" s="679">
        <v>647.96199999999999</v>
      </c>
    </row>
    <row r="340" spans="1:7">
      <c r="A340" t="s">
        <v>4219</v>
      </c>
      <c r="B340" s="174" t="s">
        <v>4220</v>
      </c>
      <c r="C340" s="174" t="s">
        <v>4221</v>
      </c>
      <c r="D340" s="175" t="s">
        <v>3273</v>
      </c>
      <c r="E340" s="175" t="s">
        <v>4218</v>
      </c>
      <c r="F340" s="176" t="s">
        <v>3166</v>
      </c>
      <c r="G340" s="679">
        <v>1306.5554999999999</v>
      </c>
    </row>
    <row r="341" spans="1:7">
      <c r="A341" t="s">
        <v>4222</v>
      </c>
      <c r="B341" s="174" t="s">
        <v>4223</v>
      </c>
      <c r="C341" s="174" t="s">
        <v>4224</v>
      </c>
      <c r="D341" s="175" t="s">
        <v>3273</v>
      </c>
      <c r="E341" s="175" t="s">
        <v>4218</v>
      </c>
      <c r="F341" s="176" t="s">
        <v>3166</v>
      </c>
      <c r="G341" s="679">
        <v>1.48</v>
      </c>
    </row>
    <row r="342" spans="1:7">
      <c r="A342" t="s">
        <v>4225</v>
      </c>
      <c r="B342" s="174" t="s">
        <v>4226</v>
      </c>
      <c r="C342" s="174" t="s">
        <v>4227</v>
      </c>
      <c r="D342" s="175" t="s">
        <v>3273</v>
      </c>
      <c r="E342" s="175" t="s">
        <v>4218</v>
      </c>
      <c r="F342" s="176" t="s">
        <v>3166</v>
      </c>
      <c r="G342" s="679">
        <v>1018.469361</v>
      </c>
    </row>
    <row r="343" spans="1:7">
      <c r="A343" t="s">
        <v>4228</v>
      </c>
      <c r="B343" s="174" t="s">
        <v>4229</v>
      </c>
      <c r="C343" s="174" t="s">
        <v>4230</v>
      </c>
      <c r="D343" s="175" t="s">
        <v>3273</v>
      </c>
      <c r="E343" s="175" t="s">
        <v>4218</v>
      </c>
      <c r="F343" s="176" t="s">
        <v>3166</v>
      </c>
      <c r="G343" s="679">
        <v>713.67866000000004</v>
      </c>
    </row>
    <row r="344" spans="1:7">
      <c r="A344" t="s">
        <v>4231</v>
      </c>
      <c r="B344" s="174" t="s">
        <v>4232</v>
      </c>
      <c r="C344" s="174" t="s">
        <v>4233</v>
      </c>
      <c r="D344" s="175" t="s">
        <v>3273</v>
      </c>
      <c r="E344" s="175" t="s">
        <v>4218</v>
      </c>
      <c r="F344" s="176" t="s">
        <v>3166</v>
      </c>
      <c r="G344" s="679">
        <v>2729.7968249999999</v>
      </c>
    </row>
    <row r="345" spans="1:7">
      <c r="A345" t="s">
        <v>4234</v>
      </c>
      <c r="B345" s="174" t="s">
        <v>4235</v>
      </c>
      <c r="C345" s="174" t="s">
        <v>4236</v>
      </c>
      <c r="D345" s="175" t="s">
        <v>3273</v>
      </c>
      <c r="E345" s="175" t="s">
        <v>4218</v>
      </c>
      <c r="F345" s="176" t="s">
        <v>3166</v>
      </c>
      <c r="G345" s="679">
        <v>5010.086448</v>
      </c>
    </row>
    <row r="346" spans="1:7">
      <c r="A346" t="s">
        <v>4237</v>
      </c>
      <c r="B346" s="174" t="s">
        <v>4238</v>
      </c>
      <c r="C346" s="174" t="s">
        <v>4239</v>
      </c>
      <c r="D346" s="175" t="s">
        <v>3273</v>
      </c>
      <c r="E346" s="175" t="s">
        <v>4218</v>
      </c>
      <c r="F346" s="176" t="s">
        <v>3166</v>
      </c>
      <c r="G346" s="679">
        <v>3922.8333429999998</v>
      </c>
    </row>
    <row r="347" spans="1:7">
      <c r="A347" t="s">
        <v>4240</v>
      </c>
      <c r="B347" s="174" t="s">
        <v>4241</v>
      </c>
      <c r="C347" s="174" t="s">
        <v>4242</v>
      </c>
      <c r="D347" s="175" t="s">
        <v>3273</v>
      </c>
      <c r="E347" s="175" t="s">
        <v>4218</v>
      </c>
      <c r="F347" s="176" t="s">
        <v>3166</v>
      </c>
      <c r="G347" s="679">
        <v>2914.0919079999999</v>
      </c>
    </row>
    <row r="348" spans="1:7">
      <c r="A348" t="s">
        <v>4243</v>
      </c>
      <c r="B348" s="174" t="s">
        <v>4244</v>
      </c>
      <c r="C348" s="174" t="s">
        <v>4245</v>
      </c>
      <c r="D348" s="175" t="s">
        <v>3273</v>
      </c>
      <c r="E348" s="175" t="s">
        <v>4218</v>
      </c>
      <c r="F348" s="176" t="s">
        <v>3166</v>
      </c>
      <c r="G348" s="679">
        <v>3163.4156520000001</v>
      </c>
    </row>
    <row r="349" spans="1:7">
      <c r="A349" t="s">
        <v>4246</v>
      </c>
      <c r="B349" s="174" t="s">
        <v>4247</v>
      </c>
      <c r="C349" s="174" t="s">
        <v>4248</v>
      </c>
      <c r="D349" s="175" t="s">
        <v>3273</v>
      </c>
      <c r="E349" s="175" t="s">
        <v>4218</v>
      </c>
      <c r="F349" s="176" t="s">
        <v>3166</v>
      </c>
      <c r="G349" s="679">
        <v>0.35</v>
      </c>
    </row>
    <row r="350" spans="1:7">
      <c r="A350" t="s">
        <v>4249</v>
      </c>
      <c r="B350" s="174" t="s">
        <v>4250</v>
      </c>
      <c r="C350" s="174" t="s">
        <v>4251</v>
      </c>
      <c r="D350" s="175" t="s">
        <v>3273</v>
      </c>
      <c r="E350" s="175" t="s">
        <v>4218</v>
      </c>
      <c r="F350" s="176" t="s">
        <v>3166</v>
      </c>
      <c r="G350" s="679">
        <v>1.39</v>
      </c>
    </row>
    <row r="351" spans="1:7">
      <c r="A351" t="s">
        <v>4252</v>
      </c>
      <c r="B351" s="174" t="s">
        <v>4253</v>
      </c>
      <c r="C351" s="174" t="s">
        <v>4254</v>
      </c>
      <c r="D351" s="175" t="s">
        <v>3273</v>
      </c>
      <c r="E351" s="175" t="s">
        <v>4218</v>
      </c>
      <c r="F351" s="176" t="s">
        <v>3166</v>
      </c>
      <c r="G351" s="679">
        <v>189.19799999999998</v>
      </c>
    </row>
    <row r="352" spans="1:7">
      <c r="A352" t="s">
        <v>4255</v>
      </c>
      <c r="B352" s="174" t="s">
        <v>4256</v>
      </c>
      <c r="C352" s="174" t="s">
        <v>4257</v>
      </c>
      <c r="D352" s="175" t="s">
        <v>3644</v>
      </c>
      <c r="E352" s="175" t="s">
        <v>3941</v>
      </c>
      <c r="F352" s="176" t="s">
        <v>3166</v>
      </c>
      <c r="G352" s="679">
        <v>437.03000000000003</v>
      </c>
    </row>
    <row r="353" spans="1:7">
      <c r="A353" t="s">
        <v>4258</v>
      </c>
      <c r="B353" s="174" t="s">
        <v>4259</v>
      </c>
      <c r="C353" s="174" t="s">
        <v>4260</v>
      </c>
      <c r="D353" s="175" t="s">
        <v>4261</v>
      </c>
      <c r="E353" s="175" t="s">
        <v>4262</v>
      </c>
      <c r="F353" s="176" t="s">
        <v>3166</v>
      </c>
      <c r="G353" s="679">
        <v>2.8640240000000006</v>
      </c>
    </row>
    <row r="354" spans="1:7">
      <c r="A354" t="s">
        <v>4263</v>
      </c>
      <c r="B354" s="177" t="s">
        <v>4264</v>
      </c>
      <c r="C354" s="177" t="s">
        <v>4265</v>
      </c>
      <c r="D354" s="178" t="s">
        <v>4266</v>
      </c>
      <c r="E354" s="178" t="s">
        <v>3296</v>
      </c>
      <c r="F354" s="179" t="s">
        <v>3166</v>
      </c>
      <c r="G354" s="680">
        <v>0</v>
      </c>
    </row>
    <row r="355" spans="1:7">
      <c r="A355" t="s">
        <v>4267</v>
      </c>
      <c r="B355" s="180" t="s">
        <v>4268</v>
      </c>
      <c r="C355" s="180" t="s">
        <v>4269</v>
      </c>
      <c r="D355" s="181" t="s">
        <v>4266</v>
      </c>
      <c r="E355" s="181" t="s">
        <v>3395</v>
      </c>
      <c r="F355" s="182" t="s">
        <v>3166</v>
      </c>
      <c r="G355" s="681">
        <v>1643.786844</v>
      </c>
    </row>
    <row r="356" spans="1:7">
      <c r="A356" t="s">
        <v>4270</v>
      </c>
      <c r="B356" s="174" t="s">
        <v>4271</v>
      </c>
      <c r="C356" s="174" t="s">
        <v>4272</v>
      </c>
      <c r="D356" s="175" t="s">
        <v>4266</v>
      </c>
      <c r="E356" s="175" t="s">
        <v>3395</v>
      </c>
      <c r="F356" s="176" t="s">
        <v>3166</v>
      </c>
      <c r="G356" s="679">
        <v>5530.7156239999995</v>
      </c>
    </row>
    <row r="357" spans="1:7">
      <c r="A357" t="s">
        <v>4273</v>
      </c>
      <c r="B357" s="174" t="s">
        <v>4274</v>
      </c>
      <c r="C357" s="174" t="s">
        <v>4275</v>
      </c>
      <c r="D357" s="175" t="s">
        <v>4266</v>
      </c>
      <c r="E357" s="175" t="s">
        <v>3395</v>
      </c>
      <c r="F357" s="176" t="s">
        <v>3166</v>
      </c>
      <c r="G357" s="679">
        <v>5364.0047999999997</v>
      </c>
    </row>
    <row r="358" spans="1:7">
      <c r="A358" t="s">
        <v>4276</v>
      </c>
      <c r="B358" s="174" t="s">
        <v>4277</v>
      </c>
      <c r="C358" s="174" t="s">
        <v>4278</v>
      </c>
      <c r="D358" s="175" t="s">
        <v>4266</v>
      </c>
      <c r="E358" s="175" t="s">
        <v>4279</v>
      </c>
      <c r="F358" s="176" t="s">
        <v>3166</v>
      </c>
      <c r="G358" s="679">
        <v>2913.7937000000002</v>
      </c>
    </row>
    <row r="359" spans="1:7">
      <c r="A359" t="s">
        <v>4280</v>
      </c>
      <c r="B359" s="174" t="s">
        <v>4281</v>
      </c>
      <c r="C359" s="174" t="s">
        <v>4282</v>
      </c>
      <c r="D359" s="175" t="s">
        <v>4266</v>
      </c>
      <c r="E359" s="175" t="s">
        <v>4279</v>
      </c>
      <c r="F359" s="176" t="s">
        <v>3166</v>
      </c>
      <c r="G359" s="679">
        <v>2661.087</v>
      </c>
    </row>
    <row r="360" spans="1:7">
      <c r="A360" t="s">
        <v>4283</v>
      </c>
      <c r="B360" s="177" t="s">
        <v>4284</v>
      </c>
      <c r="C360" s="177" t="s">
        <v>4285</v>
      </c>
      <c r="D360" s="178" t="s">
        <v>4266</v>
      </c>
      <c r="E360" s="178" t="s">
        <v>4279</v>
      </c>
      <c r="F360" s="179" t="s">
        <v>3166</v>
      </c>
      <c r="G360" s="680">
        <v>1.29E-2</v>
      </c>
    </row>
    <row r="361" spans="1:7">
      <c r="A361" t="s">
        <v>4286</v>
      </c>
      <c r="B361" s="177" t="s">
        <v>4287</v>
      </c>
      <c r="C361" s="177" t="s">
        <v>4288</v>
      </c>
      <c r="D361" s="178" t="s">
        <v>4266</v>
      </c>
      <c r="E361" s="178" t="s">
        <v>4279</v>
      </c>
      <c r="F361" s="179" t="s">
        <v>3166</v>
      </c>
      <c r="G361" s="680">
        <v>1.2800000000000001E-2</v>
      </c>
    </row>
    <row r="362" spans="1:7">
      <c r="A362" t="s">
        <v>4289</v>
      </c>
      <c r="B362" s="177" t="s">
        <v>4290</v>
      </c>
      <c r="C362" s="177" t="s">
        <v>4291</v>
      </c>
      <c r="D362" s="178" t="s">
        <v>4266</v>
      </c>
      <c r="E362" s="178" t="s">
        <v>4279</v>
      </c>
      <c r="F362" s="179" t="s">
        <v>3166</v>
      </c>
      <c r="G362" s="680">
        <v>1.2700000000000001E-2</v>
      </c>
    </row>
    <row r="363" spans="1:7">
      <c r="A363" t="s">
        <v>4292</v>
      </c>
      <c r="B363" s="174" t="s">
        <v>4293</v>
      </c>
      <c r="C363" s="174" t="s">
        <v>4294</v>
      </c>
      <c r="D363" s="175" t="s">
        <v>4295</v>
      </c>
      <c r="E363" s="175" t="s">
        <v>3296</v>
      </c>
      <c r="F363" s="176" t="s">
        <v>3166</v>
      </c>
      <c r="G363" s="679">
        <v>742.01400000000001</v>
      </c>
    </row>
    <row r="364" spans="1:7">
      <c r="A364" t="s">
        <v>4296</v>
      </c>
      <c r="B364" s="174" t="s">
        <v>4297</v>
      </c>
      <c r="C364" s="174" t="s">
        <v>4298</v>
      </c>
      <c r="D364" s="175" t="s">
        <v>4299</v>
      </c>
      <c r="E364" s="175" t="s">
        <v>4300</v>
      </c>
      <c r="F364" s="176" t="s">
        <v>3166</v>
      </c>
      <c r="G364" s="679">
        <v>296.25</v>
      </c>
    </row>
    <row r="365" spans="1:7">
      <c r="A365" t="s">
        <v>4301</v>
      </c>
      <c r="B365" s="174" t="s">
        <v>4302</v>
      </c>
      <c r="C365" s="174" t="s">
        <v>4303</v>
      </c>
      <c r="D365" s="175" t="s">
        <v>4304</v>
      </c>
      <c r="E365" s="175" t="s">
        <v>4305</v>
      </c>
      <c r="F365" s="176" t="s">
        <v>3166</v>
      </c>
      <c r="G365" s="679">
        <v>1.24</v>
      </c>
    </row>
    <row r="366" spans="1:7">
      <c r="A366" t="s">
        <v>4306</v>
      </c>
      <c r="B366" s="174" t="s">
        <v>4307</v>
      </c>
      <c r="C366" s="174" t="s">
        <v>4308</v>
      </c>
      <c r="D366" s="175" t="s">
        <v>4304</v>
      </c>
      <c r="E366" s="175" t="s">
        <v>4305</v>
      </c>
      <c r="F366" s="176" t="s">
        <v>3166</v>
      </c>
      <c r="G366" s="679">
        <v>4400.2484940000004</v>
      </c>
    </row>
    <row r="367" spans="1:7">
      <c r="A367" t="s">
        <v>4309</v>
      </c>
      <c r="B367" s="174" t="s">
        <v>4310</v>
      </c>
      <c r="C367" s="174" t="s">
        <v>4311</v>
      </c>
      <c r="D367" s="175" t="s">
        <v>4304</v>
      </c>
      <c r="E367" s="175" t="s">
        <v>4305</v>
      </c>
      <c r="F367" s="176" t="s">
        <v>3166</v>
      </c>
      <c r="G367" s="679">
        <v>661.36199999999997</v>
      </c>
    </row>
    <row r="368" spans="1:7">
      <c r="A368" t="s">
        <v>4312</v>
      </c>
      <c r="B368" s="174" t="s">
        <v>4313</v>
      </c>
      <c r="C368" s="174" t="s">
        <v>4311</v>
      </c>
      <c r="D368" s="175" t="s">
        <v>4304</v>
      </c>
      <c r="E368" s="175" t="s">
        <v>4305</v>
      </c>
      <c r="F368" s="176" t="s">
        <v>3166</v>
      </c>
      <c r="G368" s="679">
        <v>617.1</v>
      </c>
    </row>
    <row r="369" spans="1:7">
      <c r="A369" t="s">
        <v>4314</v>
      </c>
      <c r="B369" s="177" t="s">
        <v>4315</v>
      </c>
      <c r="C369" s="177" t="s">
        <v>4316</v>
      </c>
      <c r="D369" s="178" t="s">
        <v>4317</v>
      </c>
      <c r="E369" s="178" t="s">
        <v>4317</v>
      </c>
      <c r="F369" s="179" t="s">
        <v>3166</v>
      </c>
      <c r="G369" s="680">
        <v>1.188E-2</v>
      </c>
    </row>
    <row r="370" spans="1:7">
      <c r="A370" t="s">
        <v>4318</v>
      </c>
      <c r="B370" s="177" t="s">
        <v>4319</v>
      </c>
      <c r="C370" s="177" t="s">
        <v>4320</v>
      </c>
      <c r="D370" s="178" t="s">
        <v>4317</v>
      </c>
      <c r="E370" s="178" t="s">
        <v>4317</v>
      </c>
      <c r="F370" s="179" t="s">
        <v>3166</v>
      </c>
      <c r="G370" s="680">
        <v>0</v>
      </c>
    </row>
    <row r="371" spans="1:7">
      <c r="A371" t="s">
        <v>4321</v>
      </c>
      <c r="B371" s="177" t="s">
        <v>4322</v>
      </c>
      <c r="C371" s="177" t="s">
        <v>4323</v>
      </c>
      <c r="D371" s="178" t="s">
        <v>4317</v>
      </c>
      <c r="E371" s="178" t="s">
        <v>4317</v>
      </c>
      <c r="F371" s="179" t="s">
        <v>3166</v>
      </c>
      <c r="G371" s="680">
        <v>0</v>
      </c>
    </row>
    <row r="372" spans="1:7">
      <c r="A372" t="s">
        <v>4324</v>
      </c>
      <c r="B372" s="177" t="s">
        <v>4325</v>
      </c>
      <c r="C372" s="177" t="s">
        <v>4326</v>
      </c>
      <c r="D372" s="178" t="s">
        <v>4317</v>
      </c>
      <c r="E372" s="178" t="s">
        <v>4317</v>
      </c>
      <c r="F372" s="179" t="s">
        <v>3166</v>
      </c>
      <c r="G372" s="680">
        <v>0.29700000000000004</v>
      </c>
    </row>
    <row r="373" spans="1:7">
      <c r="A373" t="s">
        <v>4327</v>
      </c>
      <c r="B373" s="177" t="s">
        <v>4328</v>
      </c>
      <c r="C373" s="177" t="s">
        <v>4329</v>
      </c>
      <c r="D373" s="178" t="s">
        <v>4317</v>
      </c>
      <c r="E373" s="178" t="s">
        <v>4317</v>
      </c>
      <c r="F373" s="179" t="s">
        <v>3166</v>
      </c>
      <c r="G373" s="680">
        <v>2.2593899999999998</v>
      </c>
    </row>
    <row r="374" spans="1:7">
      <c r="A374" t="s">
        <v>4330</v>
      </c>
      <c r="B374" s="177" t="s">
        <v>4331</v>
      </c>
      <c r="C374" s="177" t="s">
        <v>4332</v>
      </c>
      <c r="D374" s="178" t="s">
        <v>4317</v>
      </c>
      <c r="E374" s="178" t="s">
        <v>4317</v>
      </c>
      <c r="F374" s="179" t="s">
        <v>3166</v>
      </c>
      <c r="G374" s="680">
        <v>0.33280000000000004</v>
      </c>
    </row>
    <row r="375" spans="1:7">
      <c r="A375" t="s">
        <v>4333</v>
      </c>
      <c r="B375" s="177" t="s">
        <v>4334</v>
      </c>
      <c r="C375" s="177" t="s">
        <v>4335</v>
      </c>
      <c r="D375" s="178" t="s">
        <v>4317</v>
      </c>
      <c r="E375" s="178" t="s">
        <v>4317</v>
      </c>
      <c r="F375" s="179" t="s">
        <v>3166</v>
      </c>
      <c r="G375" s="680">
        <v>0</v>
      </c>
    </row>
    <row r="376" spans="1:7">
      <c r="A376" t="s">
        <v>4336</v>
      </c>
      <c r="B376" s="177" t="s">
        <v>4337</v>
      </c>
      <c r="C376" s="177" t="s">
        <v>4338</v>
      </c>
      <c r="D376" s="178" t="s">
        <v>4317</v>
      </c>
      <c r="E376" s="178" t="s">
        <v>4317</v>
      </c>
      <c r="F376" s="179" t="s">
        <v>3166</v>
      </c>
      <c r="G376" s="680">
        <v>2.5</v>
      </c>
    </row>
    <row r="377" spans="1:7">
      <c r="A377" t="s">
        <v>4339</v>
      </c>
      <c r="B377" s="177" t="s">
        <v>4340</v>
      </c>
      <c r="C377" s="177" t="s">
        <v>4341</v>
      </c>
      <c r="D377" s="178" t="s">
        <v>4317</v>
      </c>
      <c r="E377" s="178" t="s">
        <v>4317</v>
      </c>
      <c r="F377" s="179" t="s">
        <v>3166</v>
      </c>
      <c r="G377" s="680">
        <v>4.9000000000000002E-2</v>
      </c>
    </row>
    <row r="378" spans="1:7">
      <c r="A378" t="s">
        <v>4342</v>
      </c>
      <c r="B378" s="177" t="s">
        <v>4343</v>
      </c>
      <c r="C378" s="177" t="s">
        <v>4344</v>
      </c>
      <c r="D378" s="178" t="s">
        <v>4317</v>
      </c>
      <c r="E378" s="178" t="s">
        <v>4317</v>
      </c>
      <c r="F378" s="179" t="s">
        <v>3166</v>
      </c>
      <c r="G378" s="680">
        <v>4.8000000000000001E-2</v>
      </c>
    </row>
    <row r="379" spans="1:7">
      <c r="A379" t="s">
        <v>4345</v>
      </c>
      <c r="B379" s="177" t="s">
        <v>4346</v>
      </c>
      <c r="C379" s="177" t="s">
        <v>4347</v>
      </c>
      <c r="D379" s="178" t="s">
        <v>4317</v>
      </c>
      <c r="E379" s="178" t="s">
        <v>4317</v>
      </c>
      <c r="F379" s="179" t="s">
        <v>3166</v>
      </c>
      <c r="G379" s="680">
        <v>0.47000000000000003</v>
      </c>
    </row>
    <row r="380" spans="1:7">
      <c r="A380" t="s">
        <v>4348</v>
      </c>
      <c r="B380" s="177" t="s">
        <v>4349</v>
      </c>
      <c r="C380" s="177" t="s">
        <v>4350</v>
      </c>
      <c r="D380" s="178" t="s">
        <v>4317</v>
      </c>
      <c r="E380" s="178" t="s">
        <v>4317</v>
      </c>
      <c r="F380" s="179" t="s">
        <v>3166</v>
      </c>
      <c r="G380" s="680">
        <v>4.5999999999999999E-2</v>
      </c>
    </row>
    <row r="381" spans="1:7">
      <c r="A381" t="s">
        <v>4351</v>
      </c>
      <c r="B381" s="177" t="s">
        <v>4352</v>
      </c>
      <c r="C381" s="177" t="s">
        <v>4353</v>
      </c>
      <c r="D381" s="178" t="s">
        <v>4317</v>
      </c>
      <c r="E381" s="178" t="s">
        <v>4317</v>
      </c>
      <c r="F381" s="179" t="s">
        <v>3166</v>
      </c>
      <c r="G381" s="680">
        <v>0.45</v>
      </c>
    </row>
    <row r="382" spans="1:7">
      <c r="A382" t="s">
        <v>4354</v>
      </c>
      <c r="B382" s="177" t="s">
        <v>4355</v>
      </c>
      <c r="C382" s="177" t="s">
        <v>4356</v>
      </c>
      <c r="D382" s="178" t="s">
        <v>4317</v>
      </c>
      <c r="E382" s="178" t="s">
        <v>4317</v>
      </c>
      <c r="F382" s="179" t="s">
        <v>3166</v>
      </c>
      <c r="G382" s="680">
        <v>4.4000000000000004E-2</v>
      </c>
    </row>
    <row r="383" spans="1:7">
      <c r="A383" t="s">
        <v>4357</v>
      </c>
      <c r="B383" s="177" t="s">
        <v>4358</v>
      </c>
      <c r="C383" s="177" t="s">
        <v>4359</v>
      </c>
      <c r="D383" s="178" t="s">
        <v>4317</v>
      </c>
      <c r="E383" s="178" t="s">
        <v>4317</v>
      </c>
      <c r="F383" s="179" t="s">
        <v>3166</v>
      </c>
      <c r="G383" s="680">
        <v>4.2999999999999997E-2</v>
      </c>
    </row>
    <row r="384" spans="1:7">
      <c r="A384" t="s">
        <v>4360</v>
      </c>
      <c r="B384" s="177" t="s">
        <v>4361</v>
      </c>
      <c r="C384" s="177" t="s">
        <v>4362</v>
      </c>
      <c r="D384" s="178" t="s">
        <v>4317</v>
      </c>
      <c r="E384" s="178" t="s">
        <v>4317</v>
      </c>
      <c r="F384" s="179" t="s">
        <v>3166</v>
      </c>
      <c r="G384" s="680">
        <v>4.2000000000000003E-2</v>
      </c>
    </row>
    <row r="385" spans="1:7">
      <c r="A385" t="s">
        <v>4363</v>
      </c>
      <c r="B385" s="177" t="s">
        <v>4364</v>
      </c>
      <c r="C385" s="177" t="s">
        <v>4365</v>
      </c>
      <c r="D385" s="178" t="s">
        <v>4317</v>
      </c>
      <c r="E385" s="178" t="s">
        <v>4317</v>
      </c>
      <c r="F385" s="179" t="s">
        <v>3166</v>
      </c>
      <c r="G385" s="680">
        <v>4.0999999999999995E-2</v>
      </c>
    </row>
    <row r="386" spans="1:7">
      <c r="A386" t="s">
        <v>4366</v>
      </c>
      <c r="B386" s="177" t="s">
        <v>4367</v>
      </c>
      <c r="C386" s="177" t="s">
        <v>4368</v>
      </c>
      <c r="D386" s="178" t="s">
        <v>4317</v>
      </c>
      <c r="E386" s="178" t="s">
        <v>4317</v>
      </c>
      <c r="F386" s="179" t="s">
        <v>3166</v>
      </c>
      <c r="G386" s="680">
        <v>0.04</v>
      </c>
    </row>
    <row r="387" spans="1:7">
      <c r="A387" t="s">
        <v>4369</v>
      </c>
      <c r="B387" s="171" t="s">
        <v>4370</v>
      </c>
      <c r="C387" s="171" t="s">
        <v>4371</v>
      </c>
      <c r="D387" s="172" t="s">
        <v>4317</v>
      </c>
      <c r="E387" s="172" t="s">
        <v>4317</v>
      </c>
      <c r="F387" s="173" t="s">
        <v>3166</v>
      </c>
      <c r="G387" s="678">
        <v>3.9</v>
      </c>
    </row>
    <row r="388" spans="1:7">
      <c r="A388" t="s">
        <v>4372</v>
      </c>
      <c r="B388" s="174" t="s">
        <v>4373</v>
      </c>
      <c r="C388" s="174" t="s">
        <v>4374</v>
      </c>
      <c r="D388" s="175" t="s">
        <v>3877</v>
      </c>
      <c r="E388" s="175" t="s">
        <v>4375</v>
      </c>
      <c r="F388" s="176" t="s">
        <v>3166</v>
      </c>
      <c r="G388" s="679">
        <v>2896.4360000000001</v>
      </c>
    </row>
    <row r="389" spans="1:7">
      <c r="A389" t="s">
        <v>4376</v>
      </c>
      <c r="B389" s="174" t="s">
        <v>4377</v>
      </c>
      <c r="C389" s="174" t="s">
        <v>4378</v>
      </c>
      <c r="D389" s="175" t="s">
        <v>4379</v>
      </c>
      <c r="E389" s="175" t="s">
        <v>3296</v>
      </c>
      <c r="F389" s="176" t="s">
        <v>3166</v>
      </c>
      <c r="G389" s="679">
        <v>8042.2763400000013</v>
      </c>
    </row>
    <row r="390" spans="1:7">
      <c r="A390" t="s">
        <v>4380</v>
      </c>
      <c r="B390" s="174" t="s">
        <v>4381</v>
      </c>
      <c r="C390" s="174" t="s">
        <v>4382</v>
      </c>
      <c r="D390" s="175" t="s">
        <v>4379</v>
      </c>
      <c r="E390" s="175" t="s">
        <v>3296</v>
      </c>
      <c r="F390" s="176" t="s">
        <v>3166</v>
      </c>
      <c r="G390" s="679">
        <v>299.7</v>
      </c>
    </row>
    <row r="391" spans="1:7">
      <c r="A391" t="s">
        <v>4383</v>
      </c>
      <c r="B391" s="174" t="s">
        <v>4384</v>
      </c>
      <c r="C391" s="174" t="s">
        <v>4385</v>
      </c>
      <c r="D391" s="175" t="s">
        <v>4379</v>
      </c>
      <c r="E391" s="175" t="s">
        <v>3296</v>
      </c>
      <c r="F391" s="176" t="s">
        <v>3166</v>
      </c>
      <c r="G391" s="679">
        <v>198.33345</v>
      </c>
    </row>
    <row r="392" spans="1:7">
      <c r="A392" t="s">
        <v>4386</v>
      </c>
      <c r="B392" s="174" t="s">
        <v>4387</v>
      </c>
      <c r="C392" s="174" t="s">
        <v>4388</v>
      </c>
      <c r="D392" s="175" t="s">
        <v>4379</v>
      </c>
      <c r="E392" s="175" t="s">
        <v>3296</v>
      </c>
      <c r="F392" s="176" t="s">
        <v>3166</v>
      </c>
      <c r="G392" s="679">
        <v>2550</v>
      </c>
    </row>
    <row r="393" spans="1:7">
      <c r="A393" t="s">
        <v>4389</v>
      </c>
      <c r="B393" s="174" t="s">
        <v>4390</v>
      </c>
      <c r="C393" s="174" t="s">
        <v>4391</v>
      </c>
      <c r="D393" s="175" t="s">
        <v>4379</v>
      </c>
      <c r="E393" s="175" t="s">
        <v>3296</v>
      </c>
      <c r="F393" s="176" t="s">
        <v>3166</v>
      </c>
      <c r="G393" s="679">
        <v>495</v>
      </c>
    </row>
    <row r="394" spans="1:7">
      <c r="A394" t="s">
        <v>4392</v>
      </c>
      <c r="B394" s="174" t="s">
        <v>4393</v>
      </c>
      <c r="C394" s="174" t="s">
        <v>4394</v>
      </c>
      <c r="D394" s="175" t="s">
        <v>4379</v>
      </c>
      <c r="E394" s="175" t="s">
        <v>3296</v>
      </c>
      <c r="F394" s="176" t="s">
        <v>3166</v>
      </c>
      <c r="G394" s="679">
        <v>40</v>
      </c>
    </row>
    <row r="395" spans="1:7">
      <c r="A395" t="s">
        <v>4395</v>
      </c>
      <c r="B395" s="174" t="s">
        <v>4396</v>
      </c>
      <c r="C395" s="174" t="s">
        <v>4397</v>
      </c>
      <c r="D395" s="175" t="s">
        <v>3876</v>
      </c>
      <c r="E395" s="175" t="s">
        <v>4398</v>
      </c>
      <c r="F395" s="176" t="s">
        <v>3166</v>
      </c>
      <c r="G395" s="679">
        <v>1161.0429999999999</v>
      </c>
    </row>
    <row r="396" spans="1:7">
      <c r="A396" t="s">
        <v>4399</v>
      </c>
      <c r="B396" s="174" t="s">
        <v>4400</v>
      </c>
      <c r="C396" s="174" t="s">
        <v>4401</v>
      </c>
      <c r="D396" s="175" t="s">
        <v>4379</v>
      </c>
      <c r="E396" s="175" t="s">
        <v>3296</v>
      </c>
      <c r="F396" s="176" t="s">
        <v>3166</v>
      </c>
      <c r="G396" s="679">
        <v>1182</v>
      </c>
    </row>
    <row r="397" spans="1:7">
      <c r="A397" t="s">
        <v>4402</v>
      </c>
      <c r="B397" s="177" t="s">
        <v>4403</v>
      </c>
      <c r="C397" s="177" t="s">
        <v>4404</v>
      </c>
      <c r="D397" s="178" t="s">
        <v>4379</v>
      </c>
      <c r="E397" s="178" t="s">
        <v>3296</v>
      </c>
      <c r="F397" s="179" t="s">
        <v>3166</v>
      </c>
      <c r="G397" s="680">
        <v>0</v>
      </c>
    </row>
    <row r="398" spans="1:7">
      <c r="A398" t="s">
        <v>4405</v>
      </c>
      <c r="B398" s="174" t="s">
        <v>4406</v>
      </c>
      <c r="C398" s="174" t="s">
        <v>4407</v>
      </c>
      <c r="D398" s="175" t="s">
        <v>4379</v>
      </c>
      <c r="E398" s="175" t="s">
        <v>4408</v>
      </c>
      <c r="F398" s="176" t="s">
        <v>3166</v>
      </c>
      <c r="G398" s="679">
        <v>1387.3999999999999</v>
      </c>
    </row>
    <row r="399" spans="1:7">
      <c r="A399" t="s">
        <v>4409</v>
      </c>
      <c r="B399" s="174" t="s">
        <v>4410</v>
      </c>
      <c r="C399" s="174" t="s">
        <v>4411</v>
      </c>
      <c r="D399" s="175" t="s">
        <v>4379</v>
      </c>
      <c r="E399" s="175" t="s">
        <v>4412</v>
      </c>
      <c r="F399" s="176" t="s">
        <v>3166</v>
      </c>
      <c r="G399" s="679">
        <v>23.900670000000002</v>
      </c>
    </row>
    <row r="400" spans="1:7">
      <c r="A400" t="s">
        <v>4413</v>
      </c>
      <c r="B400" s="174" t="s">
        <v>4414</v>
      </c>
      <c r="C400" s="174" t="s">
        <v>4415</v>
      </c>
      <c r="D400" s="175" t="s">
        <v>4379</v>
      </c>
      <c r="E400" s="175" t="s">
        <v>4416</v>
      </c>
      <c r="F400" s="176" t="s">
        <v>3166</v>
      </c>
      <c r="G400" s="679">
        <v>7.7220000000000011E-2</v>
      </c>
    </row>
    <row r="401" spans="1:7">
      <c r="A401" t="s">
        <v>4417</v>
      </c>
      <c r="B401" s="174" t="s">
        <v>4418</v>
      </c>
      <c r="C401" s="174" t="s">
        <v>4419</v>
      </c>
      <c r="D401" s="175" t="s">
        <v>4379</v>
      </c>
      <c r="E401" s="175" t="s">
        <v>4420</v>
      </c>
      <c r="F401" s="176" t="s">
        <v>3166</v>
      </c>
      <c r="G401" s="679">
        <v>156.875</v>
      </c>
    </row>
    <row r="402" spans="1:7">
      <c r="A402" t="s">
        <v>4421</v>
      </c>
      <c r="B402" s="177" t="s">
        <v>4422</v>
      </c>
      <c r="C402" s="177" t="s">
        <v>4423</v>
      </c>
      <c r="D402" s="178" t="s">
        <v>4424</v>
      </c>
      <c r="E402" s="178" t="s">
        <v>3296</v>
      </c>
      <c r="F402" s="179" t="s">
        <v>3166</v>
      </c>
      <c r="G402" s="680">
        <v>2.4E-2</v>
      </c>
    </row>
    <row r="403" spans="1:7">
      <c r="A403" t="s">
        <v>4425</v>
      </c>
      <c r="B403" s="174" t="s">
        <v>4426</v>
      </c>
      <c r="C403" s="174" t="s">
        <v>4427</v>
      </c>
      <c r="D403" s="175" t="s">
        <v>4424</v>
      </c>
      <c r="E403" s="175" t="s">
        <v>3296</v>
      </c>
      <c r="F403" s="176" t="s">
        <v>3166</v>
      </c>
      <c r="G403" s="679">
        <v>13.63256</v>
      </c>
    </row>
    <row r="404" spans="1:7">
      <c r="A404" t="s">
        <v>4428</v>
      </c>
      <c r="B404" s="174" t="s">
        <v>4429</v>
      </c>
      <c r="C404" s="174" t="s">
        <v>4430</v>
      </c>
      <c r="D404" s="175" t="s">
        <v>4424</v>
      </c>
      <c r="E404" s="175" t="s">
        <v>3296</v>
      </c>
      <c r="F404" s="176" t="s">
        <v>3166</v>
      </c>
      <c r="G404" s="679">
        <v>257.97838000000002</v>
      </c>
    </row>
    <row r="405" spans="1:7">
      <c r="A405" t="s">
        <v>4431</v>
      </c>
      <c r="B405" s="177" t="s">
        <v>4432</v>
      </c>
      <c r="C405" s="177" t="s">
        <v>4433</v>
      </c>
      <c r="D405" s="178" t="s">
        <v>4424</v>
      </c>
      <c r="E405" s="178" t="s">
        <v>3296</v>
      </c>
      <c r="F405" s="179" t="s">
        <v>3166</v>
      </c>
      <c r="G405" s="680">
        <v>2.1</v>
      </c>
    </row>
    <row r="406" spans="1:7">
      <c r="A406" t="s">
        <v>4434</v>
      </c>
      <c r="B406" s="177" t="s">
        <v>4435</v>
      </c>
      <c r="C406" s="177" t="s">
        <v>4436</v>
      </c>
      <c r="D406" s="178" t="s">
        <v>4424</v>
      </c>
      <c r="E406" s="178" t="s">
        <v>3296</v>
      </c>
      <c r="F406" s="179" t="s">
        <v>3166</v>
      </c>
      <c r="G406" s="680">
        <v>0.02</v>
      </c>
    </row>
    <row r="407" spans="1:7">
      <c r="A407" t="s">
        <v>4437</v>
      </c>
      <c r="B407" s="174" t="s">
        <v>4438</v>
      </c>
      <c r="C407" s="174" t="s">
        <v>4439</v>
      </c>
      <c r="D407" s="175" t="s">
        <v>4424</v>
      </c>
      <c r="E407" s="175" t="s">
        <v>3296</v>
      </c>
      <c r="F407" s="176" t="s">
        <v>3166</v>
      </c>
      <c r="G407" s="679">
        <v>37.049999999999997</v>
      </c>
    </row>
    <row r="408" spans="1:7">
      <c r="A408" t="s">
        <v>4440</v>
      </c>
      <c r="B408" s="174" t="s">
        <v>4441</v>
      </c>
      <c r="C408" s="174" t="s">
        <v>4442</v>
      </c>
      <c r="D408" s="175" t="s">
        <v>4424</v>
      </c>
      <c r="E408" s="175" t="s">
        <v>4443</v>
      </c>
      <c r="F408" s="176" t="s">
        <v>3166</v>
      </c>
      <c r="G408" s="679">
        <v>83.394000000000005</v>
      </c>
    </row>
    <row r="409" spans="1:7">
      <c r="A409" t="s">
        <v>4444</v>
      </c>
      <c r="B409" s="174" t="s">
        <v>4445</v>
      </c>
      <c r="C409" s="174" t="s">
        <v>4446</v>
      </c>
      <c r="D409" s="175" t="s">
        <v>4424</v>
      </c>
      <c r="E409" s="175" t="s">
        <v>4443</v>
      </c>
      <c r="F409" s="176" t="s">
        <v>3166</v>
      </c>
      <c r="G409" s="679">
        <v>391</v>
      </c>
    </row>
    <row r="410" spans="1:7">
      <c r="A410" t="s">
        <v>4447</v>
      </c>
      <c r="B410" s="174" t="s">
        <v>4448</v>
      </c>
      <c r="C410" s="174" t="s">
        <v>4449</v>
      </c>
      <c r="D410" s="175" t="s">
        <v>4424</v>
      </c>
      <c r="E410" s="175" t="s">
        <v>4443</v>
      </c>
      <c r="F410" s="176" t="s">
        <v>3166</v>
      </c>
      <c r="G410" s="679">
        <v>56</v>
      </c>
    </row>
    <row r="411" spans="1:7">
      <c r="A411" t="s">
        <v>4450</v>
      </c>
      <c r="B411" s="174" t="s">
        <v>4451</v>
      </c>
      <c r="C411" s="174" t="s">
        <v>4452</v>
      </c>
      <c r="D411" s="175" t="s">
        <v>4424</v>
      </c>
      <c r="E411" s="175" t="s">
        <v>4443</v>
      </c>
      <c r="F411" s="176" t="s">
        <v>3166</v>
      </c>
      <c r="G411" s="679">
        <v>2528.03505</v>
      </c>
    </row>
    <row r="412" spans="1:7">
      <c r="A412" t="s">
        <v>4453</v>
      </c>
      <c r="B412" s="174" t="s">
        <v>4454</v>
      </c>
      <c r="C412" s="174" t="s">
        <v>4455</v>
      </c>
      <c r="D412" s="175" t="s">
        <v>4456</v>
      </c>
      <c r="E412" s="175" t="s">
        <v>3296</v>
      </c>
      <c r="F412" s="176" t="s">
        <v>3166</v>
      </c>
      <c r="G412" s="679">
        <v>56</v>
      </c>
    </row>
    <row r="413" spans="1:7">
      <c r="A413" t="s">
        <v>4457</v>
      </c>
      <c r="B413" s="174" t="s">
        <v>4458</v>
      </c>
      <c r="C413" s="174" t="s">
        <v>4459</v>
      </c>
      <c r="D413" s="175" t="s">
        <v>4456</v>
      </c>
      <c r="E413" s="175" t="s">
        <v>3296</v>
      </c>
      <c r="F413" s="176" t="s">
        <v>3166</v>
      </c>
      <c r="G413" s="679">
        <v>6124.9835400000011</v>
      </c>
    </row>
    <row r="414" spans="1:7">
      <c r="A414" t="s">
        <v>4460</v>
      </c>
      <c r="B414" s="174" t="s">
        <v>4461</v>
      </c>
      <c r="C414" s="174" t="s">
        <v>4462</v>
      </c>
      <c r="D414" s="175" t="s">
        <v>4456</v>
      </c>
      <c r="E414" s="175" t="s">
        <v>3296</v>
      </c>
      <c r="F414" s="176" t="s">
        <v>3166</v>
      </c>
      <c r="G414" s="679">
        <v>1083.0239999999999</v>
      </c>
    </row>
    <row r="415" spans="1:7">
      <c r="A415" t="s">
        <v>4463</v>
      </c>
      <c r="B415" s="174" t="s">
        <v>4464</v>
      </c>
      <c r="C415" s="174" t="s">
        <v>4465</v>
      </c>
      <c r="D415" s="175" t="s">
        <v>4456</v>
      </c>
      <c r="E415" s="175" t="s">
        <v>3296</v>
      </c>
      <c r="F415" s="176" t="s">
        <v>3166</v>
      </c>
      <c r="G415" s="679">
        <v>860.89300000000003</v>
      </c>
    </row>
    <row r="416" spans="1:7">
      <c r="A416" t="s">
        <v>4466</v>
      </c>
      <c r="B416" s="174" t="s">
        <v>4467</v>
      </c>
      <c r="C416" s="174" t="s">
        <v>4468</v>
      </c>
      <c r="D416" s="175" t="s">
        <v>4456</v>
      </c>
      <c r="E416" s="175" t="s">
        <v>3296</v>
      </c>
      <c r="F416" s="176" t="s">
        <v>3166</v>
      </c>
      <c r="G416" s="679">
        <v>4392.9741999999997</v>
      </c>
    </row>
    <row r="417" spans="1:7">
      <c r="A417" t="s">
        <v>4469</v>
      </c>
      <c r="B417" s="174" t="s">
        <v>4470</v>
      </c>
      <c r="C417" s="174" t="s">
        <v>4471</v>
      </c>
      <c r="D417" s="175" t="s">
        <v>4456</v>
      </c>
      <c r="E417" s="175" t="s">
        <v>3296</v>
      </c>
      <c r="F417" s="176" t="s">
        <v>3166</v>
      </c>
      <c r="G417" s="679">
        <v>381.15000000000003</v>
      </c>
    </row>
    <row r="418" spans="1:7">
      <c r="A418" t="s">
        <v>4472</v>
      </c>
      <c r="B418" s="174" t="s">
        <v>4473</v>
      </c>
      <c r="C418" s="174" t="s">
        <v>4474</v>
      </c>
      <c r="D418" s="175" t="s">
        <v>4456</v>
      </c>
      <c r="E418" s="175" t="s">
        <v>3296</v>
      </c>
      <c r="F418" s="176" t="s">
        <v>3166</v>
      </c>
      <c r="G418" s="679">
        <v>317.28000000000003</v>
      </c>
    </row>
    <row r="419" spans="1:7">
      <c r="A419" t="s">
        <v>4475</v>
      </c>
      <c r="B419" s="180" t="s">
        <v>4476</v>
      </c>
      <c r="C419" s="180" t="s">
        <v>4477</v>
      </c>
      <c r="D419" s="181" t="s">
        <v>4456</v>
      </c>
      <c r="E419" s="181" t="s">
        <v>3296</v>
      </c>
      <c r="F419" s="182" t="s">
        <v>3166</v>
      </c>
      <c r="G419" s="681">
        <v>348.76099999999997</v>
      </c>
    </row>
    <row r="420" spans="1:7">
      <c r="A420" t="s">
        <v>4478</v>
      </c>
      <c r="B420" s="174" t="s">
        <v>4479</v>
      </c>
      <c r="C420" s="174" t="s">
        <v>4480</v>
      </c>
      <c r="D420" s="175" t="s">
        <v>4456</v>
      </c>
      <c r="E420" s="175" t="s">
        <v>3296</v>
      </c>
      <c r="F420" s="176" t="s">
        <v>3166</v>
      </c>
      <c r="G420" s="679">
        <v>234.63282000000001</v>
      </c>
    </row>
    <row r="421" spans="1:7">
      <c r="A421" t="s">
        <v>4481</v>
      </c>
      <c r="B421" s="174" t="s">
        <v>4482</v>
      </c>
      <c r="C421" s="174" t="s">
        <v>4483</v>
      </c>
      <c r="D421" s="175" t="s">
        <v>4456</v>
      </c>
      <c r="E421" s="175" t="s">
        <v>3296</v>
      </c>
      <c r="F421" s="176" t="s">
        <v>3166</v>
      </c>
      <c r="G421" s="679">
        <v>393.55259999999998</v>
      </c>
    </row>
    <row r="422" spans="1:7">
      <c r="A422" t="s">
        <v>4484</v>
      </c>
      <c r="B422" s="174" t="s">
        <v>4485</v>
      </c>
      <c r="C422" s="174" t="s">
        <v>4486</v>
      </c>
      <c r="D422" s="175" t="s">
        <v>4456</v>
      </c>
      <c r="E422" s="175" t="s">
        <v>3296</v>
      </c>
      <c r="F422" s="176" t="s">
        <v>3166</v>
      </c>
      <c r="G422" s="679">
        <v>6.2280000000000006</v>
      </c>
    </row>
    <row r="423" spans="1:7">
      <c r="A423" t="s">
        <v>4487</v>
      </c>
      <c r="B423" s="174" t="s">
        <v>4488</v>
      </c>
      <c r="C423" s="174" t="s">
        <v>4489</v>
      </c>
      <c r="D423" s="175" t="s">
        <v>4456</v>
      </c>
      <c r="E423" s="175" t="s">
        <v>3296</v>
      </c>
      <c r="F423" s="176" t="s">
        <v>3166</v>
      </c>
      <c r="G423" s="679">
        <v>262.56569999999999</v>
      </c>
    </row>
    <row r="424" spans="1:7">
      <c r="A424" t="s">
        <v>4490</v>
      </c>
      <c r="B424" s="174" t="s">
        <v>4491</v>
      </c>
      <c r="C424" s="174" t="s">
        <v>4492</v>
      </c>
      <c r="D424" s="175" t="s">
        <v>4456</v>
      </c>
      <c r="E424" s="175" t="s">
        <v>3296</v>
      </c>
      <c r="F424" s="176" t="s">
        <v>3166</v>
      </c>
      <c r="G424" s="679">
        <v>2.4300999999999999</v>
      </c>
    </row>
    <row r="425" spans="1:7">
      <c r="A425" t="s">
        <v>4493</v>
      </c>
      <c r="B425" s="177" t="s">
        <v>4494</v>
      </c>
      <c r="C425" s="177" t="s">
        <v>4495</v>
      </c>
      <c r="D425" s="178" t="s">
        <v>4456</v>
      </c>
      <c r="E425" s="178" t="s">
        <v>3296</v>
      </c>
      <c r="F425" s="179" t="s">
        <v>3166</v>
      </c>
      <c r="G425" s="680">
        <v>0</v>
      </c>
    </row>
    <row r="429" spans="1:7" ht="25.5" thickBot="1">
      <c r="A429" s="755" t="s">
        <v>4496</v>
      </c>
      <c r="B429" s="756"/>
      <c r="C429" s="756"/>
      <c r="D429" s="756"/>
      <c r="E429" s="756"/>
      <c r="F429" s="756"/>
      <c r="G429" s="756"/>
    </row>
    <row r="430" spans="1:7" ht="27.95">
      <c r="A430" s="169" t="s">
        <v>228</v>
      </c>
      <c r="B430" s="170" t="s">
        <v>3156</v>
      </c>
      <c r="C430" s="170" t="s">
        <v>15</v>
      </c>
      <c r="D430" s="170" t="s">
        <v>3157</v>
      </c>
      <c r="E430" s="170" t="s">
        <v>3158</v>
      </c>
      <c r="F430" s="170" t="s">
        <v>3159</v>
      </c>
      <c r="G430" s="677" t="s">
        <v>3160</v>
      </c>
    </row>
    <row r="431" spans="1:7">
      <c r="A431" t="s">
        <v>4497</v>
      </c>
      <c r="B431" s="180" t="s">
        <v>4498</v>
      </c>
      <c r="C431" s="180" t="s">
        <v>4499</v>
      </c>
      <c r="D431" s="181" t="s">
        <v>4500</v>
      </c>
      <c r="E431" s="181" t="s">
        <v>4501</v>
      </c>
      <c r="F431" s="182" t="s">
        <v>4502</v>
      </c>
      <c r="G431" s="682">
        <v>4.5200000000000004E-2</v>
      </c>
    </row>
    <row r="432" spans="1:7">
      <c r="A432" t="s">
        <v>4503</v>
      </c>
      <c r="B432" s="174" t="s">
        <v>4504</v>
      </c>
      <c r="C432" s="174" t="s">
        <v>4505</v>
      </c>
      <c r="D432" s="175" t="s">
        <v>4500</v>
      </c>
      <c r="E432" s="175" t="s">
        <v>4501</v>
      </c>
      <c r="F432" s="176" t="s">
        <v>4502</v>
      </c>
      <c r="G432" s="683">
        <v>2.19753</v>
      </c>
    </row>
    <row r="433" spans="1:7">
      <c r="A433" t="s">
        <v>4506</v>
      </c>
      <c r="B433" s="174" t="s">
        <v>4507</v>
      </c>
      <c r="C433" s="174" t="s">
        <v>4508</v>
      </c>
      <c r="D433" s="175" t="s">
        <v>4500</v>
      </c>
      <c r="E433" s="175" t="s">
        <v>4501</v>
      </c>
      <c r="F433" s="176" t="s">
        <v>4502</v>
      </c>
      <c r="G433" s="683">
        <v>0.77256000000000002</v>
      </c>
    </row>
    <row r="434" spans="1:7">
      <c r="A434" t="s">
        <v>4509</v>
      </c>
      <c r="B434" s="174" t="s">
        <v>4510</v>
      </c>
      <c r="C434" s="174" t="s">
        <v>4511</v>
      </c>
      <c r="D434" s="175" t="s">
        <v>4500</v>
      </c>
      <c r="E434" s="175" t="s">
        <v>4501</v>
      </c>
      <c r="F434" s="176" t="s">
        <v>4502</v>
      </c>
      <c r="G434" s="683">
        <v>2.609</v>
      </c>
    </row>
    <row r="435" spans="1:7">
      <c r="A435" t="s">
        <v>4512</v>
      </c>
      <c r="B435" s="174" t="s">
        <v>4513</v>
      </c>
      <c r="C435" s="174" t="s">
        <v>4514</v>
      </c>
      <c r="D435" s="175" t="s">
        <v>4500</v>
      </c>
      <c r="E435" s="175" t="s">
        <v>4501</v>
      </c>
      <c r="F435" s="176" t="s">
        <v>4502</v>
      </c>
      <c r="G435" s="683">
        <v>4.8773999999999997</v>
      </c>
    </row>
    <row r="436" spans="1:7">
      <c r="A436" t="s">
        <v>4515</v>
      </c>
      <c r="B436" s="174" t="s">
        <v>4516</v>
      </c>
      <c r="C436" s="174" t="s">
        <v>4517</v>
      </c>
      <c r="D436" s="175" t="s">
        <v>4500</v>
      </c>
      <c r="E436" s="175" t="s">
        <v>4501</v>
      </c>
      <c r="F436" s="176" t="s">
        <v>4502</v>
      </c>
      <c r="G436" s="683">
        <v>3.62026</v>
      </c>
    </row>
    <row r="437" spans="1:7">
      <c r="A437" t="s">
        <v>4518</v>
      </c>
      <c r="B437" s="174" t="s">
        <v>4519</v>
      </c>
      <c r="C437" s="174" t="s">
        <v>4520</v>
      </c>
      <c r="D437" s="175" t="s">
        <v>4500</v>
      </c>
      <c r="E437" s="175" t="s">
        <v>4501</v>
      </c>
      <c r="F437" s="176" t="s">
        <v>4502</v>
      </c>
      <c r="G437" s="683">
        <v>2.56752</v>
      </c>
    </row>
    <row r="438" spans="1:7">
      <c r="A438" t="s">
        <v>4521</v>
      </c>
      <c r="B438" s="174" t="s">
        <v>4522</v>
      </c>
      <c r="C438" s="174" t="s">
        <v>4523</v>
      </c>
      <c r="D438" s="175" t="s">
        <v>4500</v>
      </c>
      <c r="E438" s="175" t="s">
        <v>4501</v>
      </c>
      <c r="F438" s="176" t="s">
        <v>4502</v>
      </c>
      <c r="G438" s="683">
        <v>2.7355499999999999</v>
      </c>
    </row>
    <row r="439" spans="1:7">
      <c r="A439" t="s">
        <v>4524</v>
      </c>
      <c r="B439" s="174" t="s">
        <v>4525</v>
      </c>
      <c r="C439" s="174" t="s">
        <v>4526</v>
      </c>
      <c r="D439" s="175" t="s">
        <v>4500</v>
      </c>
      <c r="E439" s="175" t="s">
        <v>4501</v>
      </c>
      <c r="F439" s="176" t="s">
        <v>4502</v>
      </c>
      <c r="G439" s="683">
        <v>5.7857500000000002</v>
      </c>
    </row>
    <row r="440" spans="1:7">
      <c r="A440" t="s">
        <v>4527</v>
      </c>
      <c r="B440" s="174" t="s">
        <v>4528</v>
      </c>
      <c r="C440" s="174" t="s">
        <v>4529</v>
      </c>
      <c r="D440" s="175" t="s">
        <v>4500</v>
      </c>
      <c r="E440" s="175" t="s">
        <v>4501</v>
      </c>
      <c r="F440" s="176" t="s">
        <v>4502</v>
      </c>
      <c r="G440" s="683">
        <v>4.7333000000000007</v>
      </c>
    </row>
    <row r="441" spans="1:7">
      <c r="A441" t="s">
        <v>4530</v>
      </c>
      <c r="B441" s="174" t="s">
        <v>4531</v>
      </c>
      <c r="C441" s="174" t="s">
        <v>4532</v>
      </c>
      <c r="D441" s="175" t="s">
        <v>4500</v>
      </c>
      <c r="E441" s="175" t="s">
        <v>4501</v>
      </c>
      <c r="F441" s="176" t="s">
        <v>4502</v>
      </c>
      <c r="G441" s="683">
        <v>7.1886599999999996</v>
      </c>
    </row>
    <row r="442" spans="1:7">
      <c r="A442" t="s">
        <v>4533</v>
      </c>
      <c r="B442" s="174" t="s">
        <v>4534</v>
      </c>
      <c r="C442" s="174" t="s">
        <v>4535</v>
      </c>
      <c r="D442" s="175" t="s">
        <v>4536</v>
      </c>
      <c r="E442" s="175" t="s">
        <v>4537</v>
      </c>
      <c r="F442" s="176" t="s">
        <v>4502</v>
      </c>
      <c r="G442" s="683">
        <v>0.16327999999999998</v>
      </c>
    </row>
    <row r="443" spans="1:7">
      <c r="A443" t="s">
        <v>4538</v>
      </c>
      <c r="B443" s="174" t="s">
        <v>4539</v>
      </c>
      <c r="C443" s="174" t="s">
        <v>4540</v>
      </c>
      <c r="D443" s="175" t="s">
        <v>4536</v>
      </c>
      <c r="E443" s="175" t="s">
        <v>4537</v>
      </c>
      <c r="F443" s="176" t="s">
        <v>4502</v>
      </c>
      <c r="G443" s="683">
        <v>0.17723999999999998</v>
      </c>
    </row>
    <row r="444" spans="1:7">
      <c r="A444" t="s">
        <v>4541</v>
      </c>
      <c r="B444" s="174" t="s">
        <v>4542</v>
      </c>
      <c r="C444" s="174" t="s">
        <v>4543</v>
      </c>
      <c r="D444" s="175" t="s">
        <v>4536</v>
      </c>
      <c r="E444" s="175" t="s">
        <v>4537</v>
      </c>
      <c r="F444" s="176" t="s">
        <v>4502</v>
      </c>
      <c r="G444" s="683">
        <v>0.30712499999999998</v>
      </c>
    </row>
    <row r="445" spans="1:7">
      <c r="A445" t="s">
        <v>4544</v>
      </c>
      <c r="B445" s="174" t="s">
        <v>4545</v>
      </c>
      <c r="C445" s="174" t="s">
        <v>4546</v>
      </c>
      <c r="D445" s="175" t="s">
        <v>4536</v>
      </c>
      <c r="E445" s="175" t="s">
        <v>4537</v>
      </c>
      <c r="F445" s="176" t="s">
        <v>4502</v>
      </c>
      <c r="G445" s="683">
        <v>0.2016</v>
      </c>
    </row>
    <row r="446" spans="1:7">
      <c r="A446" t="s">
        <v>4547</v>
      </c>
      <c r="B446" s="174" t="s">
        <v>4548</v>
      </c>
      <c r="C446" s="174" t="s">
        <v>4549</v>
      </c>
      <c r="D446" s="175" t="s">
        <v>4536</v>
      </c>
      <c r="E446" s="175" t="s">
        <v>4537</v>
      </c>
      <c r="F446" s="176" t="s">
        <v>4502</v>
      </c>
      <c r="G446" s="683">
        <v>12.067874999999999</v>
      </c>
    </row>
    <row r="447" spans="1:7">
      <c r="A447" t="s">
        <v>4550</v>
      </c>
      <c r="B447" s="174" t="s">
        <v>4551</v>
      </c>
      <c r="C447" s="174" t="s">
        <v>4552</v>
      </c>
      <c r="D447" s="175" t="s">
        <v>4536</v>
      </c>
      <c r="E447" s="175" t="s">
        <v>4537</v>
      </c>
      <c r="F447" s="176" t="s">
        <v>4502</v>
      </c>
      <c r="G447" s="683">
        <v>21.151350000000001</v>
      </c>
    </row>
    <row r="448" spans="1:7">
      <c r="A448" t="s">
        <v>4553</v>
      </c>
      <c r="B448" s="174" t="s">
        <v>4554</v>
      </c>
      <c r="C448" s="174" t="s">
        <v>4555</v>
      </c>
      <c r="D448" s="175" t="s">
        <v>4536</v>
      </c>
      <c r="E448" s="175" t="s">
        <v>4537</v>
      </c>
      <c r="F448" s="176" t="s">
        <v>4502</v>
      </c>
      <c r="G448" s="683">
        <v>24.7912</v>
      </c>
    </row>
    <row r="449" spans="1:7">
      <c r="A449" t="s">
        <v>4556</v>
      </c>
      <c r="B449" s="174" t="s">
        <v>4557</v>
      </c>
      <c r="C449" s="174" t="s">
        <v>4558</v>
      </c>
      <c r="D449" s="175" t="s">
        <v>4536</v>
      </c>
      <c r="E449" s="175" t="s">
        <v>4537</v>
      </c>
      <c r="F449" s="176" t="s">
        <v>4502</v>
      </c>
      <c r="G449" s="683">
        <v>5.7683</v>
      </c>
    </row>
    <row r="450" spans="1:7">
      <c r="A450" t="s">
        <v>4559</v>
      </c>
      <c r="B450" s="174" t="s">
        <v>4560</v>
      </c>
      <c r="C450" s="174" t="s">
        <v>4561</v>
      </c>
      <c r="D450" s="175" t="s">
        <v>4536</v>
      </c>
      <c r="E450" s="175" t="s">
        <v>4537</v>
      </c>
      <c r="F450" s="176" t="s">
        <v>4502</v>
      </c>
      <c r="G450" s="683">
        <v>3.3540150000000004</v>
      </c>
    </row>
    <row r="451" spans="1:7">
      <c r="A451" t="s">
        <v>4562</v>
      </c>
      <c r="B451" s="174" t="s">
        <v>4563</v>
      </c>
      <c r="C451" s="174" t="s">
        <v>4564</v>
      </c>
      <c r="D451" s="175" t="s">
        <v>4536</v>
      </c>
      <c r="E451" s="175" t="s">
        <v>4565</v>
      </c>
      <c r="F451" s="176" t="s">
        <v>4502</v>
      </c>
      <c r="G451" s="683">
        <v>6.7112100000000003</v>
      </c>
    </row>
    <row r="452" spans="1:7">
      <c r="A452" t="s">
        <v>4566</v>
      </c>
      <c r="B452" s="174" t="s">
        <v>4567</v>
      </c>
      <c r="C452" s="174" t="s">
        <v>4568</v>
      </c>
      <c r="D452" s="175" t="s">
        <v>4536</v>
      </c>
      <c r="E452" s="175" t="s">
        <v>4565</v>
      </c>
      <c r="F452" s="176" t="s">
        <v>4502</v>
      </c>
      <c r="G452" s="683">
        <v>8.1575249999999997</v>
      </c>
    </row>
    <row r="453" spans="1:7">
      <c r="A453" t="s">
        <v>4569</v>
      </c>
      <c r="B453" s="174" t="s">
        <v>4570</v>
      </c>
      <c r="C453" s="174" t="s">
        <v>4571</v>
      </c>
      <c r="D453" s="175" t="s">
        <v>4536</v>
      </c>
      <c r="E453" s="175" t="s">
        <v>4565</v>
      </c>
      <c r="F453" s="176" t="s">
        <v>4502</v>
      </c>
      <c r="G453" s="683">
        <v>12.995039999999999</v>
      </c>
    </row>
    <row r="454" spans="1:7">
      <c r="A454" t="s">
        <v>4572</v>
      </c>
      <c r="B454" s="174" t="s">
        <v>4573</v>
      </c>
      <c r="C454" s="174" t="s">
        <v>4574</v>
      </c>
      <c r="D454" s="175" t="s">
        <v>4536</v>
      </c>
      <c r="E454" s="175" t="s">
        <v>4565</v>
      </c>
      <c r="F454" s="176" t="s">
        <v>4502</v>
      </c>
      <c r="G454" s="683">
        <v>3.2208750000000004</v>
      </c>
    </row>
    <row r="455" spans="1:7">
      <c r="A455" t="s">
        <v>4575</v>
      </c>
      <c r="B455" s="174" t="s">
        <v>4576</v>
      </c>
      <c r="C455" s="174" t="s">
        <v>4577</v>
      </c>
      <c r="D455" s="175" t="s">
        <v>4536</v>
      </c>
      <c r="E455" s="175" t="s">
        <v>4565</v>
      </c>
      <c r="F455" s="176" t="s">
        <v>4502</v>
      </c>
      <c r="G455" s="683">
        <v>4.4289699999999996</v>
      </c>
    </row>
    <row r="456" spans="1:7">
      <c r="A456" t="s">
        <v>4578</v>
      </c>
      <c r="B456" s="174" t="s">
        <v>4579</v>
      </c>
      <c r="C456" s="174" t="s">
        <v>4580</v>
      </c>
      <c r="D456" s="175" t="s">
        <v>4536</v>
      </c>
      <c r="E456" s="175" t="s">
        <v>4565</v>
      </c>
      <c r="F456" s="176" t="s">
        <v>4502</v>
      </c>
      <c r="G456" s="683">
        <v>6.1354800000000012</v>
      </c>
    </row>
    <row r="457" spans="1:7">
      <c r="A457" t="s">
        <v>4581</v>
      </c>
      <c r="B457" s="174" t="s">
        <v>4582</v>
      </c>
      <c r="C457" s="174" t="s">
        <v>4583</v>
      </c>
      <c r="D457" s="175" t="s">
        <v>4536</v>
      </c>
      <c r="E457" s="175" t="s">
        <v>4565</v>
      </c>
      <c r="F457" s="176" t="s">
        <v>4502</v>
      </c>
      <c r="G457" s="683">
        <v>10.871419999999999</v>
      </c>
    </row>
    <row r="458" spans="1:7">
      <c r="A458" t="s">
        <v>4584</v>
      </c>
      <c r="B458" s="174" t="s">
        <v>4585</v>
      </c>
      <c r="C458" s="174" t="s">
        <v>4586</v>
      </c>
      <c r="D458" s="175" t="s">
        <v>4536</v>
      </c>
      <c r="E458" s="175" t="s">
        <v>4565</v>
      </c>
      <c r="F458" s="176" t="s">
        <v>4502</v>
      </c>
      <c r="G458" s="683">
        <v>4.4152499999999995</v>
      </c>
    </row>
    <row r="459" spans="1:7">
      <c r="A459" t="s">
        <v>4587</v>
      </c>
      <c r="B459" s="174" t="s">
        <v>4588</v>
      </c>
      <c r="C459" s="174" t="s">
        <v>4589</v>
      </c>
      <c r="D459" s="175" t="s">
        <v>4536</v>
      </c>
      <c r="E459" s="175" t="s">
        <v>4565</v>
      </c>
      <c r="F459" s="176" t="s">
        <v>4502</v>
      </c>
      <c r="G459" s="683">
        <v>4.6584000000000003</v>
      </c>
    </row>
    <row r="460" spans="1:7">
      <c r="A460" t="s">
        <v>4590</v>
      </c>
      <c r="B460" s="174" t="s">
        <v>4591</v>
      </c>
      <c r="C460" s="174" t="s">
        <v>4592</v>
      </c>
      <c r="D460" s="175" t="s">
        <v>4536</v>
      </c>
      <c r="E460" s="175" t="s">
        <v>4565</v>
      </c>
      <c r="F460" s="176" t="s">
        <v>4502</v>
      </c>
      <c r="G460" s="683">
        <v>7.4510050000000003</v>
      </c>
    </row>
    <row r="461" spans="1:7">
      <c r="A461" t="s">
        <v>4593</v>
      </c>
      <c r="B461" s="174" t="s">
        <v>4594</v>
      </c>
      <c r="C461" s="174" t="s">
        <v>4595</v>
      </c>
      <c r="D461" s="175" t="s">
        <v>4536</v>
      </c>
      <c r="E461" s="175" t="s">
        <v>4565</v>
      </c>
      <c r="F461" s="176" t="s">
        <v>4502</v>
      </c>
      <c r="G461" s="683">
        <v>3.3993600000000002</v>
      </c>
    </row>
    <row r="462" spans="1:7">
      <c r="A462" t="s">
        <v>4596</v>
      </c>
      <c r="B462" s="174" t="s">
        <v>4597</v>
      </c>
      <c r="C462" s="174" t="s">
        <v>4598</v>
      </c>
      <c r="D462" s="175" t="s">
        <v>4536</v>
      </c>
      <c r="E462" s="175" t="s">
        <v>4565</v>
      </c>
      <c r="F462" s="176" t="s">
        <v>4502</v>
      </c>
      <c r="G462" s="683">
        <v>5.9960999999999993</v>
      </c>
    </row>
    <row r="463" spans="1:7">
      <c r="A463" t="s">
        <v>4599</v>
      </c>
      <c r="B463" s="180" t="s">
        <v>4600</v>
      </c>
      <c r="C463" s="180" t="s">
        <v>4601</v>
      </c>
      <c r="D463" s="181" t="s">
        <v>4536</v>
      </c>
      <c r="E463" s="181" t="s">
        <v>4565</v>
      </c>
      <c r="F463" s="182" t="s">
        <v>4502</v>
      </c>
      <c r="G463" s="682">
        <v>10.72683</v>
      </c>
    </row>
    <row r="464" spans="1:7">
      <c r="A464" t="s">
        <v>4602</v>
      </c>
      <c r="B464" s="174" t="s">
        <v>4603</v>
      </c>
      <c r="C464" s="174" t="s">
        <v>4604</v>
      </c>
      <c r="D464" s="175" t="s">
        <v>4536</v>
      </c>
      <c r="E464" s="175" t="s">
        <v>4565</v>
      </c>
      <c r="F464" s="176" t="s">
        <v>4502</v>
      </c>
      <c r="G464" s="683">
        <v>12.766249999999999</v>
      </c>
    </row>
    <row r="465" spans="1:7">
      <c r="A465" t="s">
        <v>4605</v>
      </c>
      <c r="B465" s="174" t="s">
        <v>4606</v>
      </c>
      <c r="C465" s="174" t="s">
        <v>4607</v>
      </c>
      <c r="D465" s="175" t="s">
        <v>4536</v>
      </c>
      <c r="E465" s="175" t="s">
        <v>4565</v>
      </c>
      <c r="F465" s="176" t="s">
        <v>4502</v>
      </c>
      <c r="G465" s="683">
        <v>3.8347199999999999</v>
      </c>
    </row>
    <row r="466" spans="1:7">
      <c r="A466" t="s">
        <v>4608</v>
      </c>
      <c r="B466" s="174" t="s">
        <v>4609</v>
      </c>
      <c r="C466" s="174" t="s">
        <v>4610</v>
      </c>
      <c r="D466" s="175" t="s">
        <v>4536</v>
      </c>
      <c r="E466" s="175" t="s">
        <v>4565</v>
      </c>
      <c r="F466" s="176" t="s">
        <v>4502</v>
      </c>
      <c r="G466" s="683">
        <v>14.442025000000001</v>
      </c>
    </row>
    <row r="467" spans="1:7">
      <c r="A467" t="s">
        <v>4611</v>
      </c>
      <c r="B467" s="174" t="s">
        <v>4612</v>
      </c>
      <c r="C467" s="174" t="s">
        <v>4613</v>
      </c>
      <c r="D467" s="175" t="s">
        <v>4536</v>
      </c>
      <c r="E467" s="175" t="s">
        <v>4565</v>
      </c>
      <c r="F467" s="176" t="s">
        <v>4502</v>
      </c>
      <c r="G467" s="683">
        <v>20.136009999999999</v>
      </c>
    </row>
    <row r="468" spans="1:7">
      <c r="A468" t="s">
        <v>4614</v>
      </c>
      <c r="B468" s="174" t="s">
        <v>4615</v>
      </c>
      <c r="C468" s="174" t="s">
        <v>4616</v>
      </c>
      <c r="D468" s="175" t="s">
        <v>4536</v>
      </c>
      <c r="E468" s="175" t="s">
        <v>4565</v>
      </c>
      <c r="F468" s="176" t="s">
        <v>4502</v>
      </c>
      <c r="G468" s="683">
        <v>4.6739550000000003</v>
      </c>
    </row>
    <row r="469" spans="1:7">
      <c r="A469" t="s">
        <v>4617</v>
      </c>
      <c r="B469" s="174" t="s">
        <v>4618</v>
      </c>
      <c r="C469" s="174" t="s">
        <v>4619</v>
      </c>
      <c r="D469" s="175" t="s">
        <v>4536</v>
      </c>
      <c r="E469" s="175" t="s">
        <v>4565</v>
      </c>
      <c r="F469" s="176" t="s">
        <v>4502</v>
      </c>
      <c r="G469" s="683">
        <v>5.8604000000000003</v>
      </c>
    </row>
    <row r="470" spans="1:7">
      <c r="A470" t="s">
        <v>4620</v>
      </c>
      <c r="B470" s="174" t="s">
        <v>4621</v>
      </c>
      <c r="C470" s="174" t="s">
        <v>4622</v>
      </c>
      <c r="D470" s="175" t="s">
        <v>4536</v>
      </c>
      <c r="E470" s="175" t="s">
        <v>4565</v>
      </c>
      <c r="F470" s="176" t="s">
        <v>4502</v>
      </c>
      <c r="G470" s="683">
        <v>9.7440599999999993</v>
      </c>
    </row>
    <row r="471" spans="1:7">
      <c r="A471" t="s">
        <v>4623</v>
      </c>
      <c r="B471" s="174" t="s">
        <v>4624</v>
      </c>
      <c r="C471" s="174" t="s">
        <v>4625</v>
      </c>
      <c r="D471" s="175" t="s">
        <v>4536</v>
      </c>
      <c r="E471" s="175" t="s">
        <v>4565</v>
      </c>
      <c r="F471" s="176" t="s">
        <v>4502</v>
      </c>
      <c r="G471" s="683">
        <v>16.981020000000001</v>
      </c>
    </row>
    <row r="472" spans="1:7">
      <c r="A472" t="s">
        <v>4626</v>
      </c>
      <c r="B472" s="174" t="s">
        <v>4627</v>
      </c>
      <c r="C472" s="174" t="s">
        <v>4628</v>
      </c>
      <c r="D472" s="175" t="s">
        <v>4536</v>
      </c>
      <c r="E472" s="175" t="s">
        <v>4565</v>
      </c>
      <c r="F472" s="176" t="s">
        <v>4502</v>
      </c>
      <c r="G472" s="683">
        <v>4.0699499999999995</v>
      </c>
    </row>
    <row r="473" spans="1:7">
      <c r="A473" t="s">
        <v>4629</v>
      </c>
      <c r="B473" s="174" t="s">
        <v>4630</v>
      </c>
      <c r="C473" s="174" t="s">
        <v>4631</v>
      </c>
      <c r="D473" s="175" t="s">
        <v>4536</v>
      </c>
      <c r="E473" s="175" t="s">
        <v>4565</v>
      </c>
      <c r="F473" s="176" t="s">
        <v>4502</v>
      </c>
      <c r="G473" s="683">
        <v>6.6528000000000009</v>
      </c>
    </row>
    <row r="474" spans="1:7">
      <c r="A474" t="s">
        <v>4632</v>
      </c>
      <c r="B474" s="174" t="s">
        <v>4633</v>
      </c>
      <c r="C474" s="174" t="s">
        <v>4634</v>
      </c>
      <c r="D474" s="175" t="s">
        <v>4536</v>
      </c>
      <c r="E474" s="175" t="s">
        <v>4565</v>
      </c>
      <c r="F474" s="176" t="s">
        <v>4502</v>
      </c>
      <c r="G474" s="683">
        <v>9.8014500000000009</v>
      </c>
    </row>
    <row r="475" spans="1:7">
      <c r="A475" t="s">
        <v>4635</v>
      </c>
      <c r="B475" s="174" t="s">
        <v>4636</v>
      </c>
      <c r="C475" s="174" t="s">
        <v>4637</v>
      </c>
      <c r="D475" s="175" t="s">
        <v>4536</v>
      </c>
      <c r="E475" s="175" t="s">
        <v>4565</v>
      </c>
      <c r="F475" s="176" t="s">
        <v>4502</v>
      </c>
      <c r="G475" s="683">
        <v>14.024479999999999</v>
      </c>
    </row>
    <row r="476" spans="1:7">
      <c r="A476" t="s">
        <v>4638</v>
      </c>
      <c r="B476" s="174" t="s">
        <v>4639</v>
      </c>
      <c r="C476" s="174" t="s">
        <v>4640</v>
      </c>
      <c r="D476" s="175" t="s">
        <v>4536</v>
      </c>
      <c r="E476" s="175" t="s">
        <v>4565</v>
      </c>
      <c r="F476" s="176" t="s">
        <v>4502</v>
      </c>
      <c r="G476" s="683">
        <v>24.048725000000001</v>
      </c>
    </row>
    <row r="477" spans="1:7">
      <c r="A477" t="s">
        <v>4641</v>
      </c>
      <c r="B477" s="174" t="s">
        <v>4642</v>
      </c>
      <c r="C477" s="174" t="s">
        <v>4643</v>
      </c>
      <c r="D477" s="175" t="s">
        <v>4536</v>
      </c>
      <c r="E477" s="175" t="s">
        <v>4565</v>
      </c>
      <c r="F477" s="176" t="s">
        <v>4502</v>
      </c>
      <c r="G477" s="683">
        <v>3.3136800000000002</v>
      </c>
    </row>
    <row r="478" spans="1:7">
      <c r="A478" t="s">
        <v>4644</v>
      </c>
      <c r="B478" s="174" t="s">
        <v>4645</v>
      </c>
      <c r="C478" s="174" t="s">
        <v>4646</v>
      </c>
      <c r="D478" s="175" t="s">
        <v>4536</v>
      </c>
      <c r="E478" s="175" t="s">
        <v>4565</v>
      </c>
      <c r="F478" s="176" t="s">
        <v>4502</v>
      </c>
      <c r="G478" s="683">
        <v>4.6373600000000001</v>
      </c>
    </row>
    <row r="479" spans="1:7">
      <c r="A479" t="s">
        <v>4647</v>
      </c>
      <c r="B479" s="174" t="s">
        <v>4648</v>
      </c>
      <c r="C479" s="174" t="s">
        <v>4649</v>
      </c>
      <c r="D479" s="175" t="s">
        <v>4536</v>
      </c>
      <c r="E479" s="175" t="s">
        <v>4565</v>
      </c>
      <c r="F479" s="176" t="s">
        <v>4502</v>
      </c>
      <c r="G479" s="683">
        <v>7.5727500000000001</v>
      </c>
    </row>
    <row r="480" spans="1:7">
      <c r="A480" t="s">
        <v>4650</v>
      </c>
      <c r="B480" s="174" t="s">
        <v>4651</v>
      </c>
      <c r="C480" s="174" t="s">
        <v>4652</v>
      </c>
      <c r="D480" s="175" t="s">
        <v>4536</v>
      </c>
      <c r="E480" s="175" t="s">
        <v>4565</v>
      </c>
      <c r="F480" s="176" t="s">
        <v>4502</v>
      </c>
      <c r="G480" s="683">
        <v>10.360905000000001</v>
      </c>
    </row>
    <row r="481" spans="1:7">
      <c r="A481" t="s">
        <v>4653</v>
      </c>
      <c r="B481" s="174" t="s">
        <v>4654</v>
      </c>
      <c r="C481" s="174" t="s">
        <v>4655</v>
      </c>
      <c r="D481" s="175" t="s">
        <v>4536</v>
      </c>
      <c r="E481" s="175" t="s">
        <v>4565</v>
      </c>
      <c r="F481" s="176" t="s">
        <v>4502</v>
      </c>
      <c r="G481" s="683">
        <v>16.969940000000001</v>
      </c>
    </row>
    <row r="482" spans="1:7">
      <c r="A482" t="s">
        <v>4656</v>
      </c>
      <c r="B482" s="174" t="s">
        <v>4657</v>
      </c>
      <c r="C482" s="174" t="s">
        <v>4658</v>
      </c>
      <c r="D482" s="175" t="s">
        <v>4536</v>
      </c>
      <c r="E482" s="175" t="s">
        <v>4565</v>
      </c>
      <c r="F482" s="176" t="s">
        <v>4502</v>
      </c>
      <c r="G482" s="683">
        <v>32.912205</v>
      </c>
    </row>
    <row r="483" spans="1:7">
      <c r="A483" t="s">
        <v>4659</v>
      </c>
      <c r="B483" s="174" t="s">
        <v>4660</v>
      </c>
      <c r="C483" s="174" t="s">
        <v>4661</v>
      </c>
      <c r="D483" s="175" t="s">
        <v>4536</v>
      </c>
      <c r="E483" s="175" t="s">
        <v>4565</v>
      </c>
      <c r="F483" s="176" t="s">
        <v>4502</v>
      </c>
      <c r="G483" s="683">
        <v>2.70513</v>
      </c>
    </row>
    <row r="484" spans="1:7">
      <c r="A484" t="s">
        <v>4662</v>
      </c>
      <c r="B484" s="174" t="s">
        <v>4663</v>
      </c>
      <c r="C484" s="174" t="s">
        <v>4664</v>
      </c>
      <c r="D484" s="175" t="s">
        <v>4536</v>
      </c>
      <c r="E484" s="175" t="s">
        <v>4565</v>
      </c>
      <c r="F484" s="176" t="s">
        <v>4502</v>
      </c>
      <c r="G484" s="683">
        <v>3.7435749999999999</v>
      </c>
    </row>
    <row r="485" spans="1:7">
      <c r="A485" t="s">
        <v>4665</v>
      </c>
      <c r="B485" s="174" t="s">
        <v>4666</v>
      </c>
      <c r="C485" s="174" t="s">
        <v>4667</v>
      </c>
      <c r="D485" s="175" t="s">
        <v>4536</v>
      </c>
      <c r="E485" s="175" t="s">
        <v>4565</v>
      </c>
      <c r="F485" s="176" t="s">
        <v>4502</v>
      </c>
      <c r="G485" s="683">
        <v>4.0283600000000002</v>
      </c>
    </row>
    <row r="486" spans="1:7">
      <c r="A486" t="s">
        <v>4668</v>
      </c>
      <c r="B486" s="174" t="s">
        <v>4669</v>
      </c>
      <c r="C486" s="174" t="s">
        <v>4670</v>
      </c>
      <c r="D486" s="175" t="s">
        <v>4536</v>
      </c>
      <c r="E486" s="175" t="s">
        <v>4565</v>
      </c>
      <c r="F486" s="176" t="s">
        <v>4502</v>
      </c>
      <c r="G486" s="683">
        <v>5.5800150000000004</v>
      </c>
    </row>
    <row r="487" spans="1:7">
      <c r="A487" t="s">
        <v>4671</v>
      </c>
      <c r="B487" s="174" t="s">
        <v>4672</v>
      </c>
      <c r="C487" s="174" t="s">
        <v>4673</v>
      </c>
      <c r="D487" s="175" t="s">
        <v>4536</v>
      </c>
      <c r="E487" s="175" t="s">
        <v>4565</v>
      </c>
      <c r="F487" s="176" t="s">
        <v>4502</v>
      </c>
      <c r="G487" s="683">
        <v>7.9027899999999995</v>
      </c>
    </row>
    <row r="488" spans="1:7">
      <c r="A488" t="s">
        <v>4674</v>
      </c>
      <c r="B488" s="174" t="s">
        <v>4675</v>
      </c>
      <c r="C488" s="174" t="s">
        <v>4676</v>
      </c>
      <c r="D488" s="175" t="s">
        <v>4536</v>
      </c>
      <c r="E488" s="175" t="s">
        <v>4565</v>
      </c>
      <c r="F488" s="176" t="s">
        <v>4502</v>
      </c>
      <c r="G488" s="683">
        <v>11.908855000000001</v>
      </c>
    </row>
    <row r="489" spans="1:7">
      <c r="A489" t="s">
        <v>4677</v>
      </c>
      <c r="B489" s="174" t="s">
        <v>4678</v>
      </c>
      <c r="C489" s="174" t="s">
        <v>4679</v>
      </c>
      <c r="D489" s="175" t="s">
        <v>4536</v>
      </c>
      <c r="E489" s="175" t="s">
        <v>4565</v>
      </c>
      <c r="F489" s="176" t="s">
        <v>4502</v>
      </c>
      <c r="G489" s="683">
        <v>18.502199999999998</v>
      </c>
    </row>
    <row r="490" spans="1:7">
      <c r="A490" t="s">
        <v>4680</v>
      </c>
      <c r="B490" s="174" t="s">
        <v>4681</v>
      </c>
      <c r="C490" s="174" t="s">
        <v>4682</v>
      </c>
      <c r="D490" s="175" t="s">
        <v>4536</v>
      </c>
      <c r="E490" s="175" t="s">
        <v>4537</v>
      </c>
      <c r="F490" s="176" t="s">
        <v>4502</v>
      </c>
      <c r="G490" s="683">
        <v>8.1883349999999986</v>
      </c>
    </row>
    <row r="491" spans="1:7">
      <c r="A491" t="s">
        <v>4683</v>
      </c>
      <c r="B491" s="174" t="s">
        <v>4684</v>
      </c>
      <c r="C491" s="174" t="s">
        <v>4685</v>
      </c>
      <c r="D491" s="175" t="s">
        <v>4536</v>
      </c>
      <c r="E491" s="175" t="s">
        <v>4537</v>
      </c>
      <c r="F491" s="176" t="s">
        <v>4502</v>
      </c>
      <c r="G491" s="683">
        <v>11.905239999999999</v>
      </c>
    </row>
    <row r="492" spans="1:7">
      <c r="A492" t="s">
        <v>4686</v>
      </c>
      <c r="B492" s="174" t="s">
        <v>4687</v>
      </c>
      <c r="C492" s="174" t="s">
        <v>4688</v>
      </c>
      <c r="D492" s="175" t="s">
        <v>4536</v>
      </c>
      <c r="E492" s="175" t="s">
        <v>4689</v>
      </c>
      <c r="F492" s="176" t="s">
        <v>4502</v>
      </c>
      <c r="G492" s="683">
        <v>38.140830000000001</v>
      </c>
    </row>
    <row r="493" spans="1:7">
      <c r="A493" t="s">
        <v>4690</v>
      </c>
      <c r="B493" s="174" t="s">
        <v>4691</v>
      </c>
      <c r="C493" s="174" t="s">
        <v>4692</v>
      </c>
      <c r="D493" s="175" t="s">
        <v>4536</v>
      </c>
      <c r="E493" s="175" t="s">
        <v>4689</v>
      </c>
      <c r="F493" s="176" t="s">
        <v>4502</v>
      </c>
      <c r="G493" s="683">
        <v>17.511040000000001</v>
      </c>
    </row>
    <row r="494" spans="1:7">
      <c r="A494" t="s">
        <v>4693</v>
      </c>
      <c r="B494" s="180" t="s">
        <v>4694</v>
      </c>
      <c r="C494" s="180" t="s">
        <v>4695</v>
      </c>
      <c r="D494" s="181" t="s">
        <v>4536</v>
      </c>
      <c r="E494" s="181" t="s">
        <v>4689</v>
      </c>
      <c r="F494" s="182" t="s">
        <v>4502</v>
      </c>
      <c r="G494" s="682">
        <v>62.411700000000003</v>
      </c>
    </row>
    <row r="495" spans="1:7">
      <c r="A495" t="s">
        <v>4696</v>
      </c>
      <c r="B495" s="174" t="s">
        <v>4697</v>
      </c>
      <c r="C495" s="174" t="s">
        <v>4698</v>
      </c>
      <c r="D495" s="175" t="s">
        <v>4536</v>
      </c>
      <c r="E495" s="175" t="s">
        <v>4689</v>
      </c>
      <c r="F495" s="176" t="s">
        <v>4502</v>
      </c>
      <c r="G495" s="683">
        <v>6.0422999999999991</v>
      </c>
    </row>
    <row r="496" spans="1:7">
      <c r="A496" t="s">
        <v>4699</v>
      </c>
      <c r="B496" s="174" t="s">
        <v>4700</v>
      </c>
      <c r="C496" s="174" t="s">
        <v>4701</v>
      </c>
      <c r="D496" s="175" t="s">
        <v>4536</v>
      </c>
      <c r="E496" s="175" t="s">
        <v>4689</v>
      </c>
      <c r="F496" s="176" t="s">
        <v>4502</v>
      </c>
      <c r="G496" s="683">
        <v>4.1982200000000001</v>
      </c>
    </row>
    <row r="497" spans="1:7">
      <c r="A497" t="s">
        <v>4702</v>
      </c>
      <c r="B497" s="174" t="s">
        <v>4703</v>
      </c>
      <c r="C497" s="174" t="s">
        <v>4704</v>
      </c>
      <c r="D497" s="175" t="s">
        <v>4536</v>
      </c>
      <c r="E497" s="175" t="s">
        <v>4705</v>
      </c>
      <c r="F497" s="176" t="s">
        <v>4502</v>
      </c>
      <c r="G497" s="683">
        <v>21.187439999999999</v>
      </c>
    </row>
    <row r="498" spans="1:7">
      <c r="A498" t="s">
        <v>4706</v>
      </c>
      <c r="B498" s="174" t="s">
        <v>4707</v>
      </c>
      <c r="C498" s="174" t="s">
        <v>4708</v>
      </c>
      <c r="D498" s="175" t="s">
        <v>4536</v>
      </c>
      <c r="E498" s="175" t="s">
        <v>4705</v>
      </c>
      <c r="F498" s="176" t="s">
        <v>4502</v>
      </c>
      <c r="G498" s="683">
        <v>25.575195000000001</v>
      </c>
    </row>
    <row r="499" spans="1:7">
      <c r="A499" t="s">
        <v>4709</v>
      </c>
      <c r="B499" s="174" t="s">
        <v>4710</v>
      </c>
      <c r="C499" s="174" t="s">
        <v>4711</v>
      </c>
      <c r="D499" s="175" t="s">
        <v>4536</v>
      </c>
      <c r="E499" s="175" t="s">
        <v>4705</v>
      </c>
      <c r="F499" s="176" t="s">
        <v>4502</v>
      </c>
      <c r="G499" s="683">
        <v>30.810850000000002</v>
      </c>
    </row>
    <row r="500" spans="1:7">
      <c r="A500" t="s">
        <v>4712</v>
      </c>
      <c r="B500" s="174" t="s">
        <v>4713</v>
      </c>
      <c r="C500" s="174" t="s">
        <v>4714</v>
      </c>
      <c r="D500" s="175" t="s">
        <v>4536</v>
      </c>
      <c r="E500" s="175" t="s">
        <v>4705</v>
      </c>
      <c r="F500" s="176" t="s">
        <v>4502</v>
      </c>
      <c r="G500" s="683">
        <v>37.678635</v>
      </c>
    </row>
    <row r="501" spans="1:7">
      <c r="A501" t="s">
        <v>4715</v>
      </c>
      <c r="B501" s="174" t="s">
        <v>4716</v>
      </c>
      <c r="C501" s="174" t="s">
        <v>4717</v>
      </c>
      <c r="D501" s="175" t="s">
        <v>4536</v>
      </c>
      <c r="E501" s="175" t="s">
        <v>4705</v>
      </c>
      <c r="F501" s="176" t="s">
        <v>4502</v>
      </c>
      <c r="G501" s="683">
        <v>50.901120000000006</v>
      </c>
    </row>
    <row r="502" spans="1:7">
      <c r="A502" t="s">
        <v>4718</v>
      </c>
      <c r="B502" s="174" t="s">
        <v>4719</v>
      </c>
      <c r="C502" s="174" t="s">
        <v>4720</v>
      </c>
      <c r="D502" s="175" t="s">
        <v>4536</v>
      </c>
      <c r="E502" s="175" t="s">
        <v>4705</v>
      </c>
      <c r="F502" s="176" t="s">
        <v>4502</v>
      </c>
      <c r="G502" s="683">
        <v>60.550580000000004</v>
      </c>
    </row>
    <row r="503" spans="1:7">
      <c r="A503" t="s">
        <v>4721</v>
      </c>
      <c r="B503" s="174" t="s">
        <v>4722</v>
      </c>
      <c r="C503" s="174" t="s">
        <v>4723</v>
      </c>
      <c r="D503" s="175" t="s">
        <v>4536</v>
      </c>
      <c r="E503" s="175" t="s">
        <v>4705</v>
      </c>
      <c r="F503" s="176" t="s">
        <v>4502</v>
      </c>
      <c r="G503" s="683">
        <v>59.59516</v>
      </c>
    </row>
    <row r="504" spans="1:7">
      <c r="A504" t="s">
        <v>4724</v>
      </c>
      <c r="B504" s="174" t="s">
        <v>4725</v>
      </c>
      <c r="C504" s="174" t="s">
        <v>4726</v>
      </c>
      <c r="D504" s="175" t="s">
        <v>4536</v>
      </c>
      <c r="E504" s="175" t="s">
        <v>4705</v>
      </c>
      <c r="F504" s="176" t="s">
        <v>4502</v>
      </c>
      <c r="G504" s="683">
        <v>84.381</v>
      </c>
    </row>
    <row r="505" spans="1:7">
      <c r="A505" t="s">
        <v>4727</v>
      </c>
      <c r="B505" s="174" t="s">
        <v>4728</v>
      </c>
      <c r="C505" s="174" t="s">
        <v>4729</v>
      </c>
      <c r="D505" s="175" t="s">
        <v>4536</v>
      </c>
      <c r="E505" s="175" t="s">
        <v>4705</v>
      </c>
      <c r="F505" s="176" t="s">
        <v>4502</v>
      </c>
      <c r="G505" s="683">
        <v>97.876599999999996</v>
      </c>
    </row>
    <row r="506" spans="1:7">
      <c r="A506" t="s">
        <v>4730</v>
      </c>
      <c r="B506" s="174" t="s">
        <v>4731</v>
      </c>
      <c r="C506" s="174" t="s">
        <v>4732</v>
      </c>
      <c r="D506" s="175" t="s">
        <v>4536</v>
      </c>
      <c r="E506" s="175" t="s">
        <v>4705</v>
      </c>
      <c r="F506" s="176" t="s">
        <v>4502</v>
      </c>
      <c r="G506" s="683">
        <v>126.89831</v>
      </c>
    </row>
    <row r="507" spans="1:7">
      <c r="A507" t="s">
        <v>4733</v>
      </c>
      <c r="B507" s="174" t="s">
        <v>4734</v>
      </c>
      <c r="C507" s="174" t="s">
        <v>4735</v>
      </c>
      <c r="D507" s="175" t="s">
        <v>4536</v>
      </c>
      <c r="E507" s="175" t="s">
        <v>4705</v>
      </c>
      <c r="F507" s="176" t="s">
        <v>4502</v>
      </c>
      <c r="G507" s="683">
        <v>129.45425999999998</v>
      </c>
    </row>
    <row r="508" spans="1:7">
      <c r="A508" t="s">
        <v>4736</v>
      </c>
      <c r="B508" s="174" t="s">
        <v>4737</v>
      </c>
      <c r="C508" s="174" t="s">
        <v>4738</v>
      </c>
      <c r="D508" s="175" t="s">
        <v>4536</v>
      </c>
      <c r="E508" s="175" t="s">
        <v>4705</v>
      </c>
      <c r="F508" s="176" t="s">
        <v>4502</v>
      </c>
      <c r="G508" s="683">
        <v>169.56757500000001</v>
      </c>
    </row>
    <row r="509" spans="1:7">
      <c r="A509" t="s">
        <v>4739</v>
      </c>
      <c r="B509" s="174" t="s">
        <v>4740</v>
      </c>
      <c r="C509" s="174" t="s">
        <v>4741</v>
      </c>
      <c r="D509" s="175" t="s">
        <v>4536</v>
      </c>
      <c r="E509" s="175" t="s">
        <v>4705</v>
      </c>
      <c r="F509" s="176" t="s">
        <v>4502</v>
      </c>
      <c r="G509" s="683">
        <v>16.819199999999999</v>
      </c>
    </row>
    <row r="510" spans="1:7">
      <c r="A510" t="s">
        <v>4742</v>
      </c>
      <c r="B510" s="174" t="s">
        <v>4743</v>
      </c>
      <c r="C510" s="174" t="s">
        <v>4744</v>
      </c>
      <c r="D510" s="175" t="s">
        <v>4536</v>
      </c>
      <c r="E510" s="175" t="s">
        <v>4705</v>
      </c>
      <c r="F510" s="176" t="s">
        <v>4502</v>
      </c>
      <c r="G510" s="683">
        <v>18.446535000000001</v>
      </c>
    </row>
    <row r="511" spans="1:7">
      <c r="A511" t="s">
        <v>4745</v>
      </c>
      <c r="B511" s="174" t="s">
        <v>4746</v>
      </c>
      <c r="C511" s="174" t="s">
        <v>4747</v>
      </c>
      <c r="D511" s="175" t="s">
        <v>4536</v>
      </c>
      <c r="E511" s="175" t="s">
        <v>4705</v>
      </c>
      <c r="F511" s="176" t="s">
        <v>4502</v>
      </c>
      <c r="G511" s="683">
        <v>29.547879999999999</v>
      </c>
    </row>
    <row r="512" spans="1:7">
      <c r="A512" t="s">
        <v>4748</v>
      </c>
      <c r="B512" s="174" t="s">
        <v>4749</v>
      </c>
      <c r="C512" s="174" t="s">
        <v>4750</v>
      </c>
      <c r="D512" s="175" t="s">
        <v>4536</v>
      </c>
      <c r="E512" s="175" t="s">
        <v>4705</v>
      </c>
      <c r="F512" s="176" t="s">
        <v>4502</v>
      </c>
      <c r="G512" s="683">
        <v>22.724155</v>
      </c>
    </row>
    <row r="513" spans="1:7">
      <c r="A513" t="s">
        <v>4751</v>
      </c>
      <c r="B513" s="174" t="s">
        <v>4752</v>
      </c>
      <c r="C513" s="174" t="s">
        <v>4753</v>
      </c>
      <c r="D513" s="175" t="s">
        <v>4536</v>
      </c>
      <c r="E513" s="175" t="s">
        <v>4705</v>
      </c>
      <c r="F513" s="176" t="s">
        <v>4502</v>
      </c>
      <c r="G513" s="683">
        <v>30.18918</v>
      </c>
    </row>
    <row r="514" spans="1:7">
      <c r="A514" t="s">
        <v>4754</v>
      </c>
      <c r="B514" s="174" t="s">
        <v>4755</v>
      </c>
      <c r="C514" s="174" t="s">
        <v>4756</v>
      </c>
      <c r="D514" s="175" t="s">
        <v>4536</v>
      </c>
      <c r="E514" s="175" t="s">
        <v>4705</v>
      </c>
      <c r="F514" s="176" t="s">
        <v>4502</v>
      </c>
      <c r="G514" s="683">
        <v>20.70345</v>
      </c>
    </row>
    <row r="515" spans="1:7">
      <c r="A515" t="s">
        <v>4757</v>
      </c>
      <c r="B515" s="174" t="s">
        <v>4758</v>
      </c>
      <c r="C515" s="174" t="s">
        <v>4759</v>
      </c>
      <c r="D515" s="175" t="s">
        <v>4536</v>
      </c>
      <c r="E515" s="175" t="s">
        <v>4705</v>
      </c>
      <c r="F515" s="176" t="s">
        <v>4502</v>
      </c>
      <c r="G515" s="683">
        <v>31.816990000000001</v>
      </c>
    </row>
    <row r="516" spans="1:7">
      <c r="A516" t="s">
        <v>4760</v>
      </c>
      <c r="B516" s="174" t="s">
        <v>4761</v>
      </c>
      <c r="C516" s="174" t="s">
        <v>4762</v>
      </c>
      <c r="D516" s="175" t="s">
        <v>4536</v>
      </c>
      <c r="E516" s="175" t="s">
        <v>4705</v>
      </c>
      <c r="F516" s="176" t="s">
        <v>4502</v>
      </c>
      <c r="G516" s="683">
        <v>35.436405000000001</v>
      </c>
    </row>
    <row r="517" spans="1:7">
      <c r="A517" t="s">
        <v>4763</v>
      </c>
      <c r="B517" s="174" t="s">
        <v>4764</v>
      </c>
      <c r="C517" s="174" t="s">
        <v>4765</v>
      </c>
      <c r="D517" s="175" t="s">
        <v>4536</v>
      </c>
      <c r="E517" s="175" t="s">
        <v>4705</v>
      </c>
      <c r="F517" s="176" t="s">
        <v>4502</v>
      </c>
      <c r="G517" s="683">
        <v>75.464840000000009</v>
      </c>
    </row>
    <row r="518" spans="1:7">
      <c r="A518" t="s">
        <v>4766</v>
      </c>
      <c r="B518" s="174" t="s">
        <v>4767</v>
      </c>
      <c r="C518" s="174" t="s">
        <v>4768</v>
      </c>
      <c r="D518" s="175" t="s">
        <v>4536</v>
      </c>
      <c r="E518" s="175" t="s">
        <v>4705</v>
      </c>
      <c r="F518" s="176" t="s">
        <v>4502</v>
      </c>
      <c r="G518" s="683">
        <v>176.35661500000001</v>
      </c>
    </row>
    <row r="519" spans="1:7">
      <c r="A519" t="s">
        <v>4769</v>
      </c>
      <c r="B519" s="174" t="s">
        <v>4770</v>
      </c>
      <c r="C519" s="174" t="s">
        <v>4771</v>
      </c>
      <c r="D519" s="175" t="s">
        <v>4536</v>
      </c>
      <c r="E519" s="175" t="s">
        <v>4705</v>
      </c>
      <c r="F519" s="176" t="s">
        <v>4502</v>
      </c>
      <c r="G519" s="683">
        <v>201.41504999999998</v>
      </c>
    </row>
    <row r="520" spans="1:7">
      <c r="A520" t="s">
        <v>4772</v>
      </c>
      <c r="B520" s="174" t="s">
        <v>4773</v>
      </c>
      <c r="C520" s="174" t="s">
        <v>4774</v>
      </c>
      <c r="D520" s="175" t="s">
        <v>4536</v>
      </c>
      <c r="E520" s="175" t="s">
        <v>4705</v>
      </c>
      <c r="F520" s="176" t="s">
        <v>4502</v>
      </c>
      <c r="G520" s="683">
        <v>297.07040999999998</v>
      </c>
    </row>
    <row r="521" spans="1:7">
      <c r="A521" t="s">
        <v>4775</v>
      </c>
      <c r="B521" s="174" t="s">
        <v>4776</v>
      </c>
      <c r="C521" s="174" t="s">
        <v>4777</v>
      </c>
      <c r="D521" s="175" t="s">
        <v>4536</v>
      </c>
      <c r="E521" s="175" t="s">
        <v>4705</v>
      </c>
      <c r="F521" s="176" t="s">
        <v>4502</v>
      </c>
      <c r="G521" s="683">
        <v>52.663559999999997</v>
      </c>
    </row>
    <row r="522" spans="1:7">
      <c r="A522" t="s">
        <v>4778</v>
      </c>
      <c r="B522" s="174" t="s">
        <v>4779</v>
      </c>
      <c r="C522" s="174" t="s">
        <v>4780</v>
      </c>
      <c r="D522" s="175" t="s">
        <v>4536</v>
      </c>
      <c r="E522" s="175" t="s">
        <v>4705</v>
      </c>
      <c r="F522" s="176" t="s">
        <v>4502</v>
      </c>
      <c r="G522" s="683">
        <v>66.859094999999996</v>
      </c>
    </row>
    <row r="523" spans="1:7">
      <c r="A523" t="s">
        <v>4781</v>
      </c>
      <c r="B523" s="174" t="s">
        <v>4782</v>
      </c>
      <c r="C523" s="174" t="s">
        <v>4783</v>
      </c>
      <c r="D523" s="175" t="s">
        <v>4536</v>
      </c>
      <c r="E523" s="175" t="s">
        <v>4705</v>
      </c>
      <c r="F523" s="176" t="s">
        <v>4502</v>
      </c>
      <c r="G523" s="683">
        <v>91.234050000000011</v>
      </c>
    </row>
    <row r="524" spans="1:7">
      <c r="A524" t="s">
        <v>4784</v>
      </c>
      <c r="B524" s="174" t="s">
        <v>4785</v>
      </c>
      <c r="C524" s="174" t="s">
        <v>4786</v>
      </c>
      <c r="D524" s="175" t="s">
        <v>4536</v>
      </c>
      <c r="E524" s="175" t="s">
        <v>4705</v>
      </c>
      <c r="F524" s="176" t="s">
        <v>4502</v>
      </c>
      <c r="G524" s="683">
        <v>174.19865000000001</v>
      </c>
    </row>
    <row r="525" spans="1:7">
      <c r="A525" t="s">
        <v>4787</v>
      </c>
      <c r="B525" s="174" t="s">
        <v>4788</v>
      </c>
      <c r="C525" s="174" t="s">
        <v>4789</v>
      </c>
      <c r="D525" s="175" t="s">
        <v>4536</v>
      </c>
      <c r="E525" s="175" t="s">
        <v>4705</v>
      </c>
      <c r="F525" s="176" t="s">
        <v>4502</v>
      </c>
      <c r="G525" s="683">
        <v>45.259679999999996</v>
      </c>
    </row>
    <row r="526" spans="1:7">
      <c r="A526" t="s">
        <v>4790</v>
      </c>
      <c r="B526" s="180" t="s">
        <v>4791</v>
      </c>
      <c r="C526" s="180" t="s">
        <v>4792</v>
      </c>
      <c r="D526" s="181" t="s">
        <v>4536</v>
      </c>
      <c r="E526" s="181" t="s">
        <v>4705</v>
      </c>
      <c r="F526" s="182" t="s">
        <v>4502</v>
      </c>
      <c r="G526" s="682">
        <v>99.081620000000001</v>
      </c>
    </row>
    <row r="527" spans="1:7">
      <c r="A527" t="s">
        <v>4793</v>
      </c>
      <c r="B527" s="174" t="s">
        <v>4794</v>
      </c>
      <c r="C527" s="174" t="s">
        <v>4795</v>
      </c>
      <c r="D527" s="175" t="s">
        <v>4536</v>
      </c>
      <c r="E527" s="175" t="s">
        <v>4796</v>
      </c>
      <c r="F527" s="176" t="s">
        <v>4502</v>
      </c>
      <c r="G527" s="683">
        <v>111.77733000000001</v>
      </c>
    </row>
    <row r="528" spans="1:7">
      <c r="A528" t="s">
        <v>4797</v>
      </c>
      <c r="B528" s="174" t="s">
        <v>4798</v>
      </c>
      <c r="C528" s="174" t="s">
        <v>4799</v>
      </c>
      <c r="D528" s="175" t="s">
        <v>4536</v>
      </c>
      <c r="E528" s="175" t="s">
        <v>4796</v>
      </c>
      <c r="F528" s="176" t="s">
        <v>4502</v>
      </c>
      <c r="G528" s="683">
        <v>137.71395000000001</v>
      </c>
    </row>
    <row r="529" spans="1:7">
      <c r="A529" t="s">
        <v>4800</v>
      </c>
      <c r="B529" s="174" t="s">
        <v>4801</v>
      </c>
      <c r="C529" s="174" t="s">
        <v>4802</v>
      </c>
      <c r="D529" s="175" t="s">
        <v>4536</v>
      </c>
      <c r="E529" s="175" t="s">
        <v>4796</v>
      </c>
      <c r="F529" s="176" t="s">
        <v>4502</v>
      </c>
      <c r="G529" s="683">
        <v>416.68450000000001</v>
      </c>
    </row>
    <row r="530" spans="1:7">
      <c r="A530" t="s">
        <v>4803</v>
      </c>
      <c r="B530" s="174" t="s">
        <v>4804</v>
      </c>
      <c r="C530" s="174" t="s">
        <v>4805</v>
      </c>
      <c r="D530" s="175" t="s">
        <v>4536</v>
      </c>
      <c r="E530" s="175" t="s">
        <v>4796</v>
      </c>
      <c r="F530" s="176" t="s">
        <v>4502</v>
      </c>
      <c r="G530" s="683">
        <v>32.647745</v>
      </c>
    </row>
    <row r="531" spans="1:7">
      <c r="A531" t="s">
        <v>4806</v>
      </c>
      <c r="B531" s="174" t="s">
        <v>4807</v>
      </c>
      <c r="C531" s="174" t="s">
        <v>4808</v>
      </c>
      <c r="D531" s="175" t="s">
        <v>4536</v>
      </c>
      <c r="E531" s="175" t="s">
        <v>4796</v>
      </c>
      <c r="F531" s="176" t="s">
        <v>4502</v>
      </c>
      <c r="G531" s="683">
        <v>27.701160000000002</v>
      </c>
    </row>
    <row r="532" spans="1:7">
      <c r="A532" t="s">
        <v>4809</v>
      </c>
      <c r="B532" s="174" t="s">
        <v>4810</v>
      </c>
      <c r="C532" s="174" t="s">
        <v>4811</v>
      </c>
      <c r="D532" s="175" t="s">
        <v>4536</v>
      </c>
      <c r="E532" s="175" t="s">
        <v>4796</v>
      </c>
      <c r="F532" s="176" t="s">
        <v>4502</v>
      </c>
      <c r="G532" s="683">
        <v>161.404605</v>
      </c>
    </row>
    <row r="533" spans="1:7">
      <c r="A533" t="s">
        <v>4812</v>
      </c>
      <c r="B533" s="174" t="s">
        <v>4813</v>
      </c>
      <c r="C533" s="174" t="s">
        <v>4814</v>
      </c>
      <c r="D533" s="175" t="s">
        <v>4536</v>
      </c>
      <c r="E533" s="175" t="s">
        <v>4796</v>
      </c>
      <c r="F533" s="176" t="s">
        <v>4502</v>
      </c>
      <c r="G533" s="683">
        <v>275.38835999999998</v>
      </c>
    </row>
    <row r="534" spans="1:7">
      <c r="A534" t="s">
        <v>4815</v>
      </c>
      <c r="B534" s="174" t="s">
        <v>4816</v>
      </c>
      <c r="C534" s="174" t="s">
        <v>4817</v>
      </c>
      <c r="D534" s="175" t="s">
        <v>4536</v>
      </c>
      <c r="E534" s="175" t="s">
        <v>4537</v>
      </c>
      <c r="F534" s="176" t="s">
        <v>4502</v>
      </c>
      <c r="G534" s="683">
        <v>27.404475000000001</v>
      </c>
    </row>
    <row r="535" spans="1:7">
      <c r="A535" t="s">
        <v>4818</v>
      </c>
      <c r="B535" s="174" t="s">
        <v>4819</v>
      </c>
      <c r="C535" s="174" t="s">
        <v>4820</v>
      </c>
      <c r="D535" s="175" t="s">
        <v>4536</v>
      </c>
      <c r="E535" s="175" t="s">
        <v>4537</v>
      </c>
      <c r="F535" s="176" t="s">
        <v>4502</v>
      </c>
      <c r="G535" s="683">
        <v>7.7751000000000001</v>
      </c>
    </row>
    <row r="536" spans="1:7">
      <c r="A536" t="s">
        <v>4821</v>
      </c>
      <c r="B536" s="174" t="s">
        <v>4822</v>
      </c>
      <c r="C536" s="174" t="s">
        <v>4823</v>
      </c>
      <c r="D536" s="175" t="s">
        <v>4536</v>
      </c>
      <c r="E536" s="175" t="s">
        <v>4537</v>
      </c>
      <c r="F536" s="176" t="s">
        <v>4502</v>
      </c>
      <c r="G536" s="683">
        <v>13.58793</v>
      </c>
    </row>
    <row r="537" spans="1:7">
      <c r="A537" t="s">
        <v>4824</v>
      </c>
      <c r="B537" s="174" t="s">
        <v>4825</v>
      </c>
      <c r="C537" s="174" t="s">
        <v>4826</v>
      </c>
      <c r="D537" s="175" t="s">
        <v>4536</v>
      </c>
      <c r="E537" s="175" t="s">
        <v>4537</v>
      </c>
      <c r="F537" s="176" t="s">
        <v>4502</v>
      </c>
      <c r="G537" s="683">
        <v>9.514800000000001</v>
      </c>
    </row>
    <row r="538" spans="1:7">
      <c r="A538" t="s">
        <v>4827</v>
      </c>
      <c r="B538" s="174" t="s">
        <v>4828</v>
      </c>
      <c r="C538" s="174" t="s">
        <v>4829</v>
      </c>
      <c r="D538" s="175" t="s">
        <v>4536</v>
      </c>
      <c r="E538" s="175" t="s">
        <v>4537</v>
      </c>
      <c r="F538" s="176" t="s">
        <v>4502</v>
      </c>
      <c r="G538" s="683">
        <v>9.5701999999999998</v>
      </c>
    </row>
    <row r="539" spans="1:7">
      <c r="A539" t="s">
        <v>4830</v>
      </c>
      <c r="B539" s="174" t="s">
        <v>4831</v>
      </c>
      <c r="C539" s="174" t="s">
        <v>4832</v>
      </c>
      <c r="D539" s="175" t="s">
        <v>4536</v>
      </c>
      <c r="E539" s="175" t="s">
        <v>4537</v>
      </c>
      <c r="F539" s="176" t="s">
        <v>4502</v>
      </c>
      <c r="G539" s="683">
        <v>6.1852999999999998</v>
      </c>
    </row>
    <row r="540" spans="1:7">
      <c r="A540" t="s">
        <v>4833</v>
      </c>
      <c r="B540" s="174" t="s">
        <v>4834</v>
      </c>
      <c r="C540" s="174" t="s">
        <v>4835</v>
      </c>
      <c r="D540" s="175" t="s">
        <v>4536</v>
      </c>
      <c r="E540" s="175" t="s">
        <v>4537</v>
      </c>
      <c r="F540" s="176" t="s">
        <v>4502</v>
      </c>
      <c r="G540" s="683">
        <v>9.5487749999999991</v>
      </c>
    </row>
    <row r="541" spans="1:7">
      <c r="A541" t="s">
        <v>4836</v>
      </c>
      <c r="B541" s="174" t="s">
        <v>4837</v>
      </c>
      <c r="C541" s="174" t="s">
        <v>4838</v>
      </c>
      <c r="D541" s="175" t="s">
        <v>4536</v>
      </c>
      <c r="E541" s="175" t="s">
        <v>4839</v>
      </c>
      <c r="F541" s="176" t="s">
        <v>4502</v>
      </c>
      <c r="G541" s="683">
        <v>2.4192</v>
      </c>
    </row>
    <row r="542" spans="1:7">
      <c r="A542" t="s">
        <v>4840</v>
      </c>
      <c r="B542" s="174" t="s">
        <v>4841</v>
      </c>
      <c r="C542" s="174" t="s">
        <v>4842</v>
      </c>
      <c r="D542" s="175" t="s">
        <v>4536</v>
      </c>
      <c r="E542" s="175" t="s">
        <v>4839</v>
      </c>
      <c r="F542" s="176" t="s">
        <v>4502</v>
      </c>
      <c r="G542" s="683">
        <v>2.4690500000000002</v>
      </c>
    </row>
    <row r="543" spans="1:7">
      <c r="A543" t="s">
        <v>4843</v>
      </c>
      <c r="B543" s="174" t="s">
        <v>4844</v>
      </c>
      <c r="C543" s="174" t="s">
        <v>4845</v>
      </c>
      <c r="D543" s="175" t="s">
        <v>4536</v>
      </c>
      <c r="E543" s="175" t="s">
        <v>4839</v>
      </c>
      <c r="F543" s="176" t="s">
        <v>4502</v>
      </c>
      <c r="G543" s="683">
        <v>1.5675000000000001</v>
      </c>
    </row>
    <row r="544" spans="1:7">
      <c r="A544" t="s">
        <v>4846</v>
      </c>
      <c r="B544" s="174" t="s">
        <v>4847</v>
      </c>
      <c r="C544" s="174" t="s">
        <v>4848</v>
      </c>
      <c r="D544" s="175" t="s">
        <v>4536</v>
      </c>
      <c r="E544" s="175" t="s">
        <v>4839</v>
      </c>
      <c r="F544" s="176" t="s">
        <v>4502</v>
      </c>
      <c r="G544" s="683">
        <v>2.6179749999999999</v>
      </c>
    </row>
    <row r="545" spans="1:7">
      <c r="A545" t="s">
        <v>4849</v>
      </c>
      <c r="B545" s="174" t="s">
        <v>4850</v>
      </c>
      <c r="C545" s="174" t="s">
        <v>4851</v>
      </c>
      <c r="D545" s="175" t="s">
        <v>4536</v>
      </c>
      <c r="E545" s="175" t="s">
        <v>4839</v>
      </c>
      <c r="F545" s="176" t="s">
        <v>4502</v>
      </c>
      <c r="G545" s="683">
        <v>4.9474</v>
      </c>
    </row>
    <row r="546" spans="1:7">
      <c r="A546" t="s">
        <v>4852</v>
      </c>
      <c r="B546" s="174" t="s">
        <v>4853</v>
      </c>
      <c r="C546" s="174" t="s">
        <v>4854</v>
      </c>
      <c r="D546" s="175" t="s">
        <v>4536</v>
      </c>
      <c r="E546" s="175" t="s">
        <v>4839</v>
      </c>
      <c r="F546" s="176" t="s">
        <v>4502</v>
      </c>
      <c r="G546" s="683">
        <v>3.3637499999999996</v>
      </c>
    </row>
    <row r="547" spans="1:7">
      <c r="A547" t="s">
        <v>4855</v>
      </c>
      <c r="B547" s="174" t="s">
        <v>4856</v>
      </c>
      <c r="C547" s="174" t="s">
        <v>4857</v>
      </c>
      <c r="D547" s="175" t="s">
        <v>4536</v>
      </c>
      <c r="E547" s="175" t="s">
        <v>4839</v>
      </c>
      <c r="F547" s="176" t="s">
        <v>4502</v>
      </c>
      <c r="G547" s="683">
        <v>6.0121000000000002</v>
      </c>
    </row>
    <row r="548" spans="1:7">
      <c r="A548" t="s">
        <v>4858</v>
      </c>
      <c r="B548" s="174" t="s">
        <v>4859</v>
      </c>
      <c r="C548" s="174" t="s">
        <v>4860</v>
      </c>
      <c r="D548" s="175" t="s">
        <v>4536</v>
      </c>
      <c r="E548" s="175" t="s">
        <v>4839</v>
      </c>
      <c r="F548" s="176" t="s">
        <v>4502</v>
      </c>
      <c r="G548" s="683">
        <v>6.0630499999999996</v>
      </c>
    </row>
    <row r="549" spans="1:7">
      <c r="A549" t="s">
        <v>4861</v>
      </c>
      <c r="B549" s="177" t="s">
        <v>4862</v>
      </c>
      <c r="C549" s="177" t="s">
        <v>4863</v>
      </c>
      <c r="D549" s="178" t="s">
        <v>4536</v>
      </c>
      <c r="E549" s="178" t="s">
        <v>4839</v>
      </c>
      <c r="F549" s="179" t="s">
        <v>4502</v>
      </c>
      <c r="G549" s="684">
        <v>0</v>
      </c>
    </row>
    <row r="550" spans="1:7">
      <c r="A550" t="s">
        <v>4864</v>
      </c>
      <c r="B550" s="174" t="s">
        <v>4865</v>
      </c>
      <c r="C550" s="174" t="s">
        <v>4866</v>
      </c>
      <c r="D550" s="175" t="s">
        <v>4536</v>
      </c>
      <c r="E550" s="175" t="s">
        <v>4839</v>
      </c>
      <c r="F550" s="176" t="s">
        <v>4502</v>
      </c>
      <c r="G550" s="683">
        <v>14.838229999999999</v>
      </c>
    </row>
    <row r="551" spans="1:7">
      <c r="A551" t="s">
        <v>4867</v>
      </c>
      <c r="B551" s="174" t="s">
        <v>4868</v>
      </c>
      <c r="C551" s="174" t="s">
        <v>4869</v>
      </c>
      <c r="D551" s="175" t="s">
        <v>4536</v>
      </c>
      <c r="E551" s="175" t="s">
        <v>4839</v>
      </c>
      <c r="F551" s="176" t="s">
        <v>4502</v>
      </c>
      <c r="G551" s="683">
        <v>21.992939999999997</v>
      </c>
    </row>
    <row r="552" spans="1:7">
      <c r="A552" t="s">
        <v>4870</v>
      </c>
      <c r="B552" s="174" t="s">
        <v>4871</v>
      </c>
      <c r="C552" s="174" t="s">
        <v>4872</v>
      </c>
      <c r="D552" s="175" t="s">
        <v>4536</v>
      </c>
      <c r="E552" s="175" t="s">
        <v>4839</v>
      </c>
      <c r="F552" s="176" t="s">
        <v>4502</v>
      </c>
      <c r="G552" s="683">
        <v>29.016930000000006</v>
      </c>
    </row>
    <row r="553" spans="1:7">
      <c r="A553" t="s">
        <v>4873</v>
      </c>
      <c r="B553" s="174" t="s">
        <v>4874</v>
      </c>
      <c r="C553" s="174" t="s">
        <v>4875</v>
      </c>
      <c r="D553" s="175" t="s">
        <v>4536</v>
      </c>
      <c r="E553" s="175" t="s">
        <v>4839</v>
      </c>
      <c r="F553" s="176" t="s">
        <v>4502</v>
      </c>
      <c r="G553" s="683">
        <v>12.864380000000001</v>
      </c>
    </row>
    <row r="554" spans="1:7">
      <c r="A554" t="s">
        <v>4876</v>
      </c>
      <c r="B554" s="174" t="s">
        <v>4877</v>
      </c>
      <c r="C554" s="174" t="s">
        <v>4878</v>
      </c>
      <c r="D554" s="175" t="s">
        <v>4536</v>
      </c>
      <c r="E554" s="175" t="s">
        <v>4839</v>
      </c>
      <c r="F554" s="176" t="s">
        <v>4502</v>
      </c>
      <c r="G554" s="683">
        <v>18.39</v>
      </c>
    </row>
    <row r="555" spans="1:7">
      <c r="A555" t="s">
        <v>4879</v>
      </c>
      <c r="B555" s="174" t="s">
        <v>4880</v>
      </c>
      <c r="C555" s="174" t="s">
        <v>4881</v>
      </c>
      <c r="D555" s="175" t="s">
        <v>4536</v>
      </c>
      <c r="E555" s="175" t="s">
        <v>4839</v>
      </c>
      <c r="F555" s="176" t="s">
        <v>4502</v>
      </c>
      <c r="G555" s="683">
        <v>232.79885999999999</v>
      </c>
    </row>
    <row r="556" spans="1:7">
      <c r="A556" t="s">
        <v>4882</v>
      </c>
      <c r="B556" s="174" t="s">
        <v>4883</v>
      </c>
      <c r="C556" s="174" t="s">
        <v>4884</v>
      </c>
      <c r="D556" s="175" t="s">
        <v>4536</v>
      </c>
      <c r="E556" s="175" t="s">
        <v>4839</v>
      </c>
      <c r="F556" s="176" t="s">
        <v>4502</v>
      </c>
      <c r="G556" s="683">
        <v>38.957249999999995</v>
      </c>
    </row>
    <row r="557" spans="1:7">
      <c r="A557" t="s">
        <v>4885</v>
      </c>
      <c r="B557" s="174" t="s">
        <v>4886</v>
      </c>
      <c r="C557" s="174" t="s">
        <v>4887</v>
      </c>
      <c r="D557" s="175" t="s">
        <v>4536</v>
      </c>
      <c r="E557" s="175" t="s">
        <v>4839</v>
      </c>
      <c r="F557" s="176" t="s">
        <v>4502</v>
      </c>
      <c r="G557" s="683">
        <v>112.4864</v>
      </c>
    </row>
    <row r="558" spans="1:7">
      <c r="A558" t="s">
        <v>4888</v>
      </c>
      <c r="B558" s="180" t="s">
        <v>4889</v>
      </c>
      <c r="C558" s="180" t="s">
        <v>4890</v>
      </c>
      <c r="D558" s="181" t="s">
        <v>4536</v>
      </c>
      <c r="E558" s="181" t="s">
        <v>4839</v>
      </c>
      <c r="F558" s="182" t="s">
        <v>4502</v>
      </c>
      <c r="G558" s="682">
        <v>148.19712000000001</v>
      </c>
    </row>
    <row r="559" spans="1:7">
      <c r="A559" t="s">
        <v>4891</v>
      </c>
      <c r="B559" s="174" t="s">
        <v>4892</v>
      </c>
      <c r="C559" s="174" t="s">
        <v>4893</v>
      </c>
      <c r="D559" s="175" t="s">
        <v>4536</v>
      </c>
      <c r="E559" s="175" t="s">
        <v>4839</v>
      </c>
      <c r="F559" s="176" t="s">
        <v>4502</v>
      </c>
      <c r="G559" s="683">
        <v>198.16146000000001</v>
      </c>
    </row>
    <row r="560" spans="1:7">
      <c r="A560" t="s">
        <v>4894</v>
      </c>
      <c r="B560" s="174" t="s">
        <v>4895</v>
      </c>
      <c r="C560" s="174" t="s">
        <v>4896</v>
      </c>
      <c r="D560" s="175" t="s">
        <v>4536</v>
      </c>
      <c r="E560" s="175" t="s">
        <v>4839</v>
      </c>
      <c r="F560" s="176" t="s">
        <v>4502</v>
      </c>
      <c r="G560" s="683">
        <v>244.52986000000001</v>
      </c>
    </row>
    <row r="561" spans="1:7">
      <c r="A561" t="s">
        <v>4897</v>
      </c>
      <c r="B561" s="174" t="s">
        <v>4898</v>
      </c>
      <c r="C561" s="174" t="s">
        <v>4899</v>
      </c>
      <c r="D561" s="175" t="s">
        <v>4536</v>
      </c>
      <c r="E561" s="175" t="s">
        <v>4839</v>
      </c>
      <c r="F561" s="176" t="s">
        <v>4502</v>
      </c>
      <c r="G561" s="683">
        <v>308.83811999999995</v>
      </c>
    </row>
    <row r="562" spans="1:7">
      <c r="A562" t="s">
        <v>4900</v>
      </c>
      <c r="B562" s="174" t="s">
        <v>4901</v>
      </c>
      <c r="C562" s="174" t="s">
        <v>4902</v>
      </c>
      <c r="D562" s="175" t="s">
        <v>4536</v>
      </c>
      <c r="E562" s="175" t="s">
        <v>4839</v>
      </c>
      <c r="F562" s="176" t="s">
        <v>4502</v>
      </c>
      <c r="G562" s="683">
        <v>19.430399999999999</v>
      </c>
    </row>
    <row r="563" spans="1:7">
      <c r="A563" t="s">
        <v>4903</v>
      </c>
      <c r="B563" s="174" t="s">
        <v>4904</v>
      </c>
      <c r="C563" s="174" t="s">
        <v>4905</v>
      </c>
      <c r="D563" s="175" t="s">
        <v>4536</v>
      </c>
      <c r="E563" s="175" t="s">
        <v>4839</v>
      </c>
      <c r="F563" s="176" t="s">
        <v>4502</v>
      </c>
      <c r="G563" s="683">
        <v>25.313949999999998</v>
      </c>
    </row>
    <row r="564" spans="1:7">
      <c r="A564" t="s">
        <v>4906</v>
      </c>
      <c r="B564" s="174" t="s">
        <v>4907</v>
      </c>
      <c r="C564" s="174" t="s">
        <v>4908</v>
      </c>
      <c r="D564" s="175" t="s">
        <v>4536</v>
      </c>
      <c r="E564" s="175" t="s">
        <v>4839</v>
      </c>
      <c r="F564" s="176" t="s">
        <v>4502</v>
      </c>
      <c r="G564" s="683">
        <v>32.941679999999998</v>
      </c>
    </row>
    <row r="565" spans="1:7">
      <c r="A565" t="s">
        <v>4909</v>
      </c>
      <c r="B565" s="174" t="s">
        <v>4910</v>
      </c>
      <c r="C565" s="174" t="s">
        <v>4911</v>
      </c>
      <c r="D565" s="175" t="s">
        <v>4536</v>
      </c>
      <c r="E565" s="175" t="s">
        <v>4839</v>
      </c>
      <c r="F565" s="176" t="s">
        <v>4502</v>
      </c>
      <c r="G565" s="683">
        <v>42.92727</v>
      </c>
    </row>
    <row r="566" spans="1:7">
      <c r="A566" t="s">
        <v>4912</v>
      </c>
      <c r="B566" s="174" t="s">
        <v>4913</v>
      </c>
      <c r="C566" s="174" t="s">
        <v>4914</v>
      </c>
      <c r="D566" s="175" t="s">
        <v>4536</v>
      </c>
      <c r="E566" s="175" t="s">
        <v>4839</v>
      </c>
      <c r="F566" s="176" t="s">
        <v>4502</v>
      </c>
      <c r="G566" s="683">
        <v>58.950639999999993</v>
      </c>
    </row>
    <row r="567" spans="1:7">
      <c r="A567" t="s">
        <v>4915</v>
      </c>
      <c r="B567" s="174" t="s">
        <v>4916</v>
      </c>
      <c r="C567" s="174" t="s">
        <v>4917</v>
      </c>
      <c r="D567" s="175" t="s">
        <v>4536</v>
      </c>
      <c r="E567" s="175" t="s">
        <v>4839</v>
      </c>
      <c r="F567" s="176" t="s">
        <v>4502</v>
      </c>
      <c r="G567" s="683">
        <v>86.007900000000006</v>
      </c>
    </row>
    <row r="568" spans="1:7">
      <c r="A568" t="s">
        <v>4918</v>
      </c>
      <c r="B568" s="174" t="s">
        <v>4919</v>
      </c>
      <c r="C568" s="174" t="s">
        <v>4920</v>
      </c>
      <c r="D568" s="175" t="s">
        <v>4536</v>
      </c>
      <c r="E568" s="175" t="s">
        <v>4839</v>
      </c>
      <c r="F568" s="176" t="s">
        <v>4502</v>
      </c>
      <c r="G568" s="683">
        <v>124.75943999999976</v>
      </c>
    </row>
    <row r="569" spans="1:7">
      <c r="A569" t="s">
        <v>4921</v>
      </c>
      <c r="B569" s="174" t="s">
        <v>4922</v>
      </c>
      <c r="C569" s="174" t="s">
        <v>4923</v>
      </c>
      <c r="D569" s="175" t="s">
        <v>4536</v>
      </c>
      <c r="E569" s="175" t="s">
        <v>4839</v>
      </c>
      <c r="F569" s="176" t="s">
        <v>4502</v>
      </c>
      <c r="G569" s="683">
        <v>115.84527999999979</v>
      </c>
    </row>
    <row r="570" spans="1:7">
      <c r="A570" t="s">
        <v>4924</v>
      </c>
      <c r="B570" s="174" t="s">
        <v>4925</v>
      </c>
      <c r="C570" s="174" t="s">
        <v>4926</v>
      </c>
      <c r="D570" s="175" t="s">
        <v>4536</v>
      </c>
      <c r="E570" s="175" t="s">
        <v>4839</v>
      </c>
      <c r="F570" s="176" t="s">
        <v>4502</v>
      </c>
      <c r="G570" s="683">
        <v>30.587439999999944</v>
      </c>
    </row>
    <row r="571" spans="1:7">
      <c r="A571" t="s">
        <v>4927</v>
      </c>
      <c r="B571" s="174" t="s">
        <v>4928</v>
      </c>
      <c r="C571" s="174" t="s">
        <v>4929</v>
      </c>
      <c r="D571" s="175" t="s">
        <v>4536</v>
      </c>
      <c r="E571" s="175" t="s">
        <v>4839</v>
      </c>
      <c r="F571" s="176" t="s">
        <v>4502</v>
      </c>
      <c r="G571" s="683">
        <v>10.743149999999979</v>
      </c>
    </row>
    <row r="572" spans="1:7">
      <c r="A572" t="s">
        <v>4930</v>
      </c>
      <c r="B572" s="174" t="s">
        <v>4931</v>
      </c>
      <c r="C572" s="174" t="s">
        <v>4932</v>
      </c>
      <c r="D572" s="175" t="s">
        <v>4536</v>
      </c>
      <c r="E572" s="175" t="s">
        <v>4839</v>
      </c>
      <c r="F572" s="176" t="s">
        <v>4502</v>
      </c>
      <c r="G572" s="683">
        <v>10.158999999999981</v>
      </c>
    </row>
    <row r="573" spans="1:7">
      <c r="A573" t="s">
        <v>4933</v>
      </c>
      <c r="B573" s="174" t="s">
        <v>4934</v>
      </c>
      <c r="C573" s="174" t="s">
        <v>4935</v>
      </c>
      <c r="D573" s="175" t="s">
        <v>4536</v>
      </c>
      <c r="E573" s="175" t="s">
        <v>4839</v>
      </c>
      <c r="F573" s="176" t="s">
        <v>4502</v>
      </c>
      <c r="G573" s="683">
        <v>8.9189799999999817</v>
      </c>
    </row>
    <row r="574" spans="1:7">
      <c r="A574" t="s">
        <v>4936</v>
      </c>
      <c r="B574" s="174" t="s">
        <v>4937</v>
      </c>
      <c r="C574" s="174" t="s">
        <v>4938</v>
      </c>
      <c r="D574" s="175" t="s">
        <v>4536</v>
      </c>
      <c r="E574" s="175" t="s">
        <v>4839</v>
      </c>
      <c r="F574" s="176" t="s">
        <v>4502</v>
      </c>
      <c r="G574" s="683">
        <v>27.556799999999942</v>
      </c>
    </row>
    <row r="575" spans="1:7">
      <c r="A575" t="s">
        <v>4939</v>
      </c>
      <c r="B575" s="174" t="s">
        <v>4940</v>
      </c>
      <c r="C575" s="174" t="s">
        <v>4941</v>
      </c>
      <c r="D575" s="175" t="s">
        <v>4536</v>
      </c>
      <c r="E575" s="175" t="s">
        <v>4839</v>
      </c>
      <c r="F575" s="176" t="s">
        <v>4502</v>
      </c>
      <c r="G575" s="683">
        <v>23.16394999999995</v>
      </c>
    </row>
    <row r="576" spans="1:7">
      <c r="A576" t="s">
        <v>4942</v>
      </c>
      <c r="B576" s="174" t="s">
        <v>4943</v>
      </c>
      <c r="C576" s="174" t="s">
        <v>4944</v>
      </c>
      <c r="D576" s="175" t="s">
        <v>4536</v>
      </c>
      <c r="E576" s="175" t="s">
        <v>4839</v>
      </c>
      <c r="F576" s="176" t="s">
        <v>4502</v>
      </c>
      <c r="G576" s="683">
        <v>23.422739999999948</v>
      </c>
    </row>
    <row r="577" spans="1:7">
      <c r="A577" t="s">
        <v>4945</v>
      </c>
      <c r="B577" s="174" t="s">
        <v>4946</v>
      </c>
      <c r="C577" s="174" t="s">
        <v>4947</v>
      </c>
      <c r="D577" s="175" t="s">
        <v>4536</v>
      </c>
      <c r="E577" s="175" t="s">
        <v>4839</v>
      </c>
      <c r="F577" s="176" t="s">
        <v>4502</v>
      </c>
      <c r="G577" s="683">
        <v>40.962149999999916</v>
      </c>
    </row>
    <row r="578" spans="1:7">
      <c r="A578" t="s">
        <v>4948</v>
      </c>
      <c r="B578" s="174" t="s">
        <v>4949</v>
      </c>
      <c r="C578" s="174" t="s">
        <v>4950</v>
      </c>
      <c r="D578" s="175" t="s">
        <v>4536</v>
      </c>
      <c r="E578" s="175" t="s">
        <v>4839</v>
      </c>
      <c r="F578" s="176" t="s">
        <v>4502</v>
      </c>
      <c r="G578" s="683">
        <v>43.771639999999898</v>
      </c>
    </row>
    <row r="579" spans="1:7">
      <c r="A579" t="s">
        <v>4951</v>
      </c>
      <c r="B579" s="174" t="s">
        <v>4952</v>
      </c>
      <c r="C579" s="174" t="s">
        <v>4953</v>
      </c>
      <c r="D579" s="175" t="s">
        <v>4536</v>
      </c>
      <c r="E579" s="175" t="s">
        <v>4839</v>
      </c>
      <c r="F579" s="176" t="s">
        <v>4502</v>
      </c>
      <c r="G579" s="683">
        <v>66.547229999999843</v>
      </c>
    </row>
    <row r="580" spans="1:7">
      <c r="A580" t="s">
        <v>4954</v>
      </c>
      <c r="B580" s="174" t="s">
        <v>4955</v>
      </c>
      <c r="C580" s="174" t="s">
        <v>4956</v>
      </c>
      <c r="D580" s="175" t="s">
        <v>4536</v>
      </c>
      <c r="E580" s="175" t="s">
        <v>4839</v>
      </c>
      <c r="F580" s="176" t="s">
        <v>4502</v>
      </c>
      <c r="G580" s="683">
        <v>70.173599999999837</v>
      </c>
    </row>
    <row r="581" spans="1:7">
      <c r="A581" t="s">
        <v>4957</v>
      </c>
      <c r="B581" s="174" t="s">
        <v>4958</v>
      </c>
      <c r="C581" s="174" t="s">
        <v>4959</v>
      </c>
      <c r="D581" s="175" t="s">
        <v>4536</v>
      </c>
      <c r="E581" s="175" t="s">
        <v>4839</v>
      </c>
      <c r="F581" s="176" t="s">
        <v>4502</v>
      </c>
      <c r="G581" s="683">
        <v>94.717789999999766</v>
      </c>
    </row>
    <row r="582" spans="1:7">
      <c r="A582" t="s">
        <v>4960</v>
      </c>
      <c r="B582" s="174" t="s">
        <v>4961</v>
      </c>
      <c r="C582" s="174" t="s">
        <v>4962</v>
      </c>
      <c r="D582" s="175" t="s">
        <v>4536</v>
      </c>
      <c r="E582" s="175" t="s">
        <v>4839</v>
      </c>
      <c r="F582" s="176" t="s">
        <v>4502</v>
      </c>
      <c r="G582" s="683">
        <v>98.799999999999741</v>
      </c>
    </row>
    <row r="583" spans="1:7">
      <c r="A583" t="s">
        <v>4963</v>
      </c>
      <c r="B583" s="174" t="s">
        <v>4964</v>
      </c>
      <c r="C583" s="174" t="s">
        <v>4965</v>
      </c>
      <c r="D583" s="175" t="s">
        <v>4536</v>
      </c>
      <c r="E583" s="175" t="s">
        <v>4839</v>
      </c>
      <c r="F583" s="176" t="s">
        <v>4502</v>
      </c>
      <c r="G583" s="683">
        <v>120.7377599999997</v>
      </c>
    </row>
    <row r="584" spans="1:7">
      <c r="A584" t="s">
        <v>4966</v>
      </c>
      <c r="B584" s="174" t="s">
        <v>4967</v>
      </c>
      <c r="C584" s="174" t="s">
        <v>4968</v>
      </c>
      <c r="D584" s="175" t="s">
        <v>4536</v>
      </c>
      <c r="E584" s="175" t="s">
        <v>4839</v>
      </c>
      <c r="F584" s="176" t="s">
        <v>4502</v>
      </c>
      <c r="G584" s="683">
        <v>29.305219999999924</v>
      </c>
    </row>
    <row r="585" spans="1:7">
      <c r="A585" t="s">
        <v>4969</v>
      </c>
      <c r="B585" s="174" t="s">
        <v>4970</v>
      </c>
      <c r="C585" s="174" t="s">
        <v>4971</v>
      </c>
      <c r="D585" s="175" t="s">
        <v>4536</v>
      </c>
      <c r="E585" s="175" t="s">
        <v>4839</v>
      </c>
      <c r="F585" s="176" t="s">
        <v>4502</v>
      </c>
      <c r="G585" s="683">
        <v>35.815259999999903</v>
      </c>
    </row>
    <row r="586" spans="1:7">
      <c r="A586" t="s">
        <v>4972</v>
      </c>
      <c r="B586" s="174" t="s">
        <v>4973</v>
      </c>
      <c r="C586" s="174" t="s">
        <v>4974</v>
      </c>
      <c r="D586" s="175" t="s">
        <v>4536</v>
      </c>
      <c r="E586" s="175" t="s">
        <v>4839</v>
      </c>
      <c r="F586" s="176" t="s">
        <v>4502</v>
      </c>
      <c r="G586" s="683">
        <v>45.089639999999875</v>
      </c>
    </row>
    <row r="587" spans="1:7">
      <c r="A587" t="s">
        <v>4975</v>
      </c>
      <c r="B587" s="174" t="s">
        <v>4976</v>
      </c>
      <c r="C587" s="174" t="s">
        <v>4977</v>
      </c>
      <c r="D587" s="175" t="s">
        <v>4536</v>
      </c>
      <c r="E587" s="175" t="s">
        <v>4839</v>
      </c>
      <c r="F587" s="176" t="s">
        <v>4502</v>
      </c>
      <c r="G587" s="683">
        <v>82.181399999999527</v>
      </c>
    </row>
    <row r="588" spans="1:7">
      <c r="A588" t="s">
        <v>4978</v>
      </c>
      <c r="B588" s="174" t="s">
        <v>4979</v>
      </c>
      <c r="C588" s="174" t="s">
        <v>4980</v>
      </c>
      <c r="D588" s="175" t="s">
        <v>4536</v>
      </c>
      <c r="E588" s="175" t="s">
        <v>4839</v>
      </c>
      <c r="F588" s="176" t="s">
        <v>4502</v>
      </c>
      <c r="G588" s="683">
        <v>11.335939999999933</v>
      </c>
    </row>
    <row r="589" spans="1:7">
      <c r="A589" t="s">
        <v>4981</v>
      </c>
      <c r="B589" s="174" t="s">
        <v>4982</v>
      </c>
      <c r="C589" s="174" t="s">
        <v>4983</v>
      </c>
      <c r="D589" s="175" t="s">
        <v>4536</v>
      </c>
      <c r="E589" s="175" t="s">
        <v>4839</v>
      </c>
      <c r="F589" s="176" t="s">
        <v>4502</v>
      </c>
      <c r="G589" s="683">
        <v>102.30659999999938</v>
      </c>
    </row>
    <row r="590" spans="1:7">
      <c r="A590" t="s">
        <v>4984</v>
      </c>
      <c r="B590" s="180" t="s">
        <v>4985</v>
      </c>
      <c r="C590" s="180" t="s">
        <v>4986</v>
      </c>
      <c r="D590" s="181" t="s">
        <v>4536</v>
      </c>
      <c r="E590" s="181" t="s">
        <v>4987</v>
      </c>
      <c r="F590" s="182" t="s">
        <v>4502</v>
      </c>
      <c r="G590" s="682">
        <v>5.7315199999999642</v>
      </c>
    </row>
    <row r="591" spans="1:7">
      <c r="A591" t="s">
        <v>4988</v>
      </c>
      <c r="B591" s="174" t="s">
        <v>4989</v>
      </c>
      <c r="C591" s="174" t="s">
        <v>4990</v>
      </c>
      <c r="D591" s="175" t="s">
        <v>4536</v>
      </c>
      <c r="E591" s="175" t="s">
        <v>4987</v>
      </c>
      <c r="F591" s="176" t="s">
        <v>4502</v>
      </c>
      <c r="G591" s="683">
        <v>9.3052699999999398</v>
      </c>
    </row>
    <row r="592" spans="1:7">
      <c r="A592" t="s">
        <v>4991</v>
      </c>
      <c r="B592" s="174" t="s">
        <v>4992</v>
      </c>
      <c r="C592" s="174" t="s">
        <v>4993</v>
      </c>
      <c r="D592" s="175" t="s">
        <v>4536</v>
      </c>
      <c r="E592" s="175" t="s">
        <v>4987</v>
      </c>
      <c r="F592" s="176" t="s">
        <v>4502</v>
      </c>
      <c r="G592" s="683">
        <v>4.1354999999999729</v>
      </c>
    </row>
    <row r="593" spans="1:7">
      <c r="A593" t="s">
        <v>4994</v>
      </c>
      <c r="B593" s="174" t="s">
        <v>4995</v>
      </c>
      <c r="C593" s="174" t="s">
        <v>4996</v>
      </c>
      <c r="D593" s="175" t="s">
        <v>4536</v>
      </c>
      <c r="E593" s="175" t="s">
        <v>4987</v>
      </c>
      <c r="F593" s="176" t="s">
        <v>4502</v>
      </c>
      <c r="G593" s="683">
        <v>4.3697199999999699</v>
      </c>
    </row>
    <row r="594" spans="1:7">
      <c r="A594" t="s">
        <v>4997</v>
      </c>
      <c r="B594" s="174" t="s">
        <v>4998</v>
      </c>
      <c r="C594" s="174" t="s">
        <v>4999</v>
      </c>
      <c r="D594" s="175" t="s">
        <v>4536</v>
      </c>
      <c r="E594" s="175" t="s">
        <v>4987</v>
      </c>
      <c r="F594" s="176" t="s">
        <v>4502</v>
      </c>
      <c r="G594" s="683">
        <v>5.725439999999959</v>
      </c>
    </row>
    <row r="595" spans="1:7">
      <c r="A595" t="s">
        <v>5000</v>
      </c>
      <c r="B595" s="174" t="s">
        <v>5001</v>
      </c>
      <c r="C595" s="174" t="s">
        <v>5002</v>
      </c>
      <c r="D595" s="175" t="s">
        <v>4536</v>
      </c>
      <c r="E595" s="175" t="s">
        <v>4987</v>
      </c>
      <c r="F595" s="176" t="s">
        <v>4502</v>
      </c>
      <c r="G595" s="683">
        <v>6.8633999999999489</v>
      </c>
    </row>
    <row r="596" spans="1:7">
      <c r="A596" t="s">
        <v>5003</v>
      </c>
      <c r="B596" s="174" t="s">
        <v>5004</v>
      </c>
      <c r="C596" s="174" t="s">
        <v>4990</v>
      </c>
      <c r="D596" s="175" t="s">
        <v>4536</v>
      </c>
      <c r="E596" s="175" t="s">
        <v>4987</v>
      </c>
      <c r="F596" s="176" t="s">
        <v>4502</v>
      </c>
      <c r="G596" s="683">
        <v>6.3075999999999519</v>
      </c>
    </row>
    <row r="597" spans="1:7">
      <c r="A597" t="s">
        <v>5005</v>
      </c>
      <c r="B597" s="174" t="s">
        <v>5006</v>
      </c>
      <c r="C597" s="174" t="s">
        <v>5007</v>
      </c>
      <c r="D597" s="175" t="s">
        <v>4536</v>
      </c>
      <c r="E597" s="175" t="s">
        <v>4987</v>
      </c>
      <c r="F597" s="176" t="s">
        <v>4502</v>
      </c>
      <c r="G597" s="683">
        <v>9.6854999999999229</v>
      </c>
    </row>
    <row r="598" spans="1:7">
      <c r="A598" t="s">
        <v>5008</v>
      </c>
      <c r="B598" s="174" t="s">
        <v>5009</v>
      </c>
      <c r="C598" s="174" t="s">
        <v>5010</v>
      </c>
      <c r="D598" s="175" t="s">
        <v>4536</v>
      </c>
      <c r="E598" s="175" t="s">
        <v>4987</v>
      </c>
      <c r="F598" s="176" t="s">
        <v>4502</v>
      </c>
      <c r="G598" s="683">
        <v>7.5779999999999372</v>
      </c>
    </row>
    <row r="599" spans="1:7">
      <c r="A599" t="s">
        <v>5011</v>
      </c>
      <c r="B599" s="174" t="s">
        <v>5012</v>
      </c>
      <c r="C599" s="174" t="s">
        <v>5013</v>
      </c>
      <c r="D599" s="175" t="s">
        <v>4536</v>
      </c>
      <c r="E599" s="175" t="s">
        <v>4987</v>
      </c>
      <c r="F599" s="176" t="s">
        <v>4502</v>
      </c>
      <c r="G599" s="683">
        <v>10.407269999999908</v>
      </c>
    </row>
    <row r="600" spans="1:7">
      <c r="A600" t="s">
        <v>5014</v>
      </c>
      <c r="B600" s="177" t="s">
        <v>5015</v>
      </c>
      <c r="C600" s="177" t="s">
        <v>5016</v>
      </c>
      <c r="D600" s="178" t="s">
        <v>4536</v>
      </c>
      <c r="E600" s="178" t="s">
        <v>5017</v>
      </c>
      <c r="F600" s="179" t="s">
        <v>4502</v>
      </c>
      <c r="G600" s="684">
        <v>0</v>
      </c>
    </row>
    <row r="601" spans="1:7">
      <c r="A601" t="s">
        <v>5018</v>
      </c>
      <c r="B601" s="177" t="s">
        <v>5019</v>
      </c>
      <c r="C601" s="177" t="s">
        <v>5020</v>
      </c>
      <c r="D601" s="178" t="s">
        <v>4536</v>
      </c>
      <c r="E601" s="178" t="s">
        <v>5017</v>
      </c>
      <c r="F601" s="179" t="s">
        <v>4502</v>
      </c>
      <c r="G601" s="684">
        <v>0</v>
      </c>
    </row>
    <row r="602" spans="1:7">
      <c r="A602" t="s">
        <v>5021</v>
      </c>
      <c r="B602" s="177" t="s">
        <v>5022</v>
      </c>
      <c r="C602" s="177" t="s">
        <v>5023</v>
      </c>
      <c r="D602" s="178" t="s">
        <v>4536</v>
      </c>
      <c r="E602" s="178" t="s">
        <v>5017</v>
      </c>
      <c r="F602" s="179" t="s">
        <v>4502</v>
      </c>
      <c r="G602" s="684">
        <v>0</v>
      </c>
    </row>
    <row r="603" spans="1:7">
      <c r="A603" t="s">
        <v>5024</v>
      </c>
      <c r="B603" s="177" t="s">
        <v>5025</v>
      </c>
      <c r="C603" s="177" t="s">
        <v>5026</v>
      </c>
      <c r="D603" s="178" t="s">
        <v>4536</v>
      </c>
      <c r="E603" s="178" t="s">
        <v>5017</v>
      </c>
      <c r="F603" s="179" t="s">
        <v>4502</v>
      </c>
      <c r="G603" s="684">
        <v>0</v>
      </c>
    </row>
    <row r="604" spans="1:7">
      <c r="A604" t="s">
        <v>5027</v>
      </c>
      <c r="B604" s="177" t="s">
        <v>5028</v>
      </c>
      <c r="C604" s="177" t="s">
        <v>5029</v>
      </c>
      <c r="D604" s="178" t="s">
        <v>4536</v>
      </c>
      <c r="E604" s="178" t="s">
        <v>5017</v>
      </c>
      <c r="F604" s="179" t="s">
        <v>4502</v>
      </c>
      <c r="G604" s="684">
        <v>0</v>
      </c>
    </row>
    <row r="605" spans="1:7">
      <c r="A605" t="s">
        <v>5030</v>
      </c>
      <c r="B605" s="177" t="s">
        <v>5031</v>
      </c>
      <c r="C605" s="177" t="s">
        <v>5032</v>
      </c>
      <c r="D605" s="178" t="s">
        <v>4536</v>
      </c>
      <c r="E605" s="178" t="s">
        <v>5017</v>
      </c>
      <c r="F605" s="179" t="s">
        <v>4502</v>
      </c>
      <c r="G605" s="684">
        <v>0</v>
      </c>
    </row>
    <row r="606" spans="1:7">
      <c r="A606" t="s">
        <v>5033</v>
      </c>
      <c r="B606" s="177" t="s">
        <v>5034</v>
      </c>
      <c r="C606" s="177" t="s">
        <v>5035</v>
      </c>
      <c r="D606" s="178" t="s">
        <v>4536</v>
      </c>
      <c r="E606" s="178" t="s">
        <v>5017</v>
      </c>
      <c r="F606" s="179" t="s">
        <v>4502</v>
      </c>
      <c r="G606" s="684">
        <v>0</v>
      </c>
    </row>
    <row r="607" spans="1:7">
      <c r="A607" t="s">
        <v>5036</v>
      </c>
      <c r="B607" s="177" t="s">
        <v>5037</v>
      </c>
      <c r="C607" s="177" t="s">
        <v>5038</v>
      </c>
      <c r="D607" s="178" t="s">
        <v>4536</v>
      </c>
      <c r="E607" s="178" t="s">
        <v>5017</v>
      </c>
      <c r="F607" s="179" t="s">
        <v>4502</v>
      </c>
      <c r="G607" s="684">
        <v>0</v>
      </c>
    </row>
    <row r="608" spans="1:7">
      <c r="A608" t="s">
        <v>5039</v>
      </c>
      <c r="B608" s="177" t="s">
        <v>5040</v>
      </c>
      <c r="C608" s="177" t="s">
        <v>5041</v>
      </c>
      <c r="D608" s="178" t="s">
        <v>4536</v>
      </c>
      <c r="E608" s="178" t="s">
        <v>5017</v>
      </c>
      <c r="F608" s="179" t="s">
        <v>4502</v>
      </c>
      <c r="G608" s="684">
        <v>0</v>
      </c>
    </row>
    <row r="609" spans="1:7">
      <c r="A609" t="s">
        <v>5042</v>
      </c>
      <c r="B609" s="177" t="s">
        <v>5043</v>
      </c>
      <c r="C609" s="177" t="s">
        <v>5044</v>
      </c>
      <c r="D609" s="178" t="s">
        <v>4536</v>
      </c>
      <c r="E609" s="178" t="s">
        <v>5017</v>
      </c>
      <c r="F609" s="179" t="s">
        <v>4502</v>
      </c>
      <c r="G609" s="684">
        <v>0</v>
      </c>
    </row>
    <row r="610" spans="1:7">
      <c r="A610" t="s">
        <v>5045</v>
      </c>
      <c r="B610" s="177" t="s">
        <v>5046</v>
      </c>
      <c r="C610" s="177" t="s">
        <v>5047</v>
      </c>
      <c r="D610" s="178" t="s">
        <v>4536</v>
      </c>
      <c r="E610" s="178" t="s">
        <v>5017</v>
      </c>
      <c r="F610" s="179" t="s">
        <v>4502</v>
      </c>
      <c r="G610" s="684">
        <v>0</v>
      </c>
    </row>
    <row r="611" spans="1:7">
      <c r="A611" t="s">
        <v>5048</v>
      </c>
      <c r="B611" s="177" t="s">
        <v>5049</v>
      </c>
      <c r="C611" s="177" t="s">
        <v>5050</v>
      </c>
      <c r="D611" s="178" t="s">
        <v>4536</v>
      </c>
      <c r="E611" s="178" t="s">
        <v>5017</v>
      </c>
      <c r="F611" s="179" t="s">
        <v>4502</v>
      </c>
      <c r="G611" s="684">
        <v>0</v>
      </c>
    </row>
    <row r="612" spans="1:7">
      <c r="A612" t="s">
        <v>5051</v>
      </c>
      <c r="B612" s="177" t="s">
        <v>5052</v>
      </c>
      <c r="C612" s="177" t="s">
        <v>5053</v>
      </c>
      <c r="D612" s="178" t="s">
        <v>4536</v>
      </c>
      <c r="E612" s="178" t="s">
        <v>5017</v>
      </c>
      <c r="F612" s="179" t="s">
        <v>4502</v>
      </c>
      <c r="G612" s="684">
        <v>0</v>
      </c>
    </row>
    <row r="613" spans="1:7">
      <c r="A613" t="s">
        <v>5054</v>
      </c>
      <c r="B613" s="177" t="s">
        <v>5055</v>
      </c>
      <c r="C613" s="177" t="s">
        <v>5056</v>
      </c>
      <c r="D613" s="178" t="s">
        <v>4536</v>
      </c>
      <c r="E613" s="178" t="s">
        <v>5017</v>
      </c>
      <c r="F613" s="179" t="s">
        <v>4502</v>
      </c>
      <c r="G613" s="684">
        <v>0</v>
      </c>
    </row>
    <row r="614" spans="1:7">
      <c r="A614" t="s">
        <v>5057</v>
      </c>
      <c r="B614" s="177" t="s">
        <v>5058</v>
      </c>
      <c r="C614" s="177" t="s">
        <v>5059</v>
      </c>
      <c r="D614" s="178" t="s">
        <v>4536</v>
      </c>
      <c r="E614" s="178" t="s">
        <v>5017</v>
      </c>
      <c r="F614" s="179" t="s">
        <v>4502</v>
      </c>
      <c r="G614" s="684">
        <v>0</v>
      </c>
    </row>
    <row r="615" spans="1:7">
      <c r="A615" t="s">
        <v>5060</v>
      </c>
      <c r="B615" s="177" t="s">
        <v>5061</v>
      </c>
      <c r="C615" s="177" t="s">
        <v>5062</v>
      </c>
      <c r="D615" s="178" t="s">
        <v>4536</v>
      </c>
      <c r="E615" s="178" t="s">
        <v>5017</v>
      </c>
      <c r="F615" s="179" t="s">
        <v>4502</v>
      </c>
      <c r="G615" s="684">
        <v>0</v>
      </c>
    </row>
    <row r="616" spans="1:7">
      <c r="A616" t="s">
        <v>5063</v>
      </c>
      <c r="B616" s="177" t="s">
        <v>5064</v>
      </c>
      <c r="C616" s="177" t="s">
        <v>5065</v>
      </c>
      <c r="D616" s="178" t="s">
        <v>4536</v>
      </c>
      <c r="E616" s="178" t="s">
        <v>5017</v>
      </c>
      <c r="F616" s="179" t="s">
        <v>4502</v>
      </c>
      <c r="G616" s="684">
        <v>0</v>
      </c>
    </row>
    <row r="617" spans="1:7">
      <c r="A617" t="s">
        <v>5066</v>
      </c>
      <c r="B617" s="177" t="s">
        <v>5067</v>
      </c>
      <c r="C617" s="177" t="s">
        <v>5068</v>
      </c>
      <c r="D617" s="178" t="s">
        <v>4536</v>
      </c>
      <c r="E617" s="178" t="s">
        <v>5017</v>
      </c>
      <c r="F617" s="179" t="s">
        <v>4502</v>
      </c>
      <c r="G617" s="684">
        <v>0</v>
      </c>
    </row>
    <row r="618" spans="1:7">
      <c r="A618" t="s">
        <v>5069</v>
      </c>
      <c r="B618" s="177" t="s">
        <v>5070</v>
      </c>
      <c r="C618" s="177" t="s">
        <v>5071</v>
      </c>
      <c r="D618" s="178" t="s">
        <v>4536</v>
      </c>
      <c r="E618" s="178" t="s">
        <v>5017</v>
      </c>
      <c r="F618" s="179" t="s">
        <v>4502</v>
      </c>
      <c r="G618" s="684">
        <v>0</v>
      </c>
    </row>
    <row r="619" spans="1:7">
      <c r="A619" t="s">
        <v>5072</v>
      </c>
      <c r="B619" s="177" t="s">
        <v>5073</v>
      </c>
      <c r="C619" s="177" t="s">
        <v>5074</v>
      </c>
      <c r="D619" s="178" t="s">
        <v>4536</v>
      </c>
      <c r="E619" s="178" t="s">
        <v>5017</v>
      </c>
      <c r="F619" s="179" t="s">
        <v>4502</v>
      </c>
      <c r="G619" s="684">
        <v>0</v>
      </c>
    </row>
    <row r="620" spans="1:7">
      <c r="A620" t="s">
        <v>5075</v>
      </c>
      <c r="B620" s="177" t="s">
        <v>5076</v>
      </c>
      <c r="C620" s="177" t="s">
        <v>5077</v>
      </c>
      <c r="D620" s="178" t="s">
        <v>4536</v>
      </c>
      <c r="E620" s="178" t="s">
        <v>5017</v>
      </c>
      <c r="F620" s="179" t="s">
        <v>4502</v>
      </c>
      <c r="G620" s="684">
        <v>0</v>
      </c>
    </row>
    <row r="621" spans="1:7">
      <c r="A621" t="s">
        <v>5078</v>
      </c>
      <c r="B621" s="177" t="s">
        <v>5079</v>
      </c>
      <c r="C621" s="177" t="s">
        <v>5080</v>
      </c>
      <c r="D621" s="178" t="s">
        <v>4536</v>
      </c>
      <c r="E621" s="178" t="s">
        <v>5017</v>
      </c>
      <c r="F621" s="179" t="s">
        <v>4502</v>
      </c>
      <c r="G621" s="684">
        <v>0</v>
      </c>
    </row>
    <row r="622" spans="1:7">
      <c r="A622" t="s">
        <v>5081</v>
      </c>
      <c r="B622" s="171" t="s">
        <v>5082</v>
      </c>
      <c r="C622" s="171" t="s">
        <v>5083</v>
      </c>
      <c r="D622" s="172" t="s">
        <v>4536</v>
      </c>
      <c r="E622" s="172" t="s">
        <v>5017</v>
      </c>
      <c r="F622" s="173" t="s">
        <v>4502</v>
      </c>
      <c r="G622" s="685">
        <v>0</v>
      </c>
    </row>
    <row r="623" spans="1:7">
      <c r="A623" t="s">
        <v>5084</v>
      </c>
      <c r="B623" s="177" t="s">
        <v>5085</v>
      </c>
      <c r="C623" s="177" t="s">
        <v>5086</v>
      </c>
      <c r="D623" s="178" t="s">
        <v>4536</v>
      </c>
      <c r="E623" s="178" t="s">
        <v>5017</v>
      </c>
      <c r="F623" s="179" t="s">
        <v>4502</v>
      </c>
      <c r="G623" s="684">
        <v>0</v>
      </c>
    </row>
    <row r="624" spans="1:7">
      <c r="A624" t="s">
        <v>5087</v>
      </c>
      <c r="B624" s="177" t="s">
        <v>5088</v>
      </c>
      <c r="C624" s="177" t="s">
        <v>5089</v>
      </c>
      <c r="D624" s="178" t="s">
        <v>4536</v>
      </c>
      <c r="E624" s="178" t="s">
        <v>5017</v>
      </c>
      <c r="F624" s="179" t="s">
        <v>4502</v>
      </c>
      <c r="G624" s="684">
        <v>0</v>
      </c>
    </row>
    <row r="625" spans="1:7">
      <c r="A625" t="s">
        <v>5090</v>
      </c>
      <c r="B625" s="177" t="s">
        <v>5091</v>
      </c>
      <c r="C625" s="177" t="s">
        <v>5092</v>
      </c>
      <c r="D625" s="178" t="s">
        <v>4536</v>
      </c>
      <c r="E625" s="178" t="s">
        <v>5017</v>
      </c>
      <c r="F625" s="179" t="s">
        <v>4502</v>
      </c>
      <c r="G625" s="684">
        <v>0</v>
      </c>
    </row>
    <row r="626" spans="1:7">
      <c r="A626" t="s">
        <v>5093</v>
      </c>
      <c r="B626" s="177" t="s">
        <v>5094</v>
      </c>
      <c r="C626" s="177" t="s">
        <v>5095</v>
      </c>
      <c r="D626" s="178" t="s">
        <v>4536</v>
      </c>
      <c r="E626" s="178" t="s">
        <v>5017</v>
      </c>
      <c r="F626" s="179" t="s">
        <v>4502</v>
      </c>
      <c r="G626" s="684">
        <v>0</v>
      </c>
    </row>
    <row r="627" spans="1:7">
      <c r="A627" t="s">
        <v>5096</v>
      </c>
      <c r="B627" s="177" t="s">
        <v>5097</v>
      </c>
      <c r="C627" s="177" t="s">
        <v>5098</v>
      </c>
      <c r="D627" s="178" t="s">
        <v>4536</v>
      </c>
      <c r="E627" s="178" t="s">
        <v>5017</v>
      </c>
      <c r="F627" s="179" t="s">
        <v>4502</v>
      </c>
      <c r="G627" s="684">
        <v>0</v>
      </c>
    </row>
    <row r="628" spans="1:7">
      <c r="A628" t="s">
        <v>5099</v>
      </c>
      <c r="B628" s="177" t="s">
        <v>5100</v>
      </c>
      <c r="C628" s="177" t="s">
        <v>5101</v>
      </c>
      <c r="D628" s="178" t="s">
        <v>4536</v>
      </c>
      <c r="E628" s="178" t="s">
        <v>5017</v>
      </c>
      <c r="F628" s="179" t="s">
        <v>4502</v>
      </c>
      <c r="G628" s="684">
        <v>0</v>
      </c>
    </row>
    <row r="629" spans="1:7">
      <c r="A629" t="s">
        <v>5102</v>
      </c>
      <c r="B629" s="177" t="s">
        <v>5103</v>
      </c>
      <c r="C629" s="177" t="s">
        <v>5104</v>
      </c>
      <c r="D629" s="178" t="s">
        <v>4536</v>
      </c>
      <c r="E629" s="178" t="s">
        <v>5017</v>
      </c>
      <c r="F629" s="179" t="s">
        <v>4502</v>
      </c>
      <c r="G629" s="684">
        <v>0</v>
      </c>
    </row>
    <row r="630" spans="1:7">
      <c r="A630" t="s">
        <v>5105</v>
      </c>
      <c r="B630" s="177" t="s">
        <v>5106</v>
      </c>
      <c r="C630" s="177" t="s">
        <v>5107</v>
      </c>
      <c r="D630" s="178" t="s">
        <v>4536</v>
      </c>
      <c r="E630" s="178" t="s">
        <v>5017</v>
      </c>
      <c r="F630" s="179" t="s">
        <v>4502</v>
      </c>
      <c r="G630" s="684">
        <v>0</v>
      </c>
    </row>
    <row r="631" spans="1:7">
      <c r="A631" t="s">
        <v>5108</v>
      </c>
      <c r="B631" s="177" t="s">
        <v>5109</v>
      </c>
      <c r="C631" s="177" t="s">
        <v>5110</v>
      </c>
      <c r="D631" s="178" t="s">
        <v>4536</v>
      </c>
      <c r="E631" s="178" t="s">
        <v>5017</v>
      </c>
      <c r="F631" s="179" t="s">
        <v>4502</v>
      </c>
      <c r="G631" s="684">
        <v>0</v>
      </c>
    </row>
    <row r="632" spans="1:7">
      <c r="A632" t="s">
        <v>5111</v>
      </c>
      <c r="B632" s="177" t="s">
        <v>5112</v>
      </c>
      <c r="C632" s="177" t="s">
        <v>5113</v>
      </c>
      <c r="D632" s="178" t="s">
        <v>4536</v>
      </c>
      <c r="E632" s="178" t="s">
        <v>5017</v>
      </c>
      <c r="F632" s="179" t="s">
        <v>4502</v>
      </c>
      <c r="G632" s="684">
        <v>0</v>
      </c>
    </row>
    <row r="633" spans="1:7">
      <c r="A633" t="s">
        <v>5114</v>
      </c>
      <c r="B633" s="177" t="s">
        <v>5115</v>
      </c>
      <c r="C633" s="177" t="s">
        <v>5116</v>
      </c>
      <c r="D633" s="178" t="s">
        <v>4536</v>
      </c>
      <c r="E633" s="178" t="s">
        <v>5017</v>
      </c>
      <c r="F633" s="179" t="s">
        <v>4502</v>
      </c>
      <c r="G633" s="684">
        <v>0</v>
      </c>
    </row>
    <row r="634" spans="1:7">
      <c r="A634" t="s">
        <v>5117</v>
      </c>
      <c r="B634" s="177" t="s">
        <v>5118</v>
      </c>
      <c r="C634" s="177" t="s">
        <v>5119</v>
      </c>
      <c r="D634" s="178" t="s">
        <v>4536</v>
      </c>
      <c r="E634" s="178" t="s">
        <v>5017</v>
      </c>
      <c r="F634" s="179" t="s">
        <v>4502</v>
      </c>
      <c r="G634" s="684">
        <v>0</v>
      </c>
    </row>
    <row r="635" spans="1:7">
      <c r="A635" t="s">
        <v>5120</v>
      </c>
      <c r="B635" s="177" t="s">
        <v>5121</v>
      </c>
      <c r="C635" s="177" t="s">
        <v>5122</v>
      </c>
      <c r="D635" s="178" t="s">
        <v>4536</v>
      </c>
      <c r="E635" s="178" t="s">
        <v>5017</v>
      </c>
      <c r="F635" s="179" t="s">
        <v>4502</v>
      </c>
      <c r="G635" s="684">
        <v>0</v>
      </c>
    </row>
    <row r="636" spans="1:7">
      <c r="A636" t="s">
        <v>5123</v>
      </c>
      <c r="B636" s="177" t="s">
        <v>5124</v>
      </c>
      <c r="C636" s="177" t="s">
        <v>5125</v>
      </c>
      <c r="D636" s="178" t="s">
        <v>4536</v>
      </c>
      <c r="E636" s="178" t="s">
        <v>5017</v>
      </c>
      <c r="F636" s="179" t="s">
        <v>4502</v>
      </c>
      <c r="G636" s="684">
        <v>0</v>
      </c>
    </row>
    <row r="637" spans="1:7">
      <c r="A637" t="s">
        <v>5126</v>
      </c>
      <c r="B637" s="177" t="s">
        <v>5127</v>
      </c>
      <c r="C637" s="177" t="s">
        <v>5128</v>
      </c>
      <c r="D637" s="178" t="s">
        <v>4536</v>
      </c>
      <c r="E637" s="178" t="s">
        <v>5017</v>
      </c>
      <c r="F637" s="179" t="s">
        <v>4502</v>
      </c>
      <c r="G637" s="684">
        <v>0</v>
      </c>
    </row>
    <row r="638" spans="1:7">
      <c r="A638" t="s">
        <v>5129</v>
      </c>
      <c r="B638" s="177" t="s">
        <v>5130</v>
      </c>
      <c r="C638" s="177" t="s">
        <v>5131</v>
      </c>
      <c r="D638" s="178" t="s">
        <v>4536</v>
      </c>
      <c r="E638" s="178" t="s">
        <v>5017</v>
      </c>
      <c r="F638" s="179" t="s">
        <v>4502</v>
      </c>
      <c r="G638" s="684">
        <v>0</v>
      </c>
    </row>
    <row r="639" spans="1:7">
      <c r="A639" t="s">
        <v>5132</v>
      </c>
      <c r="B639" s="177" t="s">
        <v>5133</v>
      </c>
      <c r="C639" s="177" t="s">
        <v>5134</v>
      </c>
      <c r="D639" s="178" t="s">
        <v>4536</v>
      </c>
      <c r="E639" s="178" t="s">
        <v>5017</v>
      </c>
      <c r="F639" s="179" t="s">
        <v>4502</v>
      </c>
      <c r="G639" s="684">
        <v>0</v>
      </c>
    </row>
    <row r="640" spans="1:7">
      <c r="A640" t="s">
        <v>5135</v>
      </c>
      <c r="B640" s="177" t="s">
        <v>5136</v>
      </c>
      <c r="C640" s="177" t="s">
        <v>5137</v>
      </c>
      <c r="D640" s="178" t="s">
        <v>4536</v>
      </c>
      <c r="E640" s="178" t="s">
        <v>5017</v>
      </c>
      <c r="F640" s="179" t="s">
        <v>4502</v>
      </c>
      <c r="G640" s="684">
        <v>0</v>
      </c>
    </row>
    <row r="641" spans="1:7">
      <c r="A641" t="s">
        <v>5138</v>
      </c>
      <c r="B641" s="177" t="s">
        <v>5139</v>
      </c>
      <c r="C641" s="177" t="s">
        <v>5140</v>
      </c>
      <c r="D641" s="178" t="s">
        <v>4536</v>
      </c>
      <c r="E641" s="178" t="s">
        <v>5017</v>
      </c>
      <c r="F641" s="179" t="s">
        <v>4502</v>
      </c>
      <c r="G641" s="684">
        <v>0</v>
      </c>
    </row>
    <row r="642" spans="1:7">
      <c r="A642" t="s">
        <v>5141</v>
      </c>
      <c r="B642" s="177" t="s">
        <v>5142</v>
      </c>
      <c r="C642" s="177" t="s">
        <v>5143</v>
      </c>
      <c r="D642" s="178" t="s">
        <v>4536</v>
      </c>
      <c r="E642" s="178" t="s">
        <v>5017</v>
      </c>
      <c r="F642" s="179" t="s">
        <v>4502</v>
      </c>
      <c r="G642" s="684">
        <v>0</v>
      </c>
    </row>
    <row r="643" spans="1:7">
      <c r="A643" t="s">
        <v>5144</v>
      </c>
      <c r="B643" s="177" t="s">
        <v>5145</v>
      </c>
      <c r="C643" s="177" t="s">
        <v>5146</v>
      </c>
      <c r="D643" s="178" t="s">
        <v>4536</v>
      </c>
      <c r="E643" s="178" t="s">
        <v>5017</v>
      </c>
      <c r="F643" s="179" t="s">
        <v>4502</v>
      </c>
      <c r="G643" s="684">
        <v>0</v>
      </c>
    </row>
    <row r="644" spans="1:7">
      <c r="A644" t="s">
        <v>5147</v>
      </c>
      <c r="B644" s="177" t="s">
        <v>5148</v>
      </c>
      <c r="C644" s="177" t="s">
        <v>5149</v>
      </c>
      <c r="D644" s="178" t="s">
        <v>4536</v>
      </c>
      <c r="E644" s="178" t="s">
        <v>5017</v>
      </c>
      <c r="F644" s="179" t="s">
        <v>4502</v>
      </c>
      <c r="G644" s="684">
        <v>0</v>
      </c>
    </row>
    <row r="645" spans="1:7">
      <c r="A645" t="s">
        <v>5150</v>
      </c>
      <c r="B645" s="177" t="s">
        <v>5151</v>
      </c>
      <c r="C645" s="177" t="s">
        <v>5152</v>
      </c>
      <c r="D645" s="178" t="s">
        <v>4536</v>
      </c>
      <c r="E645" s="178" t="s">
        <v>5017</v>
      </c>
      <c r="F645" s="179" t="s">
        <v>4502</v>
      </c>
      <c r="G645" s="684">
        <v>0</v>
      </c>
    </row>
    <row r="646" spans="1:7">
      <c r="A646" t="s">
        <v>5153</v>
      </c>
      <c r="B646" s="177" t="s">
        <v>5154</v>
      </c>
      <c r="C646" s="177" t="s">
        <v>5155</v>
      </c>
      <c r="D646" s="178" t="s">
        <v>4536</v>
      </c>
      <c r="E646" s="178" t="s">
        <v>5017</v>
      </c>
      <c r="F646" s="179" t="s">
        <v>4502</v>
      </c>
      <c r="G646" s="684">
        <v>0</v>
      </c>
    </row>
    <row r="647" spans="1:7">
      <c r="A647" t="s">
        <v>5156</v>
      </c>
      <c r="B647" s="177" t="s">
        <v>5157</v>
      </c>
      <c r="C647" s="177" t="s">
        <v>5158</v>
      </c>
      <c r="D647" s="178" t="s">
        <v>4536</v>
      </c>
      <c r="E647" s="178" t="s">
        <v>5017</v>
      </c>
      <c r="F647" s="179" t="s">
        <v>4502</v>
      </c>
      <c r="G647" s="684">
        <v>0</v>
      </c>
    </row>
    <row r="648" spans="1:7">
      <c r="A648" t="s">
        <v>5159</v>
      </c>
      <c r="B648" s="177" t="s">
        <v>5160</v>
      </c>
      <c r="C648" s="177" t="s">
        <v>5161</v>
      </c>
      <c r="D648" s="178" t="s">
        <v>4536</v>
      </c>
      <c r="E648" s="178" t="s">
        <v>5017</v>
      </c>
      <c r="F648" s="179" t="s">
        <v>4502</v>
      </c>
      <c r="G648" s="684">
        <v>0</v>
      </c>
    </row>
    <row r="649" spans="1:7">
      <c r="A649" t="s">
        <v>5162</v>
      </c>
      <c r="B649" s="177" t="s">
        <v>5163</v>
      </c>
      <c r="C649" s="177" t="s">
        <v>5164</v>
      </c>
      <c r="D649" s="178" t="s">
        <v>4536</v>
      </c>
      <c r="E649" s="178" t="s">
        <v>5017</v>
      </c>
      <c r="F649" s="179" t="s">
        <v>4502</v>
      </c>
      <c r="G649" s="684">
        <v>0</v>
      </c>
    </row>
    <row r="650" spans="1:7">
      <c r="A650" t="s">
        <v>5165</v>
      </c>
      <c r="B650" s="177" t="s">
        <v>5166</v>
      </c>
      <c r="C650" s="177" t="s">
        <v>5167</v>
      </c>
      <c r="D650" s="178" t="s">
        <v>4536</v>
      </c>
      <c r="E650" s="178" t="s">
        <v>5017</v>
      </c>
      <c r="F650" s="179" t="s">
        <v>4502</v>
      </c>
      <c r="G650" s="684">
        <v>0</v>
      </c>
    </row>
    <row r="651" spans="1:7">
      <c r="A651" t="s">
        <v>5168</v>
      </c>
      <c r="B651" s="177" t="s">
        <v>5169</v>
      </c>
      <c r="C651" s="177" t="s">
        <v>5170</v>
      </c>
      <c r="D651" s="178" t="s">
        <v>4536</v>
      </c>
      <c r="E651" s="178" t="s">
        <v>5017</v>
      </c>
      <c r="F651" s="179" t="s">
        <v>4502</v>
      </c>
      <c r="G651" s="684">
        <v>0</v>
      </c>
    </row>
    <row r="652" spans="1:7">
      <c r="A652" t="s">
        <v>5171</v>
      </c>
      <c r="B652" s="177" t="s">
        <v>5172</v>
      </c>
      <c r="C652" s="177" t="s">
        <v>5173</v>
      </c>
      <c r="D652" s="178" t="s">
        <v>4536</v>
      </c>
      <c r="E652" s="178" t="s">
        <v>5017</v>
      </c>
      <c r="F652" s="179" t="s">
        <v>4502</v>
      </c>
      <c r="G652" s="684">
        <v>0</v>
      </c>
    </row>
    <row r="653" spans="1:7">
      <c r="A653" t="s">
        <v>5174</v>
      </c>
      <c r="B653" s="171" t="s">
        <v>5175</v>
      </c>
      <c r="C653" s="171" t="s">
        <v>5176</v>
      </c>
      <c r="D653" s="172" t="s">
        <v>4536</v>
      </c>
      <c r="E653" s="172" t="s">
        <v>5017</v>
      </c>
      <c r="F653" s="173" t="s">
        <v>4502</v>
      </c>
      <c r="G653" s="685">
        <v>0</v>
      </c>
    </row>
    <row r="654" spans="1:7">
      <c r="A654" t="s">
        <v>5177</v>
      </c>
      <c r="B654" s="177" t="s">
        <v>5178</v>
      </c>
      <c r="C654" s="177" t="s">
        <v>5179</v>
      </c>
      <c r="D654" s="178" t="s">
        <v>4536</v>
      </c>
      <c r="E654" s="178" t="s">
        <v>5017</v>
      </c>
      <c r="F654" s="179" t="s">
        <v>4502</v>
      </c>
      <c r="G654" s="684">
        <v>0</v>
      </c>
    </row>
    <row r="655" spans="1:7">
      <c r="A655" t="s">
        <v>5180</v>
      </c>
      <c r="B655" s="177" t="s">
        <v>5181</v>
      </c>
      <c r="C655" s="177" t="s">
        <v>5182</v>
      </c>
      <c r="D655" s="178" t="s">
        <v>4536</v>
      </c>
      <c r="E655" s="178" t="s">
        <v>5017</v>
      </c>
      <c r="F655" s="179" t="s">
        <v>4502</v>
      </c>
      <c r="G655" s="684">
        <v>0</v>
      </c>
    </row>
    <row r="656" spans="1:7">
      <c r="A656" t="s">
        <v>5183</v>
      </c>
      <c r="B656" s="177" t="s">
        <v>5184</v>
      </c>
      <c r="C656" s="177" t="s">
        <v>5185</v>
      </c>
      <c r="D656" s="178" t="s">
        <v>4536</v>
      </c>
      <c r="E656" s="178" t="s">
        <v>5017</v>
      </c>
      <c r="F656" s="179" t="s">
        <v>4502</v>
      </c>
      <c r="G656" s="684">
        <v>0</v>
      </c>
    </row>
    <row r="657" spans="1:7">
      <c r="A657" t="s">
        <v>5186</v>
      </c>
      <c r="B657" s="177" t="s">
        <v>5187</v>
      </c>
      <c r="C657" s="177" t="s">
        <v>5188</v>
      </c>
      <c r="D657" s="178" t="s">
        <v>4536</v>
      </c>
      <c r="E657" s="178" t="s">
        <v>5017</v>
      </c>
      <c r="F657" s="179" t="s">
        <v>4502</v>
      </c>
      <c r="G657" s="684">
        <v>0</v>
      </c>
    </row>
    <row r="658" spans="1:7">
      <c r="A658" t="s">
        <v>5189</v>
      </c>
      <c r="B658" s="177" t="s">
        <v>5190</v>
      </c>
      <c r="C658" s="177" t="s">
        <v>5191</v>
      </c>
      <c r="D658" s="178" t="s">
        <v>4536</v>
      </c>
      <c r="E658" s="178" t="s">
        <v>5017</v>
      </c>
      <c r="F658" s="179" t="s">
        <v>4502</v>
      </c>
      <c r="G658" s="684">
        <v>0</v>
      </c>
    </row>
    <row r="659" spans="1:7">
      <c r="A659" t="s">
        <v>5192</v>
      </c>
      <c r="B659" s="177" t="s">
        <v>5193</v>
      </c>
      <c r="C659" s="177" t="s">
        <v>5194</v>
      </c>
      <c r="D659" s="178" t="s">
        <v>4536</v>
      </c>
      <c r="E659" s="178" t="s">
        <v>5017</v>
      </c>
      <c r="F659" s="179" t="s">
        <v>4502</v>
      </c>
      <c r="G659" s="684">
        <v>0</v>
      </c>
    </row>
    <row r="660" spans="1:7">
      <c r="A660" t="s">
        <v>5195</v>
      </c>
      <c r="B660" s="177" t="s">
        <v>5196</v>
      </c>
      <c r="C660" s="177" t="s">
        <v>5197</v>
      </c>
      <c r="D660" s="178" t="s">
        <v>4536</v>
      </c>
      <c r="E660" s="178" t="s">
        <v>5017</v>
      </c>
      <c r="F660" s="179" t="s">
        <v>4502</v>
      </c>
      <c r="G660" s="684">
        <v>0</v>
      </c>
    </row>
    <row r="661" spans="1:7">
      <c r="A661" t="s">
        <v>5198</v>
      </c>
      <c r="B661" s="177" t="s">
        <v>5199</v>
      </c>
      <c r="C661" s="177" t="s">
        <v>5200</v>
      </c>
      <c r="D661" s="178" t="s">
        <v>4536</v>
      </c>
      <c r="E661" s="178" t="s">
        <v>5017</v>
      </c>
      <c r="F661" s="179" t="s">
        <v>4502</v>
      </c>
      <c r="G661" s="684">
        <v>0</v>
      </c>
    </row>
    <row r="662" spans="1:7">
      <c r="A662" t="s">
        <v>5201</v>
      </c>
      <c r="B662" s="177" t="s">
        <v>5202</v>
      </c>
      <c r="C662" s="177" t="s">
        <v>5203</v>
      </c>
      <c r="D662" s="178" t="s">
        <v>4536</v>
      </c>
      <c r="E662" s="178" t="s">
        <v>5017</v>
      </c>
      <c r="F662" s="179" t="s">
        <v>4502</v>
      </c>
      <c r="G662" s="684">
        <v>0</v>
      </c>
    </row>
    <row r="663" spans="1:7">
      <c r="A663" t="s">
        <v>5204</v>
      </c>
      <c r="B663" s="177" t="s">
        <v>5205</v>
      </c>
      <c r="C663" s="177" t="s">
        <v>5206</v>
      </c>
      <c r="D663" s="178" t="s">
        <v>4536</v>
      </c>
      <c r="E663" s="178" t="s">
        <v>5017</v>
      </c>
      <c r="F663" s="179" t="s">
        <v>4502</v>
      </c>
      <c r="G663" s="684">
        <v>0</v>
      </c>
    </row>
    <row r="664" spans="1:7">
      <c r="A664" t="s">
        <v>5207</v>
      </c>
      <c r="B664" s="177" t="s">
        <v>5208</v>
      </c>
      <c r="C664" s="177" t="s">
        <v>5209</v>
      </c>
      <c r="D664" s="178" t="s">
        <v>4536</v>
      </c>
      <c r="E664" s="178" t="s">
        <v>5017</v>
      </c>
      <c r="F664" s="179" t="s">
        <v>4502</v>
      </c>
      <c r="G664" s="684">
        <v>0</v>
      </c>
    </row>
    <row r="665" spans="1:7">
      <c r="A665" t="s">
        <v>5210</v>
      </c>
      <c r="B665" s="177" t="s">
        <v>5211</v>
      </c>
      <c r="C665" s="177" t="s">
        <v>5212</v>
      </c>
      <c r="D665" s="178" t="s">
        <v>4536</v>
      </c>
      <c r="E665" s="178" t="s">
        <v>5017</v>
      </c>
      <c r="F665" s="179" t="s">
        <v>4502</v>
      </c>
      <c r="G665" s="684">
        <v>0</v>
      </c>
    </row>
    <row r="666" spans="1:7">
      <c r="A666" t="s">
        <v>5213</v>
      </c>
      <c r="B666" s="177" t="s">
        <v>5214</v>
      </c>
      <c r="C666" s="177" t="s">
        <v>5215</v>
      </c>
      <c r="D666" s="178" t="s">
        <v>4536</v>
      </c>
      <c r="E666" s="178" t="s">
        <v>5017</v>
      </c>
      <c r="F666" s="179" t="s">
        <v>4502</v>
      </c>
      <c r="G666" s="684">
        <v>0</v>
      </c>
    </row>
    <row r="667" spans="1:7">
      <c r="A667" t="s">
        <v>5216</v>
      </c>
      <c r="B667" s="177" t="s">
        <v>5217</v>
      </c>
      <c r="C667" s="177" t="s">
        <v>5218</v>
      </c>
      <c r="D667" s="178" t="s">
        <v>4536</v>
      </c>
      <c r="E667" s="178" t="s">
        <v>5017</v>
      </c>
      <c r="F667" s="179" t="s">
        <v>4502</v>
      </c>
      <c r="G667" s="684">
        <v>0</v>
      </c>
    </row>
    <row r="668" spans="1:7">
      <c r="A668" t="s">
        <v>5219</v>
      </c>
      <c r="B668" s="177" t="s">
        <v>5220</v>
      </c>
      <c r="C668" s="177" t="s">
        <v>5221</v>
      </c>
      <c r="D668" s="178" t="s">
        <v>4536</v>
      </c>
      <c r="E668" s="178" t="s">
        <v>5017</v>
      </c>
      <c r="F668" s="179" t="s">
        <v>4502</v>
      </c>
      <c r="G668" s="684">
        <v>0</v>
      </c>
    </row>
    <row r="669" spans="1:7">
      <c r="A669" t="s">
        <v>5222</v>
      </c>
      <c r="B669" s="177" t="s">
        <v>5223</v>
      </c>
      <c r="C669" s="177" t="s">
        <v>5224</v>
      </c>
      <c r="D669" s="178" t="s">
        <v>4536</v>
      </c>
      <c r="E669" s="178" t="s">
        <v>5017</v>
      </c>
      <c r="F669" s="179" t="s">
        <v>4502</v>
      </c>
      <c r="G669" s="684">
        <v>0</v>
      </c>
    </row>
    <row r="670" spans="1:7">
      <c r="A670" t="s">
        <v>5225</v>
      </c>
      <c r="B670" s="177" t="s">
        <v>5226</v>
      </c>
      <c r="C670" s="177" t="s">
        <v>5227</v>
      </c>
      <c r="D670" s="178" t="s">
        <v>4536</v>
      </c>
      <c r="E670" s="178" t="s">
        <v>5017</v>
      </c>
      <c r="F670" s="179" t="s">
        <v>4502</v>
      </c>
      <c r="G670" s="684">
        <v>0</v>
      </c>
    </row>
    <row r="671" spans="1:7">
      <c r="A671" t="s">
        <v>5228</v>
      </c>
      <c r="B671" s="177" t="s">
        <v>5229</v>
      </c>
      <c r="C671" s="177" t="s">
        <v>5230</v>
      </c>
      <c r="D671" s="178" t="s">
        <v>4536</v>
      </c>
      <c r="E671" s="178" t="s">
        <v>5017</v>
      </c>
      <c r="F671" s="179" t="s">
        <v>4502</v>
      </c>
      <c r="G671" s="684">
        <v>0</v>
      </c>
    </row>
    <row r="672" spans="1:7">
      <c r="A672" t="s">
        <v>5231</v>
      </c>
      <c r="B672" s="177" t="s">
        <v>5232</v>
      </c>
      <c r="C672" s="177" t="s">
        <v>5233</v>
      </c>
      <c r="D672" s="178" t="s">
        <v>4536</v>
      </c>
      <c r="E672" s="178" t="s">
        <v>5017</v>
      </c>
      <c r="F672" s="179" t="s">
        <v>4502</v>
      </c>
      <c r="G672" s="684">
        <v>0</v>
      </c>
    </row>
    <row r="673" spans="1:7">
      <c r="A673" t="s">
        <v>5234</v>
      </c>
      <c r="B673" s="177" t="s">
        <v>5235</v>
      </c>
      <c r="C673" s="177" t="s">
        <v>5236</v>
      </c>
      <c r="D673" s="178" t="s">
        <v>4536</v>
      </c>
      <c r="E673" s="178" t="s">
        <v>5017</v>
      </c>
      <c r="F673" s="179" t="s">
        <v>4502</v>
      </c>
      <c r="G673" s="684">
        <v>0</v>
      </c>
    </row>
    <row r="674" spans="1:7">
      <c r="A674" t="s">
        <v>5237</v>
      </c>
      <c r="B674" s="177" t="s">
        <v>5238</v>
      </c>
      <c r="C674" s="177" t="s">
        <v>5239</v>
      </c>
      <c r="D674" s="178" t="s">
        <v>4536</v>
      </c>
      <c r="E674" s="178" t="s">
        <v>5017</v>
      </c>
      <c r="F674" s="179" t="s">
        <v>4502</v>
      </c>
      <c r="G674" s="684">
        <v>0</v>
      </c>
    </row>
    <row r="675" spans="1:7">
      <c r="A675" t="s">
        <v>5240</v>
      </c>
      <c r="B675" s="177" t="s">
        <v>5241</v>
      </c>
      <c r="C675" s="177" t="s">
        <v>5242</v>
      </c>
      <c r="D675" s="178" t="s">
        <v>4536</v>
      </c>
      <c r="E675" s="178" t="s">
        <v>5017</v>
      </c>
      <c r="F675" s="179" t="s">
        <v>4502</v>
      </c>
      <c r="G675" s="684">
        <v>0</v>
      </c>
    </row>
    <row r="676" spans="1:7">
      <c r="A676" t="s">
        <v>5243</v>
      </c>
      <c r="B676" s="177" t="s">
        <v>5244</v>
      </c>
      <c r="C676" s="177" t="s">
        <v>5245</v>
      </c>
      <c r="D676" s="178" t="s">
        <v>4536</v>
      </c>
      <c r="E676" s="178" t="s">
        <v>5017</v>
      </c>
      <c r="F676" s="179" t="s">
        <v>4502</v>
      </c>
      <c r="G676" s="684">
        <v>0</v>
      </c>
    </row>
    <row r="677" spans="1:7">
      <c r="A677" t="s">
        <v>5246</v>
      </c>
      <c r="B677" s="177" t="s">
        <v>5247</v>
      </c>
      <c r="C677" s="177" t="s">
        <v>5248</v>
      </c>
      <c r="D677" s="178" t="s">
        <v>4536</v>
      </c>
      <c r="E677" s="178" t="s">
        <v>5017</v>
      </c>
      <c r="F677" s="179" t="s">
        <v>4502</v>
      </c>
      <c r="G677" s="684">
        <v>0</v>
      </c>
    </row>
    <row r="678" spans="1:7">
      <c r="A678" t="s">
        <v>5249</v>
      </c>
      <c r="B678" s="177" t="s">
        <v>5250</v>
      </c>
      <c r="C678" s="177" t="s">
        <v>5251</v>
      </c>
      <c r="D678" s="178" t="s">
        <v>4536</v>
      </c>
      <c r="E678" s="178" t="s">
        <v>5017</v>
      </c>
      <c r="F678" s="179" t="s">
        <v>4502</v>
      </c>
      <c r="G678" s="684">
        <v>0</v>
      </c>
    </row>
    <row r="679" spans="1:7">
      <c r="A679" t="s">
        <v>5252</v>
      </c>
      <c r="B679" s="177" t="s">
        <v>5253</v>
      </c>
      <c r="C679" s="177" t="s">
        <v>5254</v>
      </c>
      <c r="D679" s="178" t="s">
        <v>4536</v>
      </c>
      <c r="E679" s="178" t="s">
        <v>5017</v>
      </c>
      <c r="F679" s="179" t="s">
        <v>4502</v>
      </c>
      <c r="G679" s="684">
        <v>0</v>
      </c>
    </row>
    <row r="680" spans="1:7">
      <c r="A680" t="s">
        <v>5255</v>
      </c>
      <c r="B680" s="177" t="s">
        <v>5256</v>
      </c>
      <c r="C680" s="177" t="s">
        <v>5257</v>
      </c>
      <c r="D680" s="178" t="s">
        <v>4536</v>
      </c>
      <c r="E680" s="178" t="s">
        <v>5017</v>
      </c>
      <c r="F680" s="179" t="s">
        <v>4502</v>
      </c>
      <c r="G680" s="684">
        <v>0</v>
      </c>
    </row>
    <row r="681" spans="1:7">
      <c r="A681" t="s">
        <v>5258</v>
      </c>
      <c r="B681" s="177" t="s">
        <v>5259</v>
      </c>
      <c r="C681" s="177" t="s">
        <v>5260</v>
      </c>
      <c r="D681" s="178" t="s">
        <v>4536</v>
      </c>
      <c r="E681" s="178" t="s">
        <v>5017</v>
      </c>
      <c r="F681" s="179" t="s">
        <v>4502</v>
      </c>
      <c r="G681" s="684">
        <v>0</v>
      </c>
    </row>
    <row r="682" spans="1:7">
      <c r="A682" t="s">
        <v>5261</v>
      </c>
      <c r="B682" s="177" t="s">
        <v>5262</v>
      </c>
      <c r="C682" s="177" t="s">
        <v>5263</v>
      </c>
      <c r="D682" s="178" t="s">
        <v>4536</v>
      </c>
      <c r="E682" s="178" t="s">
        <v>5017</v>
      </c>
      <c r="F682" s="179" t="s">
        <v>4502</v>
      </c>
      <c r="G682" s="684">
        <v>0</v>
      </c>
    </row>
    <row r="683" spans="1:7">
      <c r="A683" t="s">
        <v>5264</v>
      </c>
      <c r="B683" s="177" t="s">
        <v>5265</v>
      </c>
      <c r="C683" s="177" t="s">
        <v>5266</v>
      </c>
      <c r="D683" s="178" t="s">
        <v>4536</v>
      </c>
      <c r="E683" s="178" t="s">
        <v>5017</v>
      </c>
      <c r="F683" s="179" t="s">
        <v>4502</v>
      </c>
      <c r="G683" s="684">
        <v>0</v>
      </c>
    </row>
    <row r="684" spans="1:7">
      <c r="A684" t="s">
        <v>5267</v>
      </c>
      <c r="B684" s="177" t="s">
        <v>5268</v>
      </c>
      <c r="C684" s="177" t="s">
        <v>5269</v>
      </c>
      <c r="D684" s="178" t="s">
        <v>4536</v>
      </c>
      <c r="E684" s="178" t="s">
        <v>5017</v>
      </c>
      <c r="F684" s="179" t="s">
        <v>4502</v>
      </c>
      <c r="G684" s="684">
        <v>0</v>
      </c>
    </row>
    <row r="685" spans="1:7">
      <c r="A685" t="s">
        <v>5270</v>
      </c>
      <c r="B685" s="171" t="s">
        <v>5271</v>
      </c>
      <c r="C685" s="171" t="s">
        <v>5272</v>
      </c>
      <c r="D685" s="172" t="s">
        <v>4536</v>
      </c>
      <c r="E685" s="172" t="s">
        <v>5017</v>
      </c>
      <c r="F685" s="173" t="s">
        <v>4502</v>
      </c>
      <c r="G685" s="685">
        <v>0</v>
      </c>
    </row>
    <row r="686" spans="1:7">
      <c r="A686" t="s">
        <v>5273</v>
      </c>
      <c r="B686" s="177" t="s">
        <v>5274</v>
      </c>
      <c r="C686" s="177" t="s">
        <v>5275</v>
      </c>
      <c r="D686" s="178" t="s">
        <v>4536</v>
      </c>
      <c r="E686" s="178" t="s">
        <v>5017</v>
      </c>
      <c r="F686" s="179" t="s">
        <v>4502</v>
      </c>
      <c r="G686" s="684">
        <v>0</v>
      </c>
    </row>
    <row r="687" spans="1:7">
      <c r="A687" t="s">
        <v>5276</v>
      </c>
      <c r="B687" s="177" t="s">
        <v>5277</v>
      </c>
      <c r="C687" s="177" t="s">
        <v>5278</v>
      </c>
      <c r="D687" s="178" t="s">
        <v>4536</v>
      </c>
      <c r="E687" s="178" t="s">
        <v>5017</v>
      </c>
      <c r="F687" s="179" t="s">
        <v>4502</v>
      </c>
      <c r="G687" s="684">
        <v>0</v>
      </c>
    </row>
    <row r="688" spans="1:7">
      <c r="A688" t="s">
        <v>5279</v>
      </c>
      <c r="B688" s="177" t="s">
        <v>5280</v>
      </c>
      <c r="C688" s="177" t="s">
        <v>5281</v>
      </c>
      <c r="D688" s="178" t="s">
        <v>4536</v>
      </c>
      <c r="E688" s="178" t="s">
        <v>5017</v>
      </c>
      <c r="F688" s="179" t="s">
        <v>4502</v>
      </c>
      <c r="G688" s="684">
        <v>0</v>
      </c>
    </row>
    <row r="689" spans="1:7">
      <c r="A689" t="s">
        <v>5282</v>
      </c>
      <c r="B689" s="177" t="s">
        <v>5283</v>
      </c>
      <c r="C689" s="177" t="s">
        <v>5284</v>
      </c>
      <c r="D689" s="178" t="s">
        <v>4536</v>
      </c>
      <c r="E689" s="178" t="s">
        <v>5017</v>
      </c>
      <c r="F689" s="179" t="s">
        <v>4502</v>
      </c>
      <c r="G689" s="684">
        <v>0</v>
      </c>
    </row>
    <row r="690" spans="1:7">
      <c r="A690" t="s">
        <v>5285</v>
      </c>
      <c r="B690" s="177" t="s">
        <v>5286</v>
      </c>
      <c r="C690" s="177" t="s">
        <v>5287</v>
      </c>
      <c r="D690" s="178" t="s">
        <v>4536</v>
      </c>
      <c r="E690" s="178" t="s">
        <v>5017</v>
      </c>
      <c r="F690" s="179" t="s">
        <v>4502</v>
      </c>
      <c r="G690" s="684">
        <v>0</v>
      </c>
    </row>
    <row r="691" spans="1:7">
      <c r="A691" t="s">
        <v>5288</v>
      </c>
      <c r="B691" s="177" t="s">
        <v>5289</v>
      </c>
      <c r="C691" s="177" t="s">
        <v>5290</v>
      </c>
      <c r="D691" s="178" t="s">
        <v>4536</v>
      </c>
      <c r="E691" s="178" t="s">
        <v>5017</v>
      </c>
      <c r="F691" s="179" t="s">
        <v>4502</v>
      </c>
      <c r="G691" s="684">
        <v>0</v>
      </c>
    </row>
    <row r="692" spans="1:7">
      <c r="A692" t="s">
        <v>5291</v>
      </c>
      <c r="B692" s="177" t="s">
        <v>5292</v>
      </c>
      <c r="C692" s="177" t="s">
        <v>5293</v>
      </c>
      <c r="D692" s="178" t="s">
        <v>4536</v>
      </c>
      <c r="E692" s="178" t="s">
        <v>5017</v>
      </c>
      <c r="F692" s="179" t="s">
        <v>4502</v>
      </c>
      <c r="G692" s="684">
        <v>0</v>
      </c>
    </row>
    <row r="693" spans="1:7">
      <c r="A693" t="s">
        <v>5294</v>
      </c>
      <c r="B693" s="177" t="s">
        <v>5295</v>
      </c>
      <c r="C693" s="177" t="s">
        <v>5296</v>
      </c>
      <c r="D693" s="178" t="s">
        <v>4536</v>
      </c>
      <c r="E693" s="178" t="s">
        <v>5017</v>
      </c>
      <c r="F693" s="179" t="s">
        <v>4502</v>
      </c>
      <c r="G693" s="684">
        <v>0</v>
      </c>
    </row>
    <row r="694" spans="1:7">
      <c r="A694" t="s">
        <v>5297</v>
      </c>
      <c r="B694" s="177" t="s">
        <v>5298</v>
      </c>
      <c r="C694" s="177" t="s">
        <v>5299</v>
      </c>
      <c r="D694" s="178" t="s">
        <v>4536</v>
      </c>
      <c r="E694" s="178" t="s">
        <v>5017</v>
      </c>
      <c r="F694" s="179" t="s">
        <v>4502</v>
      </c>
      <c r="G694" s="684">
        <v>0</v>
      </c>
    </row>
    <row r="695" spans="1:7">
      <c r="A695" t="s">
        <v>5300</v>
      </c>
      <c r="B695" s="177" t="s">
        <v>5301</v>
      </c>
      <c r="C695" s="177" t="s">
        <v>5302</v>
      </c>
      <c r="D695" s="178" t="s">
        <v>4536</v>
      </c>
      <c r="E695" s="178" t="s">
        <v>5017</v>
      </c>
      <c r="F695" s="179" t="s">
        <v>4502</v>
      </c>
      <c r="G695" s="684">
        <v>0</v>
      </c>
    </row>
    <row r="696" spans="1:7">
      <c r="A696" t="s">
        <v>5303</v>
      </c>
      <c r="B696" s="177" t="s">
        <v>5304</v>
      </c>
      <c r="C696" s="177" t="s">
        <v>5305</v>
      </c>
      <c r="D696" s="178" t="s">
        <v>4536</v>
      </c>
      <c r="E696" s="178" t="s">
        <v>5017</v>
      </c>
      <c r="F696" s="179" t="s">
        <v>4502</v>
      </c>
      <c r="G696" s="684">
        <v>0</v>
      </c>
    </row>
    <row r="697" spans="1:7">
      <c r="A697" t="s">
        <v>5306</v>
      </c>
      <c r="B697" s="177" t="s">
        <v>5307</v>
      </c>
      <c r="C697" s="177" t="s">
        <v>5308</v>
      </c>
      <c r="D697" s="178" t="s">
        <v>4536</v>
      </c>
      <c r="E697" s="178" t="s">
        <v>5017</v>
      </c>
      <c r="F697" s="179" t="s">
        <v>4502</v>
      </c>
      <c r="G697" s="684">
        <v>0</v>
      </c>
    </row>
    <row r="698" spans="1:7">
      <c r="A698" t="s">
        <v>5309</v>
      </c>
      <c r="B698" s="177" t="s">
        <v>5310</v>
      </c>
      <c r="C698" s="177" t="s">
        <v>5311</v>
      </c>
      <c r="D698" s="178" t="s">
        <v>4536</v>
      </c>
      <c r="E698" s="178" t="s">
        <v>5017</v>
      </c>
      <c r="F698" s="179" t="s">
        <v>4502</v>
      </c>
      <c r="G698" s="684">
        <v>0</v>
      </c>
    </row>
    <row r="699" spans="1:7">
      <c r="A699" t="s">
        <v>5312</v>
      </c>
      <c r="B699" s="177" t="s">
        <v>5313</v>
      </c>
      <c r="C699" s="177" t="s">
        <v>5314</v>
      </c>
      <c r="D699" s="178" t="s">
        <v>4536</v>
      </c>
      <c r="E699" s="178" t="s">
        <v>5017</v>
      </c>
      <c r="F699" s="179" t="s">
        <v>4502</v>
      </c>
      <c r="G699" s="684">
        <v>0</v>
      </c>
    </row>
    <row r="700" spans="1:7">
      <c r="A700" t="s">
        <v>5315</v>
      </c>
      <c r="B700" s="177" t="s">
        <v>5316</v>
      </c>
      <c r="C700" s="177" t="s">
        <v>5317</v>
      </c>
      <c r="D700" s="178" t="s">
        <v>4536</v>
      </c>
      <c r="E700" s="178" t="s">
        <v>5017</v>
      </c>
      <c r="F700" s="179" t="s">
        <v>4502</v>
      </c>
      <c r="G700" s="684">
        <v>0</v>
      </c>
    </row>
    <row r="701" spans="1:7">
      <c r="A701" t="s">
        <v>5318</v>
      </c>
      <c r="B701" s="177" t="s">
        <v>5319</v>
      </c>
      <c r="C701" s="177" t="s">
        <v>5320</v>
      </c>
      <c r="D701" s="178" t="s">
        <v>4536</v>
      </c>
      <c r="E701" s="178" t="s">
        <v>5017</v>
      </c>
      <c r="F701" s="179" t="s">
        <v>4502</v>
      </c>
      <c r="G701" s="684">
        <v>0</v>
      </c>
    </row>
    <row r="702" spans="1:7">
      <c r="A702" t="s">
        <v>5321</v>
      </c>
      <c r="B702" s="177" t="s">
        <v>5322</v>
      </c>
      <c r="C702" s="177" t="s">
        <v>5323</v>
      </c>
      <c r="D702" s="178" t="s">
        <v>4536</v>
      </c>
      <c r="E702" s="178" t="s">
        <v>5017</v>
      </c>
      <c r="F702" s="179" t="s">
        <v>4502</v>
      </c>
      <c r="G702" s="684">
        <v>0</v>
      </c>
    </row>
    <row r="703" spans="1:7">
      <c r="A703" t="s">
        <v>5324</v>
      </c>
      <c r="B703" s="177" t="s">
        <v>5325</v>
      </c>
      <c r="C703" s="177" t="s">
        <v>5326</v>
      </c>
      <c r="D703" s="178" t="s">
        <v>4536</v>
      </c>
      <c r="E703" s="178" t="s">
        <v>5017</v>
      </c>
      <c r="F703" s="179" t="s">
        <v>4502</v>
      </c>
      <c r="G703" s="684">
        <v>0</v>
      </c>
    </row>
    <row r="704" spans="1:7">
      <c r="A704" t="s">
        <v>5327</v>
      </c>
      <c r="B704" s="177" t="s">
        <v>5328</v>
      </c>
      <c r="C704" s="177" t="s">
        <v>5329</v>
      </c>
      <c r="D704" s="178" t="s">
        <v>4536</v>
      </c>
      <c r="E704" s="178" t="s">
        <v>5017</v>
      </c>
      <c r="F704" s="179" t="s">
        <v>4502</v>
      </c>
      <c r="G704" s="684">
        <v>0</v>
      </c>
    </row>
    <row r="705" spans="1:7">
      <c r="A705" t="s">
        <v>5330</v>
      </c>
      <c r="B705" s="177" t="s">
        <v>5331</v>
      </c>
      <c r="C705" s="177" t="s">
        <v>5332</v>
      </c>
      <c r="D705" s="178" t="s">
        <v>4536</v>
      </c>
      <c r="E705" s="178" t="s">
        <v>5017</v>
      </c>
      <c r="F705" s="179" t="s">
        <v>4502</v>
      </c>
      <c r="G705" s="684">
        <v>0</v>
      </c>
    </row>
    <row r="706" spans="1:7">
      <c r="A706" t="s">
        <v>5333</v>
      </c>
      <c r="B706" s="177" t="s">
        <v>5334</v>
      </c>
      <c r="C706" s="177" t="s">
        <v>5335</v>
      </c>
      <c r="D706" s="178" t="s">
        <v>4536</v>
      </c>
      <c r="E706" s="178" t="s">
        <v>5017</v>
      </c>
      <c r="F706" s="179" t="s">
        <v>4502</v>
      </c>
      <c r="G706" s="684">
        <v>0</v>
      </c>
    </row>
    <row r="707" spans="1:7">
      <c r="A707" t="s">
        <v>5336</v>
      </c>
      <c r="B707" s="177" t="s">
        <v>5337</v>
      </c>
      <c r="C707" s="177" t="s">
        <v>5338</v>
      </c>
      <c r="D707" s="178" t="s">
        <v>4536</v>
      </c>
      <c r="E707" s="178" t="s">
        <v>5017</v>
      </c>
      <c r="F707" s="179" t="s">
        <v>4502</v>
      </c>
      <c r="G707" s="684">
        <v>0</v>
      </c>
    </row>
    <row r="708" spans="1:7">
      <c r="A708" t="s">
        <v>5339</v>
      </c>
      <c r="B708" s="177" t="s">
        <v>5340</v>
      </c>
      <c r="C708" s="177" t="s">
        <v>5341</v>
      </c>
      <c r="D708" s="178" t="s">
        <v>4536</v>
      </c>
      <c r="E708" s="178" t="s">
        <v>5017</v>
      </c>
      <c r="F708" s="179" t="s">
        <v>4502</v>
      </c>
      <c r="G708" s="684">
        <v>0</v>
      </c>
    </row>
    <row r="709" spans="1:7">
      <c r="A709" t="s">
        <v>5342</v>
      </c>
      <c r="B709" s="177" t="s">
        <v>5343</v>
      </c>
      <c r="C709" s="177" t="s">
        <v>5344</v>
      </c>
      <c r="D709" s="178" t="s">
        <v>4536</v>
      </c>
      <c r="E709" s="178" t="s">
        <v>5017</v>
      </c>
      <c r="F709" s="179" t="s">
        <v>4502</v>
      </c>
      <c r="G709" s="684">
        <v>0</v>
      </c>
    </row>
    <row r="710" spans="1:7">
      <c r="A710" t="s">
        <v>5345</v>
      </c>
      <c r="B710" s="177" t="s">
        <v>5346</v>
      </c>
      <c r="C710" s="177" t="s">
        <v>5347</v>
      </c>
      <c r="D710" s="178" t="s">
        <v>4536</v>
      </c>
      <c r="E710" s="178" t="s">
        <v>5017</v>
      </c>
      <c r="F710" s="179" t="s">
        <v>4502</v>
      </c>
      <c r="G710" s="684">
        <v>0</v>
      </c>
    </row>
    <row r="711" spans="1:7">
      <c r="A711" t="s">
        <v>5348</v>
      </c>
      <c r="B711" s="177" t="s">
        <v>5349</v>
      </c>
      <c r="C711" s="177" t="s">
        <v>5350</v>
      </c>
      <c r="D711" s="178" t="s">
        <v>4536</v>
      </c>
      <c r="E711" s="178" t="s">
        <v>5017</v>
      </c>
      <c r="F711" s="179" t="s">
        <v>4502</v>
      </c>
      <c r="G711" s="684">
        <v>0</v>
      </c>
    </row>
    <row r="712" spans="1:7">
      <c r="A712" t="s">
        <v>5351</v>
      </c>
      <c r="B712" s="177" t="s">
        <v>5352</v>
      </c>
      <c r="C712" s="177" t="s">
        <v>5353</v>
      </c>
      <c r="D712" s="178" t="s">
        <v>4536</v>
      </c>
      <c r="E712" s="178" t="s">
        <v>5017</v>
      </c>
      <c r="F712" s="179" t="s">
        <v>4502</v>
      </c>
      <c r="G712" s="684">
        <v>0</v>
      </c>
    </row>
    <row r="713" spans="1:7">
      <c r="A713" t="s">
        <v>5354</v>
      </c>
      <c r="B713" s="177" t="s">
        <v>5355</v>
      </c>
      <c r="C713" s="177" t="s">
        <v>5356</v>
      </c>
      <c r="D713" s="178" t="s">
        <v>4536</v>
      </c>
      <c r="E713" s="178" t="s">
        <v>5017</v>
      </c>
      <c r="F713" s="179" t="s">
        <v>4502</v>
      </c>
      <c r="G713" s="684">
        <v>0</v>
      </c>
    </row>
    <row r="714" spans="1:7">
      <c r="A714" t="s">
        <v>5357</v>
      </c>
      <c r="B714" s="177" t="s">
        <v>5358</v>
      </c>
      <c r="C714" s="177" t="s">
        <v>5359</v>
      </c>
      <c r="D714" s="178" t="s">
        <v>4536</v>
      </c>
      <c r="E714" s="178" t="s">
        <v>5017</v>
      </c>
      <c r="F714" s="179" t="s">
        <v>4502</v>
      </c>
      <c r="G714" s="684">
        <v>0</v>
      </c>
    </row>
    <row r="715" spans="1:7">
      <c r="A715" t="s">
        <v>5360</v>
      </c>
      <c r="B715" s="177" t="s">
        <v>5361</v>
      </c>
      <c r="C715" s="177" t="s">
        <v>5362</v>
      </c>
      <c r="D715" s="178" t="s">
        <v>4536</v>
      </c>
      <c r="E715" s="178" t="s">
        <v>5017</v>
      </c>
      <c r="F715" s="179" t="s">
        <v>4502</v>
      </c>
      <c r="G715" s="684">
        <v>0</v>
      </c>
    </row>
    <row r="716" spans="1:7">
      <c r="A716" t="s">
        <v>5363</v>
      </c>
      <c r="B716" s="177" t="s">
        <v>5364</v>
      </c>
      <c r="C716" s="177" t="s">
        <v>5365</v>
      </c>
      <c r="D716" s="178" t="s">
        <v>4536</v>
      </c>
      <c r="E716" s="178" t="s">
        <v>5017</v>
      </c>
      <c r="F716" s="179" t="s">
        <v>4502</v>
      </c>
      <c r="G716" s="684">
        <v>0</v>
      </c>
    </row>
    <row r="717" spans="1:7">
      <c r="A717" t="s">
        <v>5366</v>
      </c>
      <c r="B717" s="180" t="s">
        <v>5367</v>
      </c>
      <c r="C717" s="180" t="s">
        <v>5368</v>
      </c>
      <c r="D717" s="181" t="s">
        <v>4536</v>
      </c>
      <c r="E717" s="181" t="s">
        <v>5017</v>
      </c>
      <c r="F717" s="182" t="s">
        <v>4502</v>
      </c>
      <c r="G717" s="682">
        <v>7.9589580000000675</v>
      </c>
    </row>
    <row r="718" spans="1:7">
      <c r="A718" t="s">
        <v>5369</v>
      </c>
      <c r="B718" s="177" t="s">
        <v>5370</v>
      </c>
      <c r="C718" s="177" t="s">
        <v>5371</v>
      </c>
      <c r="D718" s="178" t="s">
        <v>4536</v>
      </c>
      <c r="E718" s="178" t="s">
        <v>4689</v>
      </c>
      <c r="F718" s="179" t="s">
        <v>4502</v>
      </c>
      <c r="G718" s="684">
        <v>0</v>
      </c>
    </row>
    <row r="719" spans="1:7">
      <c r="A719" t="s">
        <v>5372</v>
      </c>
      <c r="B719" s="177" t="s">
        <v>5373</v>
      </c>
      <c r="C719" s="177" t="s">
        <v>5374</v>
      </c>
      <c r="D719" s="178" t="s">
        <v>4536</v>
      </c>
      <c r="E719" s="178" t="s">
        <v>4987</v>
      </c>
      <c r="F719" s="179" t="s">
        <v>4502</v>
      </c>
      <c r="G719" s="684">
        <v>0</v>
      </c>
    </row>
    <row r="720" spans="1:7">
      <c r="A720" t="s">
        <v>5375</v>
      </c>
      <c r="B720" s="174" t="s">
        <v>5376</v>
      </c>
      <c r="C720" s="174" t="s">
        <v>5377</v>
      </c>
      <c r="D720" s="175" t="s">
        <v>4536</v>
      </c>
      <c r="E720" s="175" t="s">
        <v>4537</v>
      </c>
      <c r="F720" s="176" t="s">
        <v>4502</v>
      </c>
      <c r="G720" s="683">
        <v>17.308800000000144</v>
      </c>
    </row>
    <row r="721" spans="1:7">
      <c r="A721" t="s">
        <v>5378</v>
      </c>
      <c r="B721" s="177" t="s">
        <v>5379</v>
      </c>
      <c r="C721" s="177" t="s">
        <v>5380</v>
      </c>
      <c r="D721" s="178" t="s">
        <v>4536</v>
      </c>
      <c r="E721" s="178" t="s">
        <v>5017</v>
      </c>
      <c r="F721" s="179" t="s">
        <v>4502</v>
      </c>
      <c r="G721" s="684">
        <v>0</v>
      </c>
    </row>
    <row r="722" spans="1:7">
      <c r="A722" t="s">
        <v>5381</v>
      </c>
      <c r="B722" s="177" t="s">
        <v>5382</v>
      </c>
      <c r="C722" s="177" t="s">
        <v>5374</v>
      </c>
      <c r="D722" s="178" t="s">
        <v>4536</v>
      </c>
      <c r="E722" s="178" t="s">
        <v>4987</v>
      </c>
      <c r="F722" s="179" t="s">
        <v>4502</v>
      </c>
      <c r="G722" s="684">
        <v>0</v>
      </c>
    </row>
    <row r="723" spans="1:7">
      <c r="A723" t="s">
        <v>5383</v>
      </c>
      <c r="B723" s="177" t="s">
        <v>5384</v>
      </c>
      <c r="C723" s="177" t="s">
        <v>5385</v>
      </c>
      <c r="D723" s="178" t="s">
        <v>4536</v>
      </c>
      <c r="E723" s="178" t="s">
        <v>4987</v>
      </c>
      <c r="F723" s="179" t="s">
        <v>4502</v>
      </c>
      <c r="G723" s="684">
        <v>0</v>
      </c>
    </row>
    <row r="724" spans="1:7">
      <c r="A724" t="s">
        <v>5386</v>
      </c>
      <c r="B724" s="177" t="s">
        <v>5387</v>
      </c>
      <c r="C724" s="177" t="s">
        <v>5388</v>
      </c>
      <c r="D724" s="178" t="s">
        <v>4536</v>
      </c>
      <c r="E724" s="178" t="s">
        <v>4987</v>
      </c>
      <c r="F724" s="179" t="s">
        <v>4502</v>
      </c>
      <c r="G724" s="684">
        <v>0</v>
      </c>
    </row>
    <row r="725" spans="1:7">
      <c r="A725" t="s">
        <v>5389</v>
      </c>
      <c r="B725" s="177" t="s">
        <v>5390</v>
      </c>
      <c r="C725" s="177" t="s">
        <v>5391</v>
      </c>
      <c r="D725" s="178" t="s">
        <v>4536</v>
      </c>
      <c r="E725" s="178" t="s">
        <v>4796</v>
      </c>
      <c r="F725" s="179" t="s">
        <v>4502</v>
      </c>
      <c r="G725" s="684">
        <v>0</v>
      </c>
    </row>
    <row r="726" spans="1:7">
      <c r="A726" t="s">
        <v>5392</v>
      </c>
      <c r="B726" s="177" t="s">
        <v>5393</v>
      </c>
      <c r="C726" s="177" t="s">
        <v>5394</v>
      </c>
      <c r="D726" s="178" t="s">
        <v>4536</v>
      </c>
      <c r="E726" s="178" t="s">
        <v>4565</v>
      </c>
      <c r="F726" s="179" t="s">
        <v>4502</v>
      </c>
      <c r="G726" s="684">
        <v>0</v>
      </c>
    </row>
    <row r="727" spans="1:7">
      <c r="A727" t="s">
        <v>5395</v>
      </c>
      <c r="B727" s="177" t="s">
        <v>5396</v>
      </c>
      <c r="C727" s="177" t="s">
        <v>5397</v>
      </c>
      <c r="D727" s="178" t="s">
        <v>4536</v>
      </c>
      <c r="E727" s="178" t="s">
        <v>4565</v>
      </c>
      <c r="F727" s="179" t="s">
        <v>4502</v>
      </c>
      <c r="G727" s="684">
        <v>0</v>
      </c>
    </row>
    <row r="728" spans="1:7">
      <c r="A728" t="s">
        <v>5398</v>
      </c>
      <c r="B728" s="177" t="s">
        <v>5399</v>
      </c>
      <c r="C728" s="177" t="s">
        <v>5400</v>
      </c>
      <c r="D728" s="178" t="s">
        <v>4536</v>
      </c>
      <c r="E728" s="178" t="s">
        <v>4565</v>
      </c>
      <c r="F728" s="179" t="s">
        <v>4502</v>
      </c>
      <c r="G728" s="684">
        <v>0</v>
      </c>
    </row>
    <row r="729" spans="1:7">
      <c r="A729" t="s">
        <v>5401</v>
      </c>
      <c r="B729" s="177" t="s">
        <v>5402</v>
      </c>
      <c r="C729" s="177" t="s">
        <v>5403</v>
      </c>
      <c r="D729" s="178" t="s">
        <v>4536</v>
      </c>
      <c r="E729" s="178" t="s">
        <v>4565</v>
      </c>
      <c r="F729" s="179" t="s">
        <v>4502</v>
      </c>
      <c r="G729" s="684">
        <v>0</v>
      </c>
    </row>
    <row r="730" spans="1:7">
      <c r="A730" t="s">
        <v>5404</v>
      </c>
      <c r="B730" s="177" t="s">
        <v>5405</v>
      </c>
      <c r="C730" s="177" t="s">
        <v>5406</v>
      </c>
      <c r="D730" s="178" t="s">
        <v>4536</v>
      </c>
      <c r="E730" s="178" t="s">
        <v>4839</v>
      </c>
      <c r="F730" s="179" t="s">
        <v>4502</v>
      </c>
      <c r="G730" s="684">
        <v>0</v>
      </c>
    </row>
    <row r="731" spans="1:7">
      <c r="A731" t="s">
        <v>5407</v>
      </c>
      <c r="B731" s="177" t="s">
        <v>5408</v>
      </c>
      <c r="C731" s="177" t="s">
        <v>5409</v>
      </c>
      <c r="D731" s="178" t="s">
        <v>4536</v>
      </c>
      <c r="E731" s="178" t="s">
        <v>4565</v>
      </c>
      <c r="F731" s="179" t="s">
        <v>4502</v>
      </c>
      <c r="G731" s="684">
        <v>0</v>
      </c>
    </row>
    <row r="732" spans="1:7">
      <c r="A732" t="s">
        <v>5410</v>
      </c>
      <c r="B732" s="177" t="s">
        <v>5411</v>
      </c>
      <c r="C732" s="177" t="s">
        <v>5412</v>
      </c>
      <c r="D732" s="178" t="s">
        <v>4536</v>
      </c>
      <c r="E732" s="178" t="s">
        <v>4565</v>
      </c>
      <c r="F732" s="179" t="s">
        <v>4502</v>
      </c>
      <c r="G732" s="684">
        <v>0</v>
      </c>
    </row>
    <row r="733" spans="1:7">
      <c r="A733" t="s">
        <v>5413</v>
      </c>
      <c r="B733" s="177" t="s">
        <v>5414</v>
      </c>
      <c r="C733" s="177" t="s">
        <v>5415</v>
      </c>
      <c r="D733" s="178" t="s">
        <v>4536</v>
      </c>
      <c r="E733" s="178" t="s">
        <v>4839</v>
      </c>
      <c r="F733" s="179" t="s">
        <v>4502</v>
      </c>
      <c r="G733" s="684">
        <v>0</v>
      </c>
    </row>
    <row r="734" spans="1:7">
      <c r="A734" t="s">
        <v>5416</v>
      </c>
      <c r="B734" s="177" t="s">
        <v>5417</v>
      </c>
      <c r="C734" s="177" t="s">
        <v>5418</v>
      </c>
      <c r="D734" s="178" t="s">
        <v>4536</v>
      </c>
      <c r="E734" s="178" t="s">
        <v>4839</v>
      </c>
      <c r="F734" s="179" t="s">
        <v>4502</v>
      </c>
      <c r="G734" s="684">
        <v>0</v>
      </c>
    </row>
    <row r="735" spans="1:7">
      <c r="A735" t="s">
        <v>5419</v>
      </c>
      <c r="B735" s="177" t="s">
        <v>5420</v>
      </c>
      <c r="C735" s="177" t="s">
        <v>5421</v>
      </c>
      <c r="D735" s="178" t="s">
        <v>4536</v>
      </c>
      <c r="E735" s="178" t="s">
        <v>4689</v>
      </c>
      <c r="F735" s="179" t="s">
        <v>4502</v>
      </c>
      <c r="G735" s="684">
        <v>0</v>
      </c>
    </row>
    <row r="736" spans="1:7">
      <c r="A736" t="s">
        <v>5422</v>
      </c>
      <c r="B736" s="177" t="s">
        <v>5423</v>
      </c>
      <c r="C736" s="177" t="s">
        <v>5424</v>
      </c>
      <c r="D736" s="178" t="s">
        <v>4536</v>
      </c>
      <c r="E736" s="178" t="s">
        <v>4689</v>
      </c>
      <c r="F736" s="179" t="s">
        <v>3166</v>
      </c>
      <c r="G736" s="684">
        <v>0</v>
      </c>
    </row>
    <row r="737" spans="1:12">
      <c r="A737" t="s">
        <v>5425</v>
      </c>
      <c r="B737" s="177" t="s">
        <v>5426</v>
      </c>
      <c r="C737" s="177" t="s">
        <v>5427</v>
      </c>
      <c r="D737" s="178" t="s">
        <v>4536</v>
      </c>
      <c r="E737" s="178" t="s">
        <v>4689</v>
      </c>
      <c r="F737" s="179" t="s">
        <v>3166</v>
      </c>
      <c r="G737" s="684">
        <v>0</v>
      </c>
    </row>
    <row r="738" spans="1:12">
      <c r="A738" t="s">
        <v>5428</v>
      </c>
      <c r="B738" s="177" t="s">
        <v>5429</v>
      </c>
      <c r="C738" s="177" t="s">
        <v>5430</v>
      </c>
      <c r="D738" s="178" t="s">
        <v>4536</v>
      </c>
      <c r="E738" s="178" t="s">
        <v>4689</v>
      </c>
      <c r="F738" s="179" t="s">
        <v>3166</v>
      </c>
      <c r="G738" s="684">
        <v>0</v>
      </c>
    </row>
    <row r="739" spans="1:12">
      <c r="B739" s="183"/>
      <c r="C739" s="183"/>
      <c r="D739" s="184"/>
      <c r="E739" s="184"/>
      <c r="F739" s="185"/>
      <c r="G739" s="686"/>
    </row>
    <row r="741" spans="1:12" ht="25.5" thickBot="1">
      <c r="A741" s="755" t="s">
        <v>5431</v>
      </c>
      <c r="B741" s="756"/>
      <c r="C741" s="756"/>
      <c r="D741" s="756"/>
      <c r="E741" s="756"/>
      <c r="F741" s="756"/>
      <c r="G741" s="756"/>
    </row>
    <row r="742" spans="1:12" ht="27.95">
      <c r="A742" s="169" t="s">
        <v>228</v>
      </c>
      <c r="B742" s="170" t="s">
        <v>3156</v>
      </c>
      <c r="C742" s="170" t="s">
        <v>15</v>
      </c>
      <c r="D742" s="170" t="s">
        <v>3157</v>
      </c>
      <c r="E742" s="170" t="s">
        <v>3158</v>
      </c>
      <c r="F742" s="170" t="s">
        <v>3159</v>
      </c>
      <c r="G742" s="677" t="s">
        <v>3160</v>
      </c>
    </row>
    <row r="743" spans="1:12">
      <c r="A743" s="757" t="s">
        <v>5432</v>
      </c>
      <c r="B743" s="757"/>
      <c r="C743" s="757"/>
      <c r="D743" s="757"/>
      <c r="E743" s="757"/>
      <c r="F743" s="757"/>
      <c r="G743" s="757"/>
      <c r="I743" t="s">
        <v>5433</v>
      </c>
    </row>
    <row r="744" spans="1:12">
      <c r="B744" s="174"/>
      <c r="C744" s="467" t="s">
        <v>5434</v>
      </c>
      <c r="D744" s="175"/>
      <c r="E744" s="175"/>
      <c r="F744" s="176"/>
      <c r="G744" s="683"/>
      <c r="I744" t="s">
        <v>5435</v>
      </c>
    </row>
    <row r="745" spans="1:12">
      <c r="A745" t="s">
        <v>2911</v>
      </c>
      <c r="B745" s="174"/>
      <c r="C745" s="174" t="s">
        <v>5436</v>
      </c>
      <c r="D745" s="175" t="s">
        <v>5437</v>
      </c>
      <c r="E745" s="175"/>
      <c r="F745" s="176" t="s">
        <v>5438</v>
      </c>
      <c r="G745" s="683">
        <v>4845.5550000000003</v>
      </c>
    </row>
    <row r="746" spans="1:12">
      <c r="A746" t="s">
        <v>2913</v>
      </c>
      <c r="B746" s="174"/>
      <c r="C746" s="174" t="s">
        <v>5439</v>
      </c>
      <c r="D746" s="175" t="s">
        <v>5437</v>
      </c>
      <c r="E746" s="175"/>
      <c r="F746" s="176" t="s">
        <v>5438</v>
      </c>
      <c r="G746" s="683">
        <v>5798.384</v>
      </c>
      <c r="I746" t="s">
        <v>5440</v>
      </c>
      <c r="L746" s="463">
        <v>0.15</v>
      </c>
    </row>
    <row r="747" spans="1:12">
      <c r="A747" t="s">
        <v>2915</v>
      </c>
      <c r="B747" s="174"/>
      <c r="C747" s="174" t="s">
        <v>5441</v>
      </c>
      <c r="D747" s="175" t="s">
        <v>5437</v>
      </c>
      <c r="E747" s="175"/>
      <c r="F747" s="176" t="s">
        <v>5438</v>
      </c>
      <c r="G747" s="683">
        <v>8279.5439999999999</v>
      </c>
    </row>
    <row r="748" spans="1:12">
      <c r="B748" s="174"/>
      <c r="C748" s="467" t="s">
        <v>5442</v>
      </c>
      <c r="D748" s="175"/>
      <c r="E748" s="175"/>
      <c r="F748" s="176"/>
      <c r="G748" s="683"/>
    </row>
    <row r="749" spans="1:12">
      <c r="A749" t="s">
        <v>2917</v>
      </c>
      <c r="B749" s="174"/>
      <c r="C749" s="174" t="s">
        <v>5443</v>
      </c>
      <c r="D749" s="175" t="s">
        <v>5437</v>
      </c>
      <c r="E749" s="175"/>
      <c r="F749" s="176" t="s">
        <v>5438</v>
      </c>
      <c r="G749" s="683">
        <v>36.042999999999999</v>
      </c>
    </row>
    <row r="750" spans="1:12">
      <c r="A750" t="s">
        <v>2919</v>
      </c>
      <c r="B750" s="174"/>
      <c r="C750" s="174" t="s">
        <v>5444</v>
      </c>
      <c r="D750" s="175" t="s">
        <v>5437</v>
      </c>
      <c r="E750" s="175"/>
      <c r="F750" s="176" t="s">
        <v>5438</v>
      </c>
      <c r="G750" s="683">
        <v>37.94</v>
      </c>
    </row>
    <row r="751" spans="1:12">
      <c r="A751" t="s">
        <v>2921</v>
      </c>
      <c r="B751" s="174"/>
      <c r="C751" s="174" t="s">
        <v>5445</v>
      </c>
      <c r="D751" s="175" t="s">
        <v>5437</v>
      </c>
      <c r="E751" s="175"/>
      <c r="F751" s="176" t="s">
        <v>5438</v>
      </c>
      <c r="G751" s="683">
        <v>39.836999999999996</v>
      </c>
    </row>
    <row r="752" spans="1:12">
      <c r="B752" s="174"/>
      <c r="C752" s="467" t="s">
        <v>5446</v>
      </c>
      <c r="D752" s="175"/>
      <c r="E752" s="175"/>
      <c r="F752" s="176"/>
      <c r="G752" s="683"/>
    </row>
    <row r="753" spans="1:12">
      <c r="A753" t="s">
        <v>2923</v>
      </c>
      <c r="B753" s="174"/>
      <c r="C753" s="174" t="s">
        <v>5447</v>
      </c>
      <c r="D753" s="175" t="s">
        <v>5437</v>
      </c>
      <c r="E753" s="175"/>
      <c r="F753" s="176" t="s">
        <v>5438</v>
      </c>
      <c r="G753" s="683">
        <v>946.28899999999999</v>
      </c>
    </row>
    <row r="754" spans="1:12">
      <c r="A754" t="s">
        <v>2925</v>
      </c>
      <c r="B754" s="174"/>
      <c r="C754" s="174" t="s">
        <v>5448</v>
      </c>
      <c r="D754" s="175" t="s">
        <v>5437</v>
      </c>
      <c r="E754" s="175"/>
      <c r="F754" s="176" t="s">
        <v>5438</v>
      </c>
      <c r="G754" s="683">
        <v>1413.9359999999999</v>
      </c>
    </row>
    <row r="755" spans="1:12">
      <c r="A755" t="s">
        <v>2927</v>
      </c>
      <c r="B755" s="174"/>
      <c r="C755" s="174" t="s">
        <v>5449</v>
      </c>
      <c r="D755" s="175" t="s">
        <v>5437</v>
      </c>
      <c r="E755" s="175"/>
      <c r="F755" s="176" t="s">
        <v>5438</v>
      </c>
      <c r="G755" s="683">
        <v>1270.45</v>
      </c>
    </row>
    <row r="756" spans="1:12">
      <c r="B756" s="174"/>
      <c r="C756" s="174"/>
      <c r="D756" s="175"/>
      <c r="E756" s="175"/>
      <c r="F756" s="176"/>
      <c r="G756" s="683"/>
    </row>
    <row r="757" spans="1:12">
      <c r="B757" s="174"/>
      <c r="C757" s="467" t="s">
        <v>5450</v>
      </c>
      <c r="D757" s="175"/>
      <c r="E757" s="175"/>
      <c r="F757" s="176"/>
      <c r="G757" s="683"/>
    </row>
    <row r="758" spans="1:12">
      <c r="A758" t="s">
        <v>2929</v>
      </c>
      <c r="B758" s="174" t="s">
        <v>5451</v>
      </c>
      <c r="C758" s="174" t="s">
        <v>5452</v>
      </c>
      <c r="D758" s="175" t="s">
        <v>5437</v>
      </c>
      <c r="E758" s="175"/>
      <c r="F758" s="176" t="s">
        <v>5438</v>
      </c>
      <c r="G758" s="683">
        <v>1743</v>
      </c>
    </row>
    <row r="759" spans="1:12">
      <c r="A759" t="s">
        <v>2931</v>
      </c>
      <c r="B759" s="174" t="s">
        <v>5453</v>
      </c>
      <c r="C759" s="174" t="s">
        <v>5454</v>
      </c>
      <c r="D759" s="175" t="s">
        <v>5437</v>
      </c>
      <c r="E759" s="175"/>
      <c r="F759" s="176" t="s">
        <v>5438</v>
      </c>
      <c r="G759" s="683">
        <v>319</v>
      </c>
    </row>
    <row r="760" spans="1:12">
      <c r="A760" t="s">
        <v>2933</v>
      </c>
      <c r="B760" s="174" t="s">
        <v>5455</v>
      </c>
      <c r="C760" s="174" t="s">
        <v>5456</v>
      </c>
      <c r="D760" s="175" t="s">
        <v>5437</v>
      </c>
      <c r="E760" s="175"/>
      <c r="F760" s="176" t="s">
        <v>5438</v>
      </c>
      <c r="G760" s="683">
        <v>6655.5</v>
      </c>
    </row>
    <row r="761" spans="1:12">
      <c r="B761" s="466"/>
      <c r="C761" s="466"/>
      <c r="D761" s="465"/>
      <c r="E761" s="465"/>
      <c r="F761" s="464"/>
      <c r="G761" s="687"/>
    </row>
    <row r="762" spans="1:12">
      <c r="A762" s="757" t="s">
        <v>5457</v>
      </c>
      <c r="B762" s="757"/>
      <c r="C762" s="757"/>
      <c r="D762" s="757"/>
      <c r="E762" s="757"/>
      <c r="F762" s="757"/>
      <c r="G762" s="757"/>
      <c r="I762" t="s">
        <v>5458</v>
      </c>
    </row>
    <row r="763" spans="1:12" ht="40.5" customHeight="1">
      <c r="A763" t="s">
        <v>2935</v>
      </c>
      <c r="B763" s="174"/>
      <c r="C763" s="462" t="s">
        <v>5459</v>
      </c>
      <c r="D763" s="175"/>
      <c r="E763" s="175"/>
      <c r="F763" s="176" t="s">
        <v>5438</v>
      </c>
      <c r="G763" s="683">
        <v>49878.273224999997</v>
      </c>
      <c r="I763" t="s">
        <v>5440</v>
      </c>
      <c r="L763" s="463">
        <v>0.15</v>
      </c>
    </row>
    <row r="764" spans="1:12" ht="45" customHeight="1">
      <c r="A764" t="s">
        <v>2937</v>
      </c>
      <c r="B764" s="174"/>
      <c r="C764" s="462" t="s">
        <v>5460</v>
      </c>
      <c r="D764" s="175"/>
      <c r="E764" s="175"/>
      <c r="F764" s="176" t="s">
        <v>5438</v>
      </c>
      <c r="G764" s="683">
        <v>66468.944299999988</v>
      </c>
    </row>
    <row r="765" spans="1:12" ht="52.5" customHeight="1">
      <c r="A765" t="s">
        <v>2939</v>
      </c>
      <c r="B765" s="174"/>
      <c r="C765" s="462" t="s">
        <v>5461</v>
      </c>
      <c r="D765" s="175"/>
      <c r="E765" s="175"/>
      <c r="F765" s="176" t="s">
        <v>5438</v>
      </c>
      <c r="G765" s="683">
        <v>72103.407249999989</v>
      </c>
    </row>
    <row r="766" spans="1:12" ht="43.5" customHeight="1">
      <c r="A766" t="s">
        <v>2941</v>
      </c>
      <c r="B766" s="174"/>
      <c r="C766" s="462" t="s">
        <v>5462</v>
      </c>
      <c r="D766" s="175"/>
      <c r="E766" s="175"/>
      <c r="F766" s="176" t="s">
        <v>5438</v>
      </c>
      <c r="G766" s="683">
        <v>50070.857399999994</v>
      </c>
    </row>
    <row r="767" spans="1:12" ht="37.5" customHeight="1">
      <c r="A767" t="s">
        <v>2943</v>
      </c>
      <c r="B767" s="174"/>
      <c r="C767" s="462" t="s">
        <v>5463</v>
      </c>
      <c r="D767" s="175"/>
      <c r="E767" s="175"/>
      <c r="F767" s="176" t="s">
        <v>5438</v>
      </c>
      <c r="G767" s="683">
        <v>67871.441175</v>
      </c>
    </row>
    <row r="768" spans="1:12">
      <c r="B768" s="174"/>
      <c r="C768" s="174"/>
      <c r="D768" s="175"/>
      <c r="E768" s="175"/>
      <c r="F768" s="176"/>
      <c r="G768" s="683"/>
    </row>
    <row r="769" spans="1:7">
      <c r="A769" t="s">
        <v>2945</v>
      </c>
      <c r="B769" s="174" t="s">
        <v>5464</v>
      </c>
      <c r="C769" s="174" t="s">
        <v>5465</v>
      </c>
      <c r="D769" s="175"/>
      <c r="E769" s="175"/>
      <c r="F769" s="176" t="s">
        <v>5466</v>
      </c>
      <c r="G769" s="683">
        <v>986.04967499999987</v>
      </c>
    </row>
    <row r="770" spans="1:7" ht="34.5">
      <c r="A770" t="s">
        <v>2947</v>
      </c>
      <c r="B770" s="174" t="s">
        <v>5467</v>
      </c>
      <c r="C770" s="174" t="s">
        <v>5468</v>
      </c>
      <c r="D770" s="175"/>
      <c r="E770" s="175"/>
      <c r="F770" s="461" t="s">
        <v>5469</v>
      </c>
      <c r="G770" s="683">
        <v>50.83</v>
      </c>
    </row>
    <row r="771" spans="1:7">
      <c r="A771" t="s">
        <v>5470</v>
      </c>
      <c r="B771" s="174" t="s">
        <v>5471</v>
      </c>
      <c r="C771" s="174" t="s">
        <v>5472</v>
      </c>
      <c r="D771" s="175"/>
      <c r="E771" s="175"/>
      <c r="F771" s="176" t="s">
        <v>5466</v>
      </c>
      <c r="G771" s="683">
        <v>1887.1080249999998</v>
      </c>
    </row>
    <row r="772" spans="1:7">
      <c r="A772" t="s">
        <v>5473</v>
      </c>
      <c r="B772" s="174" t="s">
        <v>5474</v>
      </c>
      <c r="C772" s="174" t="s">
        <v>5475</v>
      </c>
      <c r="D772" s="175"/>
      <c r="E772" s="175"/>
      <c r="F772" s="176" t="s">
        <v>5466</v>
      </c>
      <c r="G772" s="683">
        <v>2440.6231499999999</v>
      </c>
    </row>
    <row r="773" spans="1:7">
      <c r="A773" t="s">
        <v>5476</v>
      </c>
      <c r="B773" s="174" t="s">
        <v>5477</v>
      </c>
      <c r="C773" s="174" t="s">
        <v>5478</v>
      </c>
      <c r="D773" s="175"/>
      <c r="E773" s="175"/>
      <c r="F773" s="176" t="s">
        <v>5466</v>
      </c>
      <c r="G773" s="683">
        <v>450.48949999999991</v>
      </c>
    </row>
    <row r="786" spans="3:3">
      <c r="C786" t="s">
        <v>5479</v>
      </c>
    </row>
    <row r="787" spans="3:3">
      <c r="C787" t="s">
        <v>5480</v>
      </c>
    </row>
  </sheetData>
  <autoFilter ref="A2:G425" xr:uid="{3F2D6233-4AEB-4458-90FC-0082E7F0AFBF}"/>
  <mergeCells count="5">
    <mergeCell ref="A429:G429"/>
    <mergeCell ref="A1:G1"/>
    <mergeCell ref="A741:G741"/>
    <mergeCell ref="A743:G743"/>
    <mergeCell ref="A762:G762"/>
  </mergeCells>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FE1C9-82EA-4619-9AC8-BC78EB8B1DEA}">
  <sheetPr codeName="Feuil10">
    <tabColor rgb="FFFF0000"/>
  </sheetPr>
  <dimension ref="A1:K234"/>
  <sheetViews>
    <sheetView topLeftCell="A21" zoomScale="70" zoomScaleNormal="70" workbookViewId="0">
      <selection activeCell="I109" sqref="I109"/>
    </sheetView>
  </sheetViews>
  <sheetFormatPr defaultColWidth="11.42578125" defaultRowHeight="14.45"/>
  <cols>
    <col min="2" max="2" width="106.5703125" customWidth="1"/>
    <col min="5" max="5" width="13.85546875" customWidth="1"/>
    <col min="6" max="6" width="13.85546875" bestFit="1" customWidth="1"/>
    <col min="8" max="8" width="12.5703125" bestFit="1" customWidth="1"/>
    <col min="9" max="10" width="13.85546875" bestFit="1" customWidth="1"/>
    <col min="11" max="11" width="93.5703125" customWidth="1"/>
  </cols>
  <sheetData>
    <row r="1" spans="1:10" ht="22.5">
      <c r="A1" s="758" t="s">
        <v>5481</v>
      </c>
      <c r="B1" s="759"/>
      <c r="C1" s="759"/>
      <c r="D1" s="759"/>
      <c r="E1" s="759"/>
      <c r="F1" s="759"/>
      <c r="G1" s="759"/>
      <c r="H1" s="759"/>
      <c r="I1" s="760"/>
    </row>
    <row r="2" spans="1:10" ht="22.5">
      <c r="A2" s="609"/>
      <c r="B2" s="608"/>
      <c r="C2" s="608"/>
      <c r="D2" s="608"/>
      <c r="E2" s="608"/>
      <c r="F2" s="608"/>
      <c r="G2" s="608"/>
      <c r="H2" s="608"/>
      <c r="I2" s="607"/>
      <c r="J2" s="607"/>
    </row>
    <row r="3" spans="1:10" ht="15" thickBot="1">
      <c r="A3" s="605"/>
      <c r="B3" s="606"/>
      <c r="C3" s="605"/>
      <c r="D3" s="605"/>
      <c r="E3" s="604"/>
      <c r="F3" s="603"/>
      <c r="G3" s="603"/>
      <c r="H3" s="602"/>
      <c r="I3" s="601"/>
      <c r="J3" s="601"/>
    </row>
    <row r="4" spans="1:10" ht="15.6">
      <c r="A4" s="600" t="s">
        <v>5482</v>
      </c>
      <c r="B4" s="599"/>
      <c r="C4" s="598"/>
      <c r="D4" s="597"/>
      <c r="E4" s="761" t="s">
        <v>5483</v>
      </c>
      <c r="F4" s="762"/>
      <c r="G4" s="762"/>
      <c r="H4" s="763"/>
      <c r="I4" s="596" t="s">
        <v>5484</v>
      </c>
      <c r="J4" s="596" t="s">
        <v>5484</v>
      </c>
    </row>
    <row r="5" spans="1:10" ht="30">
      <c r="A5" s="595" t="s">
        <v>5484</v>
      </c>
      <c r="B5" s="594" t="s">
        <v>15</v>
      </c>
      <c r="C5" s="593" t="s">
        <v>98</v>
      </c>
      <c r="D5" s="592" t="s">
        <v>5485</v>
      </c>
      <c r="E5" s="591" t="s">
        <v>71</v>
      </c>
      <c r="F5" s="590" t="s">
        <v>5486</v>
      </c>
      <c r="G5" s="589" t="s">
        <v>5487</v>
      </c>
      <c r="H5" s="588" t="s">
        <v>5486</v>
      </c>
      <c r="I5" s="587" t="s">
        <v>5488</v>
      </c>
      <c r="J5" s="587" t="s">
        <v>5488</v>
      </c>
    </row>
    <row r="6" spans="1:10" ht="75.599999999999994" thickBot="1">
      <c r="A6" s="586"/>
      <c r="B6" s="585"/>
      <c r="C6" s="585"/>
      <c r="D6" s="584"/>
      <c r="E6" s="583" t="s">
        <v>5489</v>
      </c>
      <c r="F6" s="582" t="s">
        <v>5490</v>
      </c>
      <c r="G6" s="581" t="s">
        <v>5491</v>
      </c>
      <c r="H6" s="580" t="s">
        <v>5492</v>
      </c>
      <c r="I6" s="579" t="s">
        <v>5</v>
      </c>
      <c r="J6" s="579" t="s">
        <v>9</v>
      </c>
    </row>
    <row r="7" spans="1:10" ht="15.6">
      <c r="A7" s="526"/>
      <c r="B7" s="573"/>
      <c r="C7" s="573"/>
      <c r="D7" s="573"/>
      <c r="E7" s="578"/>
      <c r="F7" s="577"/>
      <c r="G7" s="577"/>
      <c r="H7" s="577"/>
      <c r="I7" s="575"/>
      <c r="J7" s="575"/>
    </row>
    <row r="8" spans="1:10" ht="15.6">
      <c r="A8" s="526"/>
      <c r="B8" s="573" t="s">
        <v>5493</v>
      </c>
      <c r="C8" s="573"/>
      <c r="D8" s="573"/>
      <c r="E8" s="578"/>
      <c r="F8" s="577"/>
      <c r="G8" s="577"/>
      <c r="H8" s="577"/>
      <c r="I8" s="575"/>
      <c r="J8" s="575"/>
    </row>
    <row r="9" spans="1:10" ht="15.6">
      <c r="A9" s="526"/>
      <c r="B9" s="573"/>
      <c r="C9" s="573"/>
      <c r="D9" s="573"/>
      <c r="E9" s="572"/>
      <c r="F9" s="577"/>
      <c r="G9" s="577"/>
      <c r="H9" s="576"/>
      <c r="I9" s="575"/>
      <c r="J9" s="575"/>
    </row>
    <row r="10" spans="1:10" ht="15.6">
      <c r="A10" s="527" t="s">
        <v>5494</v>
      </c>
      <c r="B10" s="527" t="s">
        <v>5495</v>
      </c>
      <c r="C10" s="573"/>
      <c r="D10" s="573"/>
      <c r="E10" s="572"/>
      <c r="F10" s="571"/>
      <c r="G10" s="571"/>
      <c r="H10" s="537"/>
      <c r="I10" s="574"/>
      <c r="J10" s="574"/>
    </row>
    <row r="11" spans="1:10" ht="15.6">
      <c r="A11" s="527"/>
      <c r="B11" s="527" t="s">
        <v>5496</v>
      </c>
      <c r="C11" s="573"/>
      <c r="D11" s="573"/>
      <c r="E11" s="572"/>
      <c r="F11" s="571"/>
      <c r="G11" s="571"/>
      <c r="H11" s="537"/>
      <c r="I11" s="570"/>
      <c r="J11" s="570"/>
    </row>
    <row r="12" spans="1:10" ht="15.6">
      <c r="A12" s="568" t="s">
        <v>5497</v>
      </c>
      <c r="B12" s="500" t="s">
        <v>5498</v>
      </c>
      <c r="C12" s="499" t="s">
        <v>5438</v>
      </c>
      <c r="D12" s="499"/>
      <c r="E12" s="484">
        <v>111.52499999999999</v>
      </c>
      <c r="F12" s="484">
        <v>175.864</v>
      </c>
      <c r="G12" s="475">
        <v>1.5</v>
      </c>
      <c r="H12" s="487">
        <f t="shared" ref="H12:H21" si="0">(F12*G12)</f>
        <v>263.79599999999999</v>
      </c>
      <c r="I12" s="483">
        <f t="shared" ref="I12:I37" si="1">E12+F12</f>
        <v>287.38900000000001</v>
      </c>
      <c r="J12" s="483">
        <f t="shared" ref="J12:J37" si="2">E12+H12</f>
        <v>375.32099999999997</v>
      </c>
    </row>
    <row r="13" spans="1:10" ht="15.6">
      <c r="A13" s="568" t="s">
        <v>5499</v>
      </c>
      <c r="B13" s="500" t="s">
        <v>5500</v>
      </c>
      <c r="C13" s="499" t="s">
        <v>40</v>
      </c>
      <c r="D13" s="499"/>
      <c r="E13" s="569"/>
      <c r="F13" s="484">
        <v>365.04</v>
      </c>
      <c r="G13" s="475">
        <v>1.5</v>
      </c>
      <c r="H13" s="487">
        <f t="shared" si="0"/>
        <v>547.56000000000006</v>
      </c>
      <c r="I13" s="483">
        <f t="shared" si="1"/>
        <v>365.04</v>
      </c>
      <c r="J13" s="483">
        <f t="shared" si="2"/>
        <v>547.56000000000006</v>
      </c>
    </row>
    <row r="14" spans="1:10" ht="15.6">
      <c r="A14" s="568" t="s">
        <v>5501</v>
      </c>
      <c r="B14" s="500" t="s">
        <v>5502</v>
      </c>
      <c r="C14" s="499" t="s">
        <v>5438</v>
      </c>
      <c r="D14" s="499"/>
      <c r="E14" s="484">
        <v>1286.22</v>
      </c>
      <c r="F14" s="484">
        <v>369.78500000000003</v>
      </c>
      <c r="G14" s="475">
        <v>1.5</v>
      </c>
      <c r="H14" s="487">
        <f t="shared" si="0"/>
        <v>554.67750000000001</v>
      </c>
      <c r="I14" s="483">
        <f t="shared" si="1"/>
        <v>1656.0050000000001</v>
      </c>
      <c r="J14" s="483">
        <f t="shared" si="2"/>
        <v>1840.8975</v>
      </c>
    </row>
    <row r="15" spans="1:10" ht="15.6">
      <c r="A15" s="568" t="s">
        <v>5503</v>
      </c>
      <c r="B15" s="500" t="s">
        <v>5504</v>
      </c>
      <c r="C15" s="499" t="s">
        <v>5438</v>
      </c>
      <c r="D15" s="499"/>
      <c r="E15" s="484">
        <v>836.40000000000009</v>
      </c>
      <c r="F15" s="484">
        <v>369.78500000000003</v>
      </c>
      <c r="G15" s="475">
        <v>1.5</v>
      </c>
      <c r="H15" s="487">
        <f t="shared" si="0"/>
        <v>554.67750000000001</v>
      </c>
      <c r="I15" s="483">
        <f t="shared" si="1"/>
        <v>1206.1850000000002</v>
      </c>
      <c r="J15" s="483">
        <f t="shared" si="2"/>
        <v>1391.0775000000001</v>
      </c>
    </row>
    <row r="16" spans="1:10" ht="15.6">
      <c r="A16" s="568" t="s">
        <v>5505</v>
      </c>
      <c r="B16" s="500" t="s">
        <v>5506</v>
      </c>
      <c r="C16" s="499" t="s">
        <v>5438</v>
      </c>
      <c r="D16" s="499"/>
      <c r="E16" s="484">
        <v>161.85000000000002</v>
      </c>
      <c r="F16" s="484">
        <v>198.107</v>
      </c>
      <c r="G16" s="475">
        <v>1.5</v>
      </c>
      <c r="H16" s="487">
        <f t="shared" si="0"/>
        <v>297.16050000000001</v>
      </c>
      <c r="I16" s="483">
        <f t="shared" si="1"/>
        <v>359.95699999999999</v>
      </c>
      <c r="J16" s="483">
        <f t="shared" si="2"/>
        <v>459.01050000000004</v>
      </c>
    </row>
    <row r="17" spans="1:10" ht="15.6">
      <c r="A17" s="568" t="s">
        <v>5507</v>
      </c>
      <c r="B17" s="500" t="s">
        <v>5508</v>
      </c>
      <c r="C17" s="499" t="s">
        <v>40</v>
      </c>
      <c r="D17" s="499"/>
      <c r="E17" s="569"/>
      <c r="F17" s="484">
        <v>114.075</v>
      </c>
      <c r="G17" s="475">
        <v>1.5</v>
      </c>
      <c r="H17" s="487">
        <f t="shared" si="0"/>
        <v>171.11250000000001</v>
      </c>
      <c r="I17" s="483">
        <f t="shared" si="1"/>
        <v>114.075</v>
      </c>
      <c r="J17" s="483">
        <f t="shared" si="2"/>
        <v>171.11250000000001</v>
      </c>
    </row>
    <row r="18" spans="1:10" ht="15.6">
      <c r="A18" s="568" t="s">
        <v>5509</v>
      </c>
      <c r="B18" s="500" t="s">
        <v>5510</v>
      </c>
      <c r="C18" s="499" t="s">
        <v>5438</v>
      </c>
      <c r="D18" s="499"/>
      <c r="E18" s="484">
        <v>136.5</v>
      </c>
      <c r="F18" s="484">
        <v>343.36900000000003</v>
      </c>
      <c r="G18" s="475">
        <v>1.5</v>
      </c>
      <c r="H18" s="487">
        <f t="shared" si="0"/>
        <v>515.05349999999999</v>
      </c>
      <c r="I18" s="483">
        <f t="shared" si="1"/>
        <v>479.86900000000003</v>
      </c>
      <c r="J18" s="483">
        <f t="shared" si="2"/>
        <v>651.55349999999999</v>
      </c>
    </row>
    <row r="19" spans="1:10" ht="15.6">
      <c r="A19" s="568" t="s">
        <v>5511</v>
      </c>
      <c r="B19" s="500" t="s">
        <v>5512</v>
      </c>
      <c r="C19" s="499" t="s">
        <v>40</v>
      </c>
      <c r="D19" s="499"/>
      <c r="E19" s="569"/>
      <c r="F19" s="484">
        <v>91.26</v>
      </c>
      <c r="G19" s="475">
        <v>1.5</v>
      </c>
      <c r="H19" s="487">
        <f t="shared" si="0"/>
        <v>136.89000000000001</v>
      </c>
      <c r="I19" s="483">
        <f t="shared" si="1"/>
        <v>91.26</v>
      </c>
      <c r="J19" s="483">
        <f t="shared" si="2"/>
        <v>136.89000000000001</v>
      </c>
    </row>
    <row r="20" spans="1:10" ht="15.6">
      <c r="A20" s="568" t="s">
        <v>5513</v>
      </c>
      <c r="B20" s="546" t="s">
        <v>5514</v>
      </c>
      <c r="C20" s="499" t="s">
        <v>5438</v>
      </c>
      <c r="D20" s="499"/>
      <c r="E20" s="484">
        <v>1330.7249999999999</v>
      </c>
      <c r="F20" s="484">
        <v>1328.7950000000001</v>
      </c>
      <c r="G20" s="475">
        <v>1.5</v>
      </c>
      <c r="H20" s="487">
        <f t="shared" si="0"/>
        <v>1993.1925000000001</v>
      </c>
      <c r="I20" s="483">
        <f t="shared" si="1"/>
        <v>2659.52</v>
      </c>
      <c r="J20" s="483">
        <f t="shared" si="2"/>
        <v>3323.9175</v>
      </c>
    </row>
    <row r="21" spans="1:10" ht="15.6">
      <c r="A21" s="568" t="s">
        <v>5515</v>
      </c>
      <c r="B21" s="546" t="s">
        <v>5516</v>
      </c>
      <c r="C21" s="499" t="s">
        <v>40</v>
      </c>
      <c r="D21" s="499"/>
      <c r="E21" s="562"/>
      <c r="F21" s="484">
        <v>3741.66</v>
      </c>
      <c r="G21" s="475">
        <v>1.5</v>
      </c>
      <c r="H21" s="487">
        <f t="shared" si="0"/>
        <v>5612.49</v>
      </c>
      <c r="I21" s="483">
        <f t="shared" si="1"/>
        <v>3741.66</v>
      </c>
      <c r="J21" s="483">
        <f t="shared" si="2"/>
        <v>5612.49</v>
      </c>
    </row>
    <row r="22" spans="1:10" ht="15.6">
      <c r="A22" s="568" t="s">
        <v>5517</v>
      </c>
      <c r="B22" s="546" t="s">
        <v>5518</v>
      </c>
      <c r="C22" s="499" t="s">
        <v>40</v>
      </c>
      <c r="D22" s="499"/>
      <c r="E22" s="484">
        <v>161.85000000000002</v>
      </c>
      <c r="F22" s="562"/>
      <c r="G22" s="562"/>
      <c r="H22" s="562"/>
      <c r="I22" s="483">
        <f t="shared" si="1"/>
        <v>161.85000000000002</v>
      </c>
      <c r="J22" s="483">
        <f t="shared" si="2"/>
        <v>161.85000000000002</v>
      </c>
    </row>
    <row r="23" spans="1:10" ht="15.6">
      <c r="A23" s="568" t="s">
        <v>5519</v>
      </c>
      <c r="B23" s="546" t="s">
        <v>5520</v>
      </c>
      <c r="C23" s="499" t="s">
        <v>40</v>
      </c>
      <c r="D23" s="499"/>
      <c r="E23" s="484">
        <v>0</v>
      </c>
      <c r="F23" s="562"/>
      <c r="G23" s="562"/>
      <c r="H23" s="562"/>
      <c r="I23" s="483">
        <f t="shared" si="1"/>
        <v>0</v>
      </c>
      <c r="J23" s="483">
        <f t="shared" si="2"/>
        <v>0</v>
      </c>
    </row>
    <row r="24" spans="1:10" ht="15.6">
      <c r="A24" s="568" t="s">
        <v>5521</v>
      </c>
      <c r="B24" s="561" t="s">
        <v>5522</v>
      </c>
      <c r="C24" s="560" t="s">
        <v>253</v>
      </c>
      <c r="D24" s="533"/>
      <c r="E24" s="484">
        <v>0</v>
      </c>
      <c r="F24" s="484">
        <v>4.2149999999999999</v>
      </c>
      <c r="G24" s="475">
        <v>1.5</v>
      </c>
      <c r="H24" s="487">
        <f t="shared" ref="H24:H37" si="3">(F24*G24)</f>
        <v>6.3224999999999998</v>
      </c>
      <c r="I24" s="483">
        <f t="shared" si="1"/>
        <v>4.2149999999999999</v>
      </c>
      <c r="J24" s="483">
        <f t="shared" si="2"/>
        <v>6.3224999999999998</v>
      </c>
    </row>
    <row r="25" spans="1:10" ht="15.6">
      <c r="A25" s="568" t="s">
        <v>5523</v>
      </c>
      <c r="B25" s="561" t="s">
        <v>5524</v>
      </c>
      <c r="C25" s="560" t="s">
        <v>253</v>
      </c>
      <c r="D25" s="533"/>
      <c r="E25" s="484">
        <v>0</v>
      </c>
      <c r="F25" s="484">
        <v>4.2149999999999999</v>
      </c>
      <c r="G25" s="475">
        <v>1.5</v>
      </c>
      <c r="H25" s="487">
        <f t="shared" si="3"/>
        <v>6.3224999999999998</v>
      </c>
      <c r="I25" s="483">
        <f t="shared" si="1"/>
        <v>4.2149999999999999</v>
      </c>
      <c r="J25" s="483">
        <f t="shared" si="2"/>
        <v>6.3224999999999998</v>
      </c>
    </row>
    <row r="26" spans="1:10" ht="15.6">
      <c r="A26" s="568" t="s">
        <v>5525</v>
      </c>
      <c r="B26" s="559" t="s">
        <v>5526</v>
      </c>
      <c r="C26" s="558" t="s">
        <v>5438</v>
      </c>
      <c r="D26" s="533"/>
      <c r="E26" s="484">
        <v>191.10000000000002</v>
      </c>
      <c r="F26" s="484">
        <v>60.96</v>
      </c>
      <c r="G26" s="475">
        <v>1.5</v>
      </c>
      <c r="H26" s="487">
        <f t="shared" si="3"/>
        <v>91.44</v>
      </c>
      <c r="I26" s="483">
        <f t="shared" si="1"/>
        <v>252.06000000000003</v>
      </c>
      <c r="J26" s="483">
        <f t="shared" si="2"/>
        <v>282.54000000000002</v>
      </c>
    </row>
    <row r="27" spans="1:10" ht="15.6">
      <c r="A27" s="568" t="s">
        <v>5527</v>
      </c>
      <c r="B27" s="559" t="s">
        <v>5528</v>
      </c>
      <c r="C27" s="558" t="s">
        <v>5438</v>
      </c>
      <c r="D27" s="533"/>
      <c r="E27" s="484">
        <v>234</v>
      </c>
      <c r="F27" s="484">
        <v>137.14500000000001</v>
      </c>
      <c r="G27" s="475">
        <v>1.5</v>
      </c>
      <c r="H27" s="487">
        <f t="shared" si="3"/>
        <v>205.71750000000003</v>
      </c>
      <c r="I27" s="483">
        <f t="shared" si="1"/>
        <v>371.14499999999998</v>
      </c>
      <c r="J27" s="483">
        <f t="shared" si="2"/>
        <v>439.71750000000003</v>
      </c>
    </row>
    <row r="28" spans="1:10" ht="15.6">
      <c r="A28" s="568" t="s">
        <v>5529</v>
      </c>
      <c r="B28" s="559" t="s">
        <v>5530</v>
      </c>
      <c r="C28" s="558" t="s">
        <v>5438</v>
      </c>
      <c r="D28" s="533"/>
      <c r="E28" s="484">
        <v>5518.38</v>
      </c>
      <c r="F28" s="484">
        <v>844.74</v>
      </c>
      <c r="G28" s="475">
        <v>1.5</v>
      </c>
      <c r="H28" s="487">
        <f t="shared" si="3"/>
        <v>1267.1100000000001</v>
      </c>
      <c r="I28" s="483">
        <f t="shared" si="1"/>
        <v>6363.12</v>
      </c>
      <c r="J28" s="483">
        <f t="shared" si="2"/>
        <v>6785.49</v>
      </c>
    </row>
    <row r="29" spans="1:10" ht="15.6">
      <c r="A29" s="568" t="s">
        <v>5531</v>
      </c>
      <c r="B29" s="559" t="s">
        <v>5532</v>
      </c>
      <c r="C29" s="558" t="s">
        <v>5438</v>
      </c>
      <c r="D29" s="533"/>
      <c r="E29" s="484">
        <v>7025.6550000000007</v>
      </c>
      <c r="F29" s="484">
        <v>844.74</v>
      </c>
      <c r="G29" s="475">
        <v>1.5</v>
      </c>
      <c r="H29" s="487">
        <f t="shared" si="3"/>
        <v>1267.1100000000001</v>
      </c>
      <c r="I29" s="483">
        <f t="shared" si="1"/>
        <v>7870.3950000000004</v>
      </c>
      <c r="J29" s="483">
        <f t="shared" si="2"/>
        <v>8292.7650000000012</v>
      </c>
    </row>
    <row r="30" spans="1:10" ht="15.6">
      <c r="A30" s="568" t="s">
        <v>5533</v>
      </c>
      <c r="B30" s="557" t="s">
        <v>5534</v>
      </c>
      <c r="C30" s="558" t="s">
        <v>5438</v>
      </c>
      <c r="D30" s="533"/>
      <c r="E30" s="484">
        <v>8905.619999999999</v>
      </c>
      <c r="F30" s="484">
        <v>754.74</v>
      </c>
      <c r="G30" s="475">
        <v>1.5</v>
      </c>
      <c r="H30" s="487">
        <f t="shared" si="3"/>
        <v>1132.1100000000001</v>
      </c>
      <c r="I30" s="483">
        <f t="shared" si="1"/>
        <v>9660.3599999999988</v>
      </c>
      <c r="J30" s="483">
        <f t="shared" si="2"/>
        <v>10037.73</v>
      </c>
    </row>
    <row r="31" spans="1:10" ht="15.6">
      <c r="A31" s="568" t="s">
        <v>5535</v>
      </c>
      <c r="B31" s="559" t="s">
        <v>5536</v>
      </c>
      <c r="C31" s="558"/>
      <c r="D31" s="533"/>
      <c r="E31" s="484">
        <v>0</v>
      </c>
      <c r="F31" s="484">
        <v>0</v>
      </c>
      <c r="G31" s="475">
        <v>1.5</v>
      </c>
      <c r="H31" s="487">
        <f t="shared" si="3"/>
        <v>0</v>
      </c>
      <c r="I31" s="483">
        <f t="shared" si="1"/>
        <v>0</v>
      </c>
      <c r="J31" s="483">
        <f t="shared" si="2"/>
        <v>0</v>
      </c>
    </row>
    <row r="32" spans="1:10" ht="15.6">
      <c r="A32" s="568" t="s">
        <v>5537</v>
      </c>
      <c r="B32" s="559" t="s">
        <v>5536</v>
      </c>
      <c r="C32" s="558"/>
      <c r="D32" s="533"/>
      <c r="E32" s="484">
        <v>0</v>
      </c>
      <c r="F32" s="484">
        <v>0</v>
      </c>
      <c r="G32" s="475">
        <v>1.5</v>
      </c>
      <c r="H32" s="487">
        <f t="shared" si="3"/>
        <v>0</v>
      </c>
      <c r="I32" s="483">
        <f t="shared" si="1"/>
        <v>0</v>
      </c>
      <c r="J32" s="483">
        <f t="shared" si="2"/>
        <v>0</v>
      </c>
    </row>
    <row r="33" spans="1:10" ht="15.6" customHeight="1">
      <c r="A33" s="567" t="s">
        <v>5538</v>
      </c>
      <c r="B33" s="566" t="s">
        <v>5539</v>
      </c>
      <c r="C33" s="558" t="s">
        <v>5438</v>
      </c>
      <c r="D33" s="533"/>
      <c r="E33" s="484">
        <v>724.5</v>
      </c>
      <c r="F33" s="484">
        <v>0</v>
      </c>
      <c r="G33" s="475">
        <v>1.5</v>
      </c>
      <c r="H33" s="487">
        <f t="shared" si="3"/>
        <v>0</v>
      </c>
      <c r="I33" s="483">
        <f t="shared" si="1"/>
        <v>724.5</v>
      </c>
      <c r="J33" s="483">
        <f t="shared" si="2"/>
        <v>724.5</v>
      </c>
    </row>
    <row r="34" spans="1:10" ht="15.6" customHeight="1">
      <c r="A34" s="567" t="s">
        <v>5540</v>
      </c>
      <c r="B34" s="566" t="s">
        <v>5541</v>
      </c>
      <c r="C34" s="558" t="s">
        <v>5438</v>
      </c>
      <c r="D34" s="533"/>
      <c r="E34" s="484">
        <v>795</v>
      </c>
      <c r="F34" s="484">
        <v>128.52000000000001</v>
      </c>
      <c r="G34" s="475">
        <v>1.5</v>
      </c>
      <c r="H34" s="487">
        <f t="shared" si="3"/>
        <v>192.78000000000003</v>
      </c>
      <c r="I34" s="483">
        <f t="shared" si="1"/>
        <v>923.52</v>
      </c>
      <c r="J34" s="483">
        <f t="shared" si="2"/>
        <v>987.78</v>
      </c>
    </row>
    <row r="35" spans="1:10" ht="15.6" customHeight="1">
      <c r="A35" s="567" t="s">
        <v>5542</v>
      </c>
      <c r="B35" s="566" t="s">
        <v>5543</v>
      </c>
      <c r="C35" s="558" t="s">
        <v>5438</v>
      </c>
      <c r="D35" s="533"/>
      <c r="E35" s="484">
        <v>448.5</v>
      </c>
      <c r="F35" s="484">
        <v>1979.9850000000001</v>
      </c>
      <c r="G35" s="475">
        <v>1.5</v>
      </c>
      <c r="H35" s="487">
        <f t="shared" si="3"/>
        <v>2969.9775</v>
      </c>
      <c r="I35" s="483">
        <f t="shared" si="1"/>
        <v>2428.4850000000001</v>
      </c>
      <c r="J35" s="483">
        <f t="shared" si="2"/>
        <v>3418.4775</v>
      </c>
    </row>
    <row r="36" spans="1:10" ht="15.6" customHeight="1">
      <c r="A36" s="567" t="s">
        <v>5544</v>
      </c>
      <c r="B36" s="566" t="s">
        <v>5545</v>
      </c>
      <c r="C36" s="558" t="s">
        <v>5546</v>
      </c>
      <c r="D36" s="533"/>
      <c r="E36" s="484">
        <v>0</v>
      </c>
      <c r="F36" s="484">
        <v>2067.6000000000004</v>
      </c>
      <c r="G36" s="475">
        <v>1.5</v>
      </c>
      <c r="H36" s="487">
        <f t="shared" si="3"/>
        <v>3101.4000000000005</v>
      </c>
      <c r="I36" s="483">
        <f t="shared" si="1"/>
        <v>2067.6000000000004</v>
      </c>
      <c r="J36" s="483">
        <f t="shared" si="2"/>
        <v>3101.4000000000005</v>
      </c>
    </row>
    <row r="37" spans="1:10" ht="15.6" customHeight="1">
      <c r="A37" s="567" t="s">
        <v>5547</v>
      </c>
      <c r="B37" s="566" t="s">
        <v>5548</v>
      </c>
      <c r="C37" s="558" t="s">
        <v>5549</v>
      </c>
      <c r="D37" s="533"/>
      <c r="E37" s="484">
        <v>243.75</v>
      </c>
      <c r="F37" s="484">
        <v>127.5</v>
      </c>
      <c r="G37" s="475">
        <v>1.5</v>
      </c>
      <c r="H37" s="487">
        <f t="shared" si="3"/>
        <v>191.25</v>
      </c>
      <c r="I37" s="483">
        <f t="shared" si="1"/>
        <v>371.25</v>
      </c>
      <c r="J37" s="483">
        <f t="shared" si="2"/>
        <v>435</v>
      </c>
    </row>
    <row r="38" spans="1:10" ht="15.6">
      <c r="A38" s="565"/>
      <c r="B38" s="472"/>
      <c r="C38" s="495"/>
      <c r="D38" s="495"/>
      <c r="E38" s="564"/>
      <c r="F38" s="479"/>
      <c r="G38" s="479"/>
      <c r="H38" s="523"/>
      <c r="I38" s="523"/>
      <c r="J38" s="523"/>
    </row>
    <row r="39" spans="1:10" ht="15.6">
      <c r="A39" s="527" t="s">
        <v>5550</v>
      </c>
      <c r="B39" s="481" t="s">
        <v>5551</v>
      </c>
      <c r="C39" s="495"/>
      <c r="D39" s="495"/>
      <c r="E39" s="564"/>
      <c r="F39" s="479"/>
      <c r="G39" s="479"/>
      <c r="H39" s="523"/>
      <c r="I39" s="523"/>
      <c r="J39" s="523"/>
    </row>
    <row r="40" spans="1:10" ht="15.6">
      <c r="A40" s="527"/>
      <c r="B40" s="481" t="s">
        <v>5552</v>
      </c>
      <c r="C40" s="495"/>
      <c r="D40" s="495"/>
      <c r="E40" s="564"/>
      <c r="F40" s="479"/>
      <c r="G40" s="479"/>
      <c r="H40" s="523"/>
      <c r="I40" s="523"/>
      <c r="J40" s="523"/>
    </row>
    <row r="41" spans="1:10" ht="15.6">
      <c r="A41" s="501" t="s">
        <v>5553</v>
      </c>
      <c r="B41" s="500" t="s">
        <v>5554</v>
      </c>
      <c r="C41" s="499" t="s">
        <v>5546</v>
      </c>
      <c r="D41" s="499"/>
      <c r="E41" s="484">
        <v>742.90000000000009</v>
      </c>
      <c r="F41" s="484">
        <v>975.24</v>
      </c>
      <c r="G41" s="475">
        <v>1.5</v>
      </c>
      <c r="H41" s="487">
        <f t="shared" ref="H41:H76" si="4">(F41*G41)</f>
        <v>1462.8600000000001</v>
      </c>
      <c r="I41" s="483">
        <f t="shared" ref="I41:I76" si="5">E41+F41</f>
        <v>1718.14</v>
      </c>
      <c r="J41" s="483">
        <f t="shared" ref="J41:J76" si="6">E41+H41</f>
        <v>2205.7600000000002</v>
      </c>
    </row>
    <row r="42" spans="1:10" ht="15.6">
      <c r="A42" s="501" t="s">
        <v>5555</v>
      </c>
      <c r="B42" s="500" t="s">
        <v>5556</v>
      </c>
      <c r="C42" s="499" t="s">
        <v>5546</v>
      </c>
      <c r="D42" s="499"/>
      <c r="E42" s="484">
        <v>2917.0249999999996</v>
      </c>
      <c r="F42" s="484">
        <v>967.12000000000012</v>
      </c>
      <c r="G42" s="475">
        <v>1.5</v>
      </c>
      <c r="H42" s="487">
        <f t="shared" si="4"/>
        <v>1450.6800000000003</v>
      </c>
      <c r="I42" s="483">
        <f t="shared" si="5"/>
        <v>3884.1449999999995</v>
      </c>
      <c r="J42" s="483">
        <f t="shared" si="6"/>
        <v>4367.7049999999999</v>
      </c>
    </row>
    <row r="43" spans="1:10" ht="15.6">
      <c r="A43" s="501" t="s">
        <v>5557</v>
      </c>
      <c r="B43" s="500" t="s">
        <v>5558</v>
      </c>
      <c r="C43" s="499" t="s">
        <v>5546</v>
      </c>
      <c r="D43" s="499"/>
      <c r="E43" s="484">
        <v>484.32499999999999</v>
      </c>
      <c r="F43" s="484">
        <v>958.99200000000008</v>
      </c>
      <c r="G43" s="475">
        <v>1.5</v>
      </c>
      <c r="H43" s="487">
        <f t="shared" si="4"/>
        <v>1438.4880000000001</v>
      </c>
      <c r="I43" s="483">
        <f t="shared" si="5"/>
        <v>1443.317</v>
      </c>
      <c r="J43" s="483">
        <f t="shared" si="6"/>
        <v>1922.8130000000001</v>
      </c>
    </row>
    <row r="44" spans="1:10" ht="15.6">
      <c r="A44" s="501" t="s">
        <v>5559</v>
      </c>
      <c r="B44" s="500" t="s">
        <v>5560</v>
      </c>
      <c r="C44" s="499" t="s">
        <v>5546</v>
      </c>
      <c r="D44" s="499"/>
      <c r="E44" s="484">
        <v>396.83750000000003</v>
      </c>
      <c r="F44" s="484">
        <v>121.91199999999999</v>
      </c>
      <c r="G44" s="475">
        <v>1.5</v>
      </c>
      <c r="H44" s="487">
        <f t="shared" si="4"/>
        <v>182.86799999999999</v>
      </c>
      <c r="I44" s="483">
        <f t="shared" si="5"/>
        <v>518.74950000000001</v>
      </c>
      <c r="J44" s="483">
        <f t="shared" si="6"/>
        <v>579.70550000000003</v>
      </c>
    </row>
    <row r="45" spans="1:10" ht="15.6">
      <c r="A45" s="501" t="s">
        <v>5561</v>
      </c>
      <c r="B45" s="500" t="s">
        <v>5562</v>
      </c>
      <c r="C45" s="499" t="s">
        <v>5546</v>
      </c>
      <c r="D45" s="499"/>
      <c r="E45" s="484">
        <v>543.72500000000002</v>
      </c>
      <c r="F45" s="484">
        <v>56.896000000000008</v>
      </c>
      <c r="G45" s="475">
        <v>1.5</v>
      </c>
      <c r="H45" s="487">
        <f t="shared" si="4"/>
        <v>85.344000000000008</v>
      </c>
      <c r="I45" s="483">
        <f t="shared" si="5"/>
        <v>600.62099999999998</v>
      </c>
      <c r="J45" s="483">
        <f t="shared" si="6"/>
        <v>629.06900000000007</v>
      </c>
    </row>
    <row r="46" spans="1:10" ht="15.6">
      <c r="A46" s="501" t="s">
        <v>5563</v>
      </c>
      <c r="B46" s="500" t="s">
        <v>5564</v>
      </c>
      <c r="C46" s="499" t="s">
        <v>5546</v>
      </c>
      <c r="D46" s="499"/>
      <c r="E46" s="484">
        <v>126.75</v>
      </c>
      <c r="F46" s="484">
        <v>56.896000000000008</v>
      </c>
      <c r="G46" s="475">
        <v>1.5</v>
      </c>
      <c r="H46" s="487">
        <f t="shared" si="4"/>
        <v>85.344000000000008</v>
      </c>
      <c r="I46" s="483">
        <f t="shared" si="5"/>
        <v>183.64600000000002</v>
      </c>
      <c r="J46" s="483">
        <f t="shared" si="6"/>
        <v>212.09399999999999</v>
      </c>
    </row>
    <row r="47" spans="1:10" ht="15.6">
      <c r="A47" s="501" t="s">
        <v>5565</v>
      </c>
      <c r="B47" s="500" t="s">
        <v>5566</v>
      </c>
      <c r="C47" s="499" t="s">
        <v>5546</v>
      </c>
      <c r="D47" s="499"/>
      <c r="E47" s="484">
        <v>991.25</v>
      </c>
      <c r="F47" s="484">
        <v>81.272000000000006</v>
      </c>
      <c r="G47" s="475">
        <v>1.5</v>
      </c>
      <c r="H47" s="487">
        <f t="shared" si="4"/>
        <v>121.90800000000002</v>
      </c>
      <c r="I47" s="483">
        <f t="shared" si="5"/>
        <v>1072.5219999999999</v>
      </c>
      <c r="J47" s="483">
        <f t="shared" si="6"/>
        <v>1113.1579999999999</v>
      </c>
    </row>
    <row r="48" spans="1:10" ht="15.6">
      <c r="A48" s="501" t="s">
        <v>5567</v>
      </c>
      <c r="B48" s="500" t="s">
        <v>5568</v>
      </c>
      <c r="C48" s="499" t="s">
        <v>5546</v>
      </c>
      <c r="D48" s="499"/>
      <c r="E48" s="484">
        <v>461.5</v>
      </c>
      <c r="F48" s="484">
        <v>65.016000000000005</v>
      </c>
      <c r="G48" s="475">
        <v>1.5</v>
      </c>
      <c r="H48" s="487">
        <f t="shared" si="4"/>
        <v>97.524000000000001</v>
      </c>
      <c r="I48" s="483">
        <f t="shared" si="5"/>
        <v>526.51599999999996</v>
      </c>
      <c r="J48" s="483">
        <f t="shared" si="6"/>
        <v>559.024</v>
      </c>
    </row>
    <row r="49" spans="1:10" ht="15.6">
      <c r="A49" s="501" t="s">
        <v>5569</v>
      </c>
      <c r="B49" s="500" t="s">
        <v>5570</v>
      </c>
      <c r="C49" s="499" t="s">
        <v>5546</v>
      </c>
      <c r="D49" s="499"/>
      <c r="E49" s="484">
        <v>412.75</v>
      </c>
      <c r="F49" s="484">
        <v>48.768000000000001</v>
      </c>
      <c r="G49" s="475">
        <v>1.5</v>
      </c>
      <c r="H49" s="487">
        <f t="shared" si="4"/>
        <v>73.152000000000001</v>
      </c>
      <c r="I49" s="483">
        <f t="shared" si="5"/>
        <v>461.51800000000003</v>
      </c>
      <c r="J49" s="483">
        <f t="shared" si="6"/>
        <v>485.90199999999999</v>
      </c>
    </row>
    <row r="50" spans="1:10" ht="15.6">
      <c r="A50" s="501" t="s">
        <v>5571</v>
      </c>
      <c r="B50" s="500" t="s">
        <v>5572</v>
      </c>
      <c r="C50" s="499" t="s">
        <v>5546</v>
      </c>
      <c r="D50" s="499"/>
      <c r="E50" s="484">
        <v>343.36250000000001</v>
      </c>
      <c r="F50" s="484">
        <v>32.512</v>
      </c>
      <c r="G50" s="475">
        <v>1.5</v>
      </c>
      <c r="H50" s="487">
        <f t="shared" si="4"/>
        <v>48.768000000000001</v>
      </c>
      <c r="I50" s="483">
        <f t="shared" si="5"/>
        <v>375.87450000000001</v>
      </c>
      <c r="J50" s="483">
        <f t="shared" si="6"/>
        <v>392.13049999999998</v>
      </c>
    </row>
    <row r="51" spans="1:10" ht="15.6">
      <c r="A51" s="501" t="s">
        <v>5573</v>
      </c>
      <c r="B51" s="500" t="s">
        <v>5574</v>
      </c>
      <c r="C51" s="499" t="s">
        <v>5438</v>
      </c>
      <c r="D51" s="563"/>
      <c r="E51" s="562"/>
      <c r="F51" s="484">
        <v>168.48000000000002</v>
      </c>
      <c r="G51" s="475">
        <v>1.5</v>
      </c>
      <c r="H51" s="487">
        <f t="shared" si="4"/>
        <v>252.72000000000003</v>
      </c>
      <c r="I51" s="483">
        <f t="shared" si="5"/>
        <v>168.48000000000002</v>
      </c>
      <c r="J51" s="483">
        <f t="shared" si="6"/>
        <v>252.72000000000003</v>
      </c>
    </row>
    <row r="52" spans="1:10" ht="15.6">
      <c r="A52" s="501" t="s">
        <v>5575</v>
      </c>
      <c r="B52" s="500" t="s">
        <v>5576</v>
      </c>
      <c r="C52" s="499" t="s">
        <v>5438</v>
      </c>
      <c r="D52" s="563"/>
      <c r="E52" s="562"/>
      <c r="F52" s="484">
        <v>292.57599999999996</v>
      </c>
      <c r="G52" s="475">
        <v>1.5</v>
      </c>
      <c r="H52" s="487">
        <f t="shared" si="4"/>
        <v>438.86399999999992</v>
      </c>
      <c r="I52" s="483">
        <f t="shared" si="5"/>
        <v>292.57599999999996</v>
      </c>
      <c r="J52" s="483">
        <f t="shared" si="6"/>
        <v>438.86399999999992</v>
      </c>
    </row>
    <row r="53" spans="1:10" ht="15.6">
      <c r="A53" s="501" t="s">
        <v>5577</v>
      </c>
      <c r="B53" s="500" t="s">
        <v>5578</v>
      </c>
      <c r="C53" s="499" t="s">
        <v>5546</v>
      </c>
      <c r="D53" s="499"/>
      <c r="E53" s="484">
        <v>3506.6249999999995</v>
      </c>
      <c r="F53" s="484">
        <v>926.48</v>
      </c>
      <c r="G53" s="475">
        <v>1.5</v>
      </c>
      <c r="H53" s="487">
        <f t="shared" si="4"/>
        <v>1389.72</v>
      </c>
      <c r="I53" s="483">
        <f t="shared" si="5"/>
        <v>4433.1049999999996</v>
      </c>
      <c r="J53" s="483">
        <f t="shared" si="6"/>
        <v>4896.3449999999993</v>
      </c>
    </row>
    <row r="54" spans="1:10" ht="15.6">
      <c r="A54" s="501" t="s">
        <v>5579</v>
      </c>
      <c r="B54" s="500" t="s">
        <v>5580</v>
      </c>
      <c r="C54" s="499" t="s">
        <v>5546</v>
      </c>
      <c r="D54" s="499"/>
      <c r="E54" s="484">
        <v>3562.2499999999995</v>
      </c>
      <c r="F54" s="484">
        <v>1024.008</v>
      </c>
      <c r="G54" s="475">
        <v>1.5</v>
      </c>
      <c r="H54" s="487">
        <f t="shared" si="4"/>
        <v>1536.0120000000002</v>
      </c>
      <c r="I54" s="483">
        <f t="shared" si="5"/>
        <v>4586.2579999999998</v>
      </c>
      <c r="J54" s="483">
        <f t="shared" si="6"/>
        <v>5098.2619999999997</v>
      </c>
    </row>
    <row r="55" spans="1:10" ht="15.6">
      <c r="A55" s="501" t="s">
        <v>5581</v>
      </c>
      <c r="B55" s="500" t="s">
        <v>5582</v>
      </c>
      <c r="C55" s="529" t="s">
        <v>5546</v>
      </c>
      <c r="D55" s="499"/>
      <c r="E55" s="484">
        <v>585</v>
      </c>
      <c r="F55" s="484">
        <v>130.03200000000001</v>
      </c>
      <c r="G55" s="475">
        <v>1.5</v>
      </c>
      <c r="H55" s="487">
        <f t="shared" si="4"/>
        <v>195.048</v>
      </c>
      <c r="I55" s="483">
        <f t="shared" si="5"/>
        <v>715.03200000000004</v>
      </c>
      <c r="J55" s="483">
        <f t="shared" si="6"/>
        <v>780.048</v>
      </c>
    </row>
    <row r="56" spans="1:10" ht="15.6">
      <c r="A56" s="501" t="s">
        <v>5583</v>
      </c>
      <c r="B56" s="500" t="s">
        <v>5584</v>
      </c>
      <c r="C56" s="499" t="s">
        <v>5546</v>
      </c>
      <c r="D56" s="499"/>
      <c r="E56" s="484">
        <v>1056.25</v>
      </c>
      <c r="F56" s="484">
        <v>260.06400000000002</v>
      </c>
      <c r="G56" s="475">
        <v>1.5</v>
      </c>
      <c r="H56" s="487">
        <f t="shared" si="4"/>
        <v>390.096</v>
      </c>
      <c r="I56" s="483">
        <f t="shared" si="5"/>
        <v>1316.3140000000001</v>
      </c>
      <c r="J56" s="483">
        <f t="shared" si="6"/>
        <v>1446.346</v>
      </c>
    </row>
    <row r="57" spans="1:10" ht="15.6">
      <c r="A57" s="501" t="s">
        <v>5585</v>
      </c>
      <c r="B57" s="500" t="s">
        <v>5586</v>
      </c>
      <c r="C57" s="499" t="s">
        <v>5546</v>
      </c>
      <c r="D57" s="499"/>
      <c r="E57" s="484">
        <v>5232.5</v>
      </c>
      <c r="F57" s="484">
        <v>325.08000000000004</v>
      </c>
      <c r="G57" s="475">
        <v>1.5</v>
      </c>
      <c r="H57" s="487">
        <f t="shared" si="4"/>
        <v>487.62000000000006</v>
      </c>
      <c r="I57" s="483">
        <f t="shared" si="5"/>
        <v>5557.58</v>
      </c>
      <c r="J57" s="483">
        <f t="shared" si="6"/>
        <v>5720.12</v>
      </c>
    </row>
    <row r="58" spans="1:10" ht="15.6">
      <c r="A58" s="501" t="s">
        <v>5587</v>
      </c>
      <c r="B58" s="500" t="s">
        <v>5588</v>
      </c>
      <c r="C58" s="499" t="s">
        <v>5546</v>
      </c>
      <c r="D58" s="499"/>
      <c r="E58" s="484">
        <v>503.75</v>
      </c>
      <c r="F58" s="484">
        <v>210.60000000000002</v>
      </c>
      <c r="G58" s="475">
        <v>1.5</v>
      </c>
      <c r="H58" s="487">
        <f t="shared" si="4"/>
        <v>315.90000000000003</v>
      </c>
      <c r="I58" s="483">
        <f t="shared" si="5"/>
        <v>714.35</v>
      </c>
      <c r="J58" s="483">
        <f t="shared" si="6"/>
        <v>819.65000000000009</v>
      </c>
    </row>
    <row r="59" spans="1:10" ht="15.6">
      <c r="A59" s="501" t="s">
        <v>5589</v>
      </c>
      <c r="B59" s="500" t="s">
        <v>5590</v>
      </c>
      <c r="C59" s="499" t="s">
        <v>5546</v>
      </c>
      <c r="D59" s="499"/>
      <c r="E59" s="484">
        <v>503.75</v>
      </c>
      <c r="F59" s="484">
        <v>168.48000000000002</v>
      </c>
      <c r="G59" s="475">
        <v>1.5</v>
      </c>
      <c r="H59" s="487">
        <f t="shared" si="4"/>
        <v>252.72000000000003</v>
      </c>
      <c r="I59" s="483">
        <f t="shared" si="5"/>
        <v>672.23</v>
      </c>
      <c r="J59" s="483">
        <f t="shared" si="6"/>
        <v>756.47</v>
      </c>
    </row>
    <row r="60" spans="1:10" ht="15.6">
      <c r="A60" s="501" t="s">
        <v>5591</v>
      </c>
      <c r="B60" s="500" t="s">
        <v>5592</v>
      </c>
      <c r="C60" s="499" t="s">
        <v>5546</v>
      </c>
      <c r="D60" s="563"/>
      <c r="E60" s="562">
        <v>0</v>
      </c>
      <c r="F60" s="484">
        <v>8283.6</v>
      </c>
      <c r="G60" s="475">
        <v>1.5</v>
      </c>
      <c r="H60" s="487">
        <f t="shared" si="4"/>
        <v>12425.400000000001</v>
      </c>
      <c r="I60" s="483">
        <f t="shared" si="5"/>
        <v>8283.6</v>
      </c>
      <c r="J60" s="483">
        <f t="shared" si="6"/>
        <v>12425.400000000001</v>
      </c>
    </row>
    <row r="61" spans="1:10" ht="15.6">
      <c r="A61" s="501" t="s">
        <v>5593</v>
      </c>
      <c r="B61" s="500" t="s">
        <v>5594</v>
      </c>
      <c r="C61" s="499" t="s">
        <v>5546</v>
      </c>
      <c r="D61" s="499"/>
      <c r="E61" s="484">
        <v>393.875</v>
      </c>
      <c r="F61" s="484">
        <v>40.64</v>
      </c>
      <c r="G61" s="475">
        <v>1.5</v>
      </c>
      <c r="H61" s="487">
        <f t="shared" si="4"/>
        <v>60.96</v>
      </c>
      <c r="I61" s="483">
        <f t="shared" si="5"/>
        <v>434.51499999999999</v>
      </c>
      <c r="J61" s="483">
        <f t="shared" si="6"/>
        <v>454.83499999999998</v>
      </c>
    </row>
    <row r="62" spans="1:10" ht="15.6">
      <c r="A62" s="501" t="s">
        <v>5595</v>
      </c>
      <c r="B62" s="500" t="s">
        <v>5596</v>
      </c>
      <c r="C62" s="499" t="s">
        <v>5546</v>
      </c>
      <c r="D62" s="499"/>
      <c r="E62" s="484">
        <v>393.875</v>
      </c>
      <c r="F62" s="484">
        <v>40.64</v>
      </c>
      <c r="G62" s="475">
        <v>1.5</v>
      </c>
      <c r="H62" s="487">
        <f t="shared" si="4"/>
        <v>60.96</v>
      </c>
      <c r="I62" s="483">
        <f t="shared" si="5"/>
        <v>434.51499999999999</v>
      </c>
      <c r="J62" s="483">
        <f t="shared" si="6"/>
        <v>454.83499999999998</v>
      </c>
    </row>
    <row r="63" spans="1:10" ht="15.6">
      <c r="A63" s="501" t="s">
        <v>5597</v>
      </c>
      <c r="B63" s="500" t="s">
        <v>5598</v>
      </c>
      <c r="C63" s="499" t="s">
        <v>5546</v>
      </c>
      <c r="D63" s="499"/>
      <c r="E63" s="484">
        <v>496.5625</v>
      </c>
      <c r="F63" s="484">
        <v>958.99200000000008</v>
      </c>
      <c r="G63" s="475">
        <v>1.5</v>
      </c>
      <c r="H63" s="487">
        <f t="shared" si="4"/>
        <v>1438.4880000000001</v>
      </c>
      <c r="I63" s="483">
        <f t="shared" si="5"/>
        <v>1455.5545000000002</v>
      </c>
      <c r="J63" s="483">
        <f t="shared" si="6"/>
        <v>1935.0505000000001</v>
      </c>
    </row>
    <row r="64" spans="1:10" ht="15.6">
      <c r="A64" s="501" t="s">
        <v>5599</v>
      </c>
      <c r="B64" s="561" t="s">
        <v>5600</v>
      </c>
      <c r="C64" s="560" t="s">
        <v>253</v>
      </c>
      <c r="D64" s="499"/>
      <c r="E64" s="484">
        <v>0</v>
      </c>
      <c r="F64" s="484">
        <v>2.2479999999999998</v>
      </c>
      <c r="G64" s="475">
        <v>1.5</v>
      </c>
      <c r="H64" s="487">
        <f t="shared" si="4"/>
        <v>3.3719999999999999</v>
      </c>
      <c r="I64" s="483">
        <f t="shared" si="5"/>
        <v>2.2479999999999998</v>
      </c>
      <c r="J64" s="483">
        <f t="shared" si="6"/>
        <v>3.3719999999999999</v>
      </c>
    </row>
    <row r="65" spans="1:10" ht="15.6">
      <c r="A65" s="501" t="s">
        <v>5601</v>
      </c>
      <c r="B65" s="561" t="s">
        <v>5602</v>
      </c>
      <c r="C65" s="560" t="s">
        <v>253</v>
      </c>
      <c r="D65" s="499"/>
      <c r="E65" s="484">
        <v>0</v>
      </c>
      <c r="F65" s="484">
        <v>2.2479999999999998</v>
      </c>
      <c r="G65" s="475">
        <v>1.5</v>
      </c>
      <c r="H65" s="487">
        <f t="shared" si="4"/>
        <v>3.3719999999999999</v>
      </c>
      <c r="I65" s="483">
        <f t="shared" si="5"/>
        <v>2.2479999999999998</v>
      </c>
      <c r="J65" s="483">
        <f t="shared" si="6"/>
        <v>3.3719999999999999</v>
      </c>
    </row>
    <row r="66" spans="1:10" ht="15.6">
      <c r="A66" s="501" t="s">
        <v>5603</v>
      </c>
      <c r="B66" s="559" t="s">
        <v>5604</v>
      </c>
      <c r="C66" s="558" t="s">
        <v>5438</v>
      </c>
      <c r="D66" s="499"/>
      <c r="E66" s="484">
        <v>139.75</v>
      </c>
      <c r="F66" s="484">
        <v>24.384</v>
      </c>
      <c r="G66" s="475">
        <v>1.5</v>
      </c>
      <c r="H66" s="487">
        <f t="shared" si="4"/>
        <v>36.576000000000001</v>
      </c>
      <c r="I66" s="483">
        <f t="shared" si="5"/>
        <v>164.13400000000001</v>
      </c>
      <c r="J66" s="483">
        <f t="shared" si="6"/>
        <v>176.32599999999999</v>
      </c>
    </row>
    <row r="67" spans="1:10" ht="15.6">
      <c r="A67" s="501" t="s">
        <v>5605</v>
      </c>
      <c r="B67" s="559" t="s">
        <v>5606</v>
      </c>
      <c r="C67" s="558" t="s">
        <v>5438</v>
      </c>
      <c r="D67" s="499"/>
      <c r="E67" s="484">
        <v>422.5</v>
      </c>
      <c r="F67" s="484">
        <v>73.144000000000005</v>
      </c>
      <c r="G67" s="475">
        <v>1.5</v>
      </c>
      <c r="H67" s="487">
        <f t="shared" si="4"/>
        <v>109.71600000000001</v>
      </c>
      <c r="I67" s="483">
        <f t="shared" si="5"/>
        <v>495.64400000000001</v>
      </c>
      <c r="J67" s="483">
        <f t="shared" si="6"/>
        <v>532.21600000000001</v>
      </c>
    </row>
    <row r="68" spans="1:10" ht="15.6">
      <c r="A68" s="501" t="s">
        <v>5607</v>
      </c>
      <c r="B68" s="559" t="s">
        <v>5608</v>
      </c>
      <c r="C68" s="558" t="s">
        <v>5438</v>
      </c>
      <c r="D68" s="499"/>
      <c r="E68" s="484">
        <v>183.625</v>
      </c>
      <c r="F68" s="484">
        <v>40.64</v>
      </c>
      <c r="G68" s="475">
        <v>1.5</v>
      </c>
      <c r="H68" s="487">
        <f t="shared" si="4"/>
        <v>60.96</v>
      </c>
      <c r="I68" s="483">
        <f t="shared" si="5"/>
        <v>224.26499999999999</v>
      </c>
      <c r="J68" s="483">
        <f t="shared" si="6"/>
        <v>244.58500000000001</v>
      </c>
    </row>
    <row r="69" spans="1:10" ht="15.6">
      <c r="A69" s="501" t="s">
        <v>5609</v>
      </c>
      <c r="B69" s="559" t="s">
        <v>5610</v>
      </c>
      <c r="C69" s="558" t="s">
        <v>5438</v>
      </c>
      <c r="D69" s="499"/>
      <c r="E69" s="484">
        <v>99.9375</v>
      </c>
      <c r="F69" s="484">
        <v>24.384</v>
      </c>
      <c r="G69" s="475">
        <v>1.5</v>
      </c>
      <c r="H69" s="487">
        <f t="shared" si="4"/>
        <v>36.576000000000001</v>
      </c>
      <c r="I69" s="483">
        <f t="shared" si="5"/>
        <v>124.3215</v>
      </c>
      <c r="J69" s="483">
        <f t="shared" si="6"/>
        <v>136.51349999999999</v>
      </c>
    </row>
    <row r="70" spans="1:10" ht="15.6">
      <c r="A70" s="501" t="s">
        <v>5611</v>
      </c>
      <c r="B70" s="559" t="s">
        <v>5612</v>
      </c>
      <c r="C70" s="558" t="s">
        <v>5438</v>
      </c>
      <c r="D70" s="499"/>
      <c r="E70" s="484">
        <v>115.41249999999999</v>
      </c>
      <c r="F70" s="484">
        <v>16.256</v>
      </c>
      <c r="G70" s="475">
        <v>1.5</v>
      </c>
      <c r="H70" s="487">
        <f t="shared" si="4"/>
        <v>24.384</v>
      </c>
      <c r="I70" s="483">
        <f t="shared" si="5"/>
        <v>131.66849999999999</v>
      </c>
      <c r="J70" s="483">
        <f t="shared" si="6"/>
        <v>139.79649999999998</v>
      </c>
    </row>
    <row r="71" spans="1:10" ht="15.6">
      <c r="A71" s="501" t="s">
        <v>5613</v>
      </c>
      <c r="B71" s="557" t="s">
        <v>5614</v>
      </c>
      <c r="C71" s="555" t="s">
        <v>5438</v>
      </c>
      <c r="D71" s="499"/>
      <c r="E71" s="484">
        <v>695.46249999999998</v>
      </c>
      <c r="F71" s="484">
        <v>975.24</v>
      </c>
      <c r="G71" s="475">
        <v>1.5</v>
      </c>
      <c r="H71" s="487">
        <f t="shared" si="4"/>
        <v>1462.8600000000001</v>
      </c>
      <c r="I71" s="483">
        <f t="shared" si="5"/>
        <v>1670.7024999999999</v>
      </c>
      <c r="J71" s="483">
        <f t="shared" si="6"/>
        <v>2158.3225000000002</v>
      </c>
    </row>
    <row r="72" spans="1:10" ht="15.6" customHeight="1">
      <c r="A72" s="501" t="s">
        <v>5615</v>
      </c>
      <c r="B72" s="551" t="s">
        <v>5616</v>
      </c>
      <c r="C72" s="555" t="s">
        <v>5438</v>
      </c>
      <c r="D72" s="499"/>
      <c r="E72" s="484">
        <v>1011.25</v>
      </c>
      <c r="F72" s="484">
        <v>992.52800000000013</v>
      </c>
      <c r="G72" s="475">
        <v>1.5</v>
      </c>
      <c r="H72" s="487">
        <f t="shared" si="4"/>
        <v>1488.7920000000001</v>
      </c>
      <c r="I72" s="483">
        <f t="shared" si="5"/>
        <v>2003.7780000000002</v>
      </c>
      <c r="J72" s="483">
        <f t="shared" si="6"/>
        <v>2500.0420000000004</v>
      </c>
    </row>
    <row r="73" spans="1:10" ht="15.6" customHeight="1">
      <c r="A73" s="501" t="s">
        <v>5617</v>
      </c>
      <c r="B73" s="556" t="s">
        <v>5618</v>
      </c>
      <c r="C73" s="555" t="s">
        <v>5438</v>
      </c>
      <c r="D73" s="499"/>
      <c r="E73" s="484">
        <v>939.77500000000009</v>
      </c>
      <c r="F73" s="484">
        <v>975.24</v>
      </c>
      <c r="G73" s="475">
        <v>1.5</v>
      </c>
      <c r="H73" s="487">
        <f t="shared" si="4"/>
        <v>1462.8600000000001</v>
      </c>
      <c r="I73" s="483">
        <f t="shared" si="5"/>
        <v>1915.0150000000001</v>
      </c>
      <c r="J73" s="483">
        <f t="shared" si="6"/>
        <v>2402.6350000000002</v>
      </c>
    </row>
    <row r="74" spans="1:10" ht="15.6" customHeight="1">
      <c r="A74" s="501" t="s">
        <v>5619</v>
      </c>
      <c r="B74" s="556" t="s">
        <v>5620</v>
      </c>
      <c r="C74" s="555" t="s">
        <v>5438</v>
      </c>
      <c r="D74" s="499"/>
      <c r="E74" s="484">
        <v>2689.8874999999998</v>
      </c>
      <c r="F74" s="484">
        <v>975.24</v>
      </c>
      <c r="G74" s="475">
        <v>1.5</v>
      </c>
      <c r="H74" s="487">
        <f t="shared" si="4"/>
        <v>1462.8600000000001</v>
      </c>
      <c r="I74" s="483">
        <f t="shared" si="5"/>
        <v>3665.1274999999996</v>
      </c>
      <c r="J74" s="483">
        <f t="shared" si="6"/>
        <v>4152.7474999999995</v>
      </c>
    </row>
    <row r="75" spans="1:10" ht="15.6" customHeight="1">
      <c r="A75" s="501" t="s">
        <v>5621</v>
      </c>
      <c r="B75" s="556" t="s">
        <v>5622</v>
      </c>
      <c r="C75" s="555" t="s">
        <v>5438</v>
      </c>
      <c r="D75" s="499"/>
      <c r="E75" s="484">
        <v>3975</v>
      </c>
      <c r="F75" s="484">
        <v>967.92000000000007</v>
      </c>
      <c r="G75" s="475">
        <v>1.5</v>
      </c>
      <c r="H75" s="487">
        <f t="shared" si="4"/>
        <v>1451.88</v>
      </c>
      <c r="I75" s="483">
        <f t="shared" si="5"/>
        <v>4942.92</v>
      </c>
      <c r="J75" s="483">
        <f t="shared" si="6"/>
        <v>5426.88</v>
      </c>
    </row>
    <row r="76" spans="1:10" ht="15.6" customHeight="1">
      <c r="A76" s="501" t="s">
        <v>5623</v>
      </c>
      <c r="B76" s="556" t="s">
        <v>5624</v>
      </c>
      <c r="C76" s="555" t="s">
        <v>5438</v>
      </c>
      <c r="D76" s="499"/>
      <c r="E76" s="484">
        <v>939.77500000000009</v>
      </c>
      <c r="F76" s="484">
        <v>975.24</v>
      </c>
      <c r="G76" s="475">
        <v>1.5</v>
      </c>
      <c r="H76" s="487">
        <f t="shared" si="4"/>
        <v>1462.8600000000001</v>
      </c>
      <c r="I76" s="483">
        <f t="shared" si="5"/>
        <v>1915.0150000000001</v>
      </c>
      <c r="J76" s="483">
        <f t="shared" si="6"/>
        <v>2402.6350000000002</v>
      </c>
    </row>
    <row r="77" spans="1:10" ht="15.6">
      <c r="A77" s="497"/>
      <c r="B77" s="496"/>
      <c r="C77" s="495"/>
      <c r="D77" s="495"/>
      <c r="E77" s="554"/>
      <c r="F77" s="547"/>
      <c r="G77" s="547"/>
      <c r="H77" s="543"/>
      <c r="I77" s="492"/>
      <c r="J77" s="492"/>
    </row>
    <row r="78" spans="1:10" ht="15.6">
      <c r="A78" s="527" t="s">
        <v>5625</v>
      </c>
      <c r="B78" s="481" t="s">
        <v>5626</v>
      </c>
      <c r="C78" s="495"/>
      <c r="D78" s="495"/>
      <c r="E78" s="537"/>
      <c r="F78" s="523"/>
      <c r="G78" s="523"/>
      <c r="H78" s="523"/>
      <c r="I78" s="523"/>
      <c r="J78" s="523"/>
    </row>
    <row r="79" spans="1:10" ht="15.6">
      <c r="A79" s="527"/>
      <c r="B79" s="481" t="s">
        <v>5627</v>
      </c>
      <c r="C79" s="526"/>
      <c r="D79" s="526"/>
      <c r="E79" s="537"/>
      <c r="F79" s="523"/>
      <c r="G79" s="523"/>
      <c r="H79" s="523"/>
      <c r="I79" s="523"/>
      <c r="J79" s="523"/>
    </row>
    <row r="80" spans="1:10" ht="15.6">
      <c r="A80" s="522" t="s">
        <v>5628</v>
      </c>
      <c r="B80" s="500" t="s">
        <v>5629</v>
      </c>
      <c r="C80" s="540" t="s">
        <v>5438</v>
      </c>
      <c r="D80" s="540"/>
      <c r="E80" s="484">
        <v>1796.875</v>
      </c>
      <c r="F80" s="484">
        <v>398.22399999999999</v>
      </c>
      <c r="G80" s="475">
        <v>1.5</v>
      </c>
      <c r="H80" s="487">
        <f t="shared" ref="H80:H87" si="7">(F80*G80)</f>
        <v>597.33600000000001</v>
      </c>
      <c r="I80" s="483">
        <f t="shared" ref="I80:I98" si="8">E80+F80</f>
        <v>2195.0990000000002</v>
      </c>
      <c r="J80" s="483">
        <f t="shared" ref="J80:J98" si="9">E80+H80</f>
        <v>2394.2110000000002</v>
      </c>
    </row>
    <row r="81" spans="1:10" ht="15.6">
      <c r="A81" s="522" t="s">
        <v>5630</v>
      </c>
      <c r="B81" s="500" t="s">
        <v>5631</v>
      </c>
      <c r="C81" s="540" t="s">
        <v>5438</v>
      </c>
      <c r="D81" s="540"/>
      <c r="E81" s="484">
        <v>1734.375</v>
      </c>
      <c r="F81" s="484">
        <v>398.22399999999999</v>
      </c>
      <c r="G81" s="475">
        <v>1.5</v>
      </c>
      <c r="H81" s="487">
        <f t="shared" si="7"/>
        <v>597.33600000000001</v>
      </c>
      <c r="I81" s="483">
        <f t="shared" si="8"/>
        <v>2132.5990000000002</v>
      </c>
      <c r="J81" s="483">
        <f t="shared" si="9"/>
        <v>2331.7110000000002</v>
      </c>
    </row>
    <row r="82" spans="1:10" ht="15.6">
      <c r="A82" s="522" t="s">
        <v>5632</v>
      </c>
      <c r="B82" s="500" t="s">
        <v>5633</v>
      </c>
      <c r="C82" s="540" t="s">
        <v>5438</v>
      </c>
      <c r="D82" s="540"/>
      <c r="E82" s="484">
        <v>2843.75</v>
      </c>
      <c r="F82" s="484">
        <v>479.49600000000004</v>
      </c>
      <c r="G82" s="475">
        <v>1.5</v>
      </c>
      <c r="H82" s="487">
        <f t="shared" si="7"/>
        <v>719.24400000000003</v>
      </c>
      <c r="I82" s="483">
        <f t="shared" si="8"/>
        <v>3323.2460000000001</v>
      </c>
      <c r="J82" s="483">
        <f t="shared" si="9"/>
        <v>3562.9940000000001</v>
      </c>
    </row>
    <row r="83" spans="1:10" ht="15.6">
      <c r="A83" s="522" t="s">
        <v>5634</v>
      </c>
      <c r="B83" s="500" t="s">
        <v>5635</v>
      </c>
      <c r="C83" s="540" t="s">
        <v>5438</v>
      </c>
      <c r="D83" s="540"/>
      <c r="E83" s="484">
        <v>2953.125</v>
      </c>
      <c r="F83" s="484">
        <v>479.49600000000004</v>
      </c>
      <c r="G83" s="475">
        <v>1.5</v>
      </c>
      <c r="H83" s="487">
        <f t="shared" si="7"/>
        <v>719.24400000000003</v>
      </c>
      <c r="I83" s="483">
        <f t="shared" si="8"/>
        <v>3432.6210000000001</v>
      </c>
      <c r="J83" s="483">
        <f t="shared" si="9"/>
        <v>3672.3690000000001</v>
      </c>
    </row>
    <row r="84" spans="1:10" ht="15.6">
      <c r="A84" s="522" t="s">
        <v>5636</v>
      </c>
      <c r="B84" s="500" t="s">
        <v>5637</v>
      </c>
      <c r="C84" s="540" t="s">
        <v>5546</v>
      </c>
      <c r="D84" s="540"/>
      <c r="E84" s="474">
        <v>0</v>
      </c>
      <c r="F84" s="484">
        <v>196.56</v>
      </c>
      <c r="G84" s="475">
        <v>1.5</v>
      </c>
      <c r="H84" s="487">
        <f t="shared" si="7"/>
        <v>294.84000000000003</v>
      </c>
      <c r="I84" s="483">
        <f t="shared" si="8"/>
        <v>196.56</v>
      </c>
      <c r="J84" s="483">
        <f t="shared" si="9"/>
        <v>294.84000000000003</v>
      </c>
    </row>
    <row r="85" spans="1:10" ht="15.6">
      <c r="A85" s="522" t="s">
        <v>5638</v>
      </c>
      <c r="B85" s="500" t="s">
        <v>5639</v>
      </c>
      <c r="C85" s="540" t="s">
        <v>5438</v>
      </c>
      <c r="D85" s="540"/>
      <c r="E85" s="484">
        <v>515.625</v>
      </c>
      <c r="F85" s="484">
        <v>219.43199999999999</v>
      </c>
      <c r="G85" s="475">
        <v>1.5</v>
      </c>
      <c r="H85" s="487">
        <f t="shared" si="7"/>
        <v>329.14799999999997</v>
      </c>
      <c r="I85" s="483">
        <f t="shared" si="8"/>
        <v>735.05700000000002</v>
      </c>
      <c r="J85" s="483">
        <f t="shared" si="9"/>
        <v>844.77299999999991</v>
      </c>
    </row>
    <row r="86" spans="1:10" ht="15.6">
      <c r="A86" s="522" t="s">
        <v>5640</v>
      </c>
      <c r="B86" s="500" t="s">
        <v>5641</v>
      </c>
      <c r="C86" s="540" t="s">
        <v>5438</v>
      </c>
      <c r="D86" s="540"/>
      <c r="E86" s="484">
        <v>656.25</v>
      </c>
      <c r="F86" s="484">
        <v>219.43199999999999</v>
      </c>
      <c r="G86" s="475">
        <v>1.5</v>
      </c>
      <c r="H86" s="487">
        <f t="shared" si="7"/>
        <v>329.14799999999997</v>
      </c>
      <c r="I86" s="483">
        <f t="shared" si="8"/>
        <v>875.68200000000002</v>
      </c>
      <c r="J86" s="483">
        <f t="shared" si="9"/>
        <v>985.39799999999991</v>
      </c>
    </row>
    <row r="87" spans="1:10" ht="15.6">
      <c r="A87" s="522" t="s">
        <v>5642</v>
      </c>
      <c r="B87" s="500" t="s">
        <v>5643</v>
      </c>
      <c r="C87" s="540" t="s">
        <v>5546</v>
      </c>
      <c r="D87" s="540"/>
      <c r="E87" s="474">
        <v>0</v>
      </c>
      <c r="F87" s="484">
        <v>63.184000000000005</v>
      </c>
      <c r="G87" s="475">
        <v>1.5</v>
      </c>
      <c r="H87" s="487">
        <f t="shared" si="7"/>
        <v>94.77600000000001</v>
      </c>
      <c r="I87" s="483">
        <f t="shared" si="8"/>
        <v>63.184000000000005</v>
      </c>
      <c r="J87" s="483">
        <f t="shared" si="9"/>
        <v>94.77600000000001</v>
      </c>
    </row>
    <row r="88" spans="1:10" ht="15.6">
      <c r="A88" s="522" t="s">
        <v>5644</v>
      </c>
      <c r="B88" s="500" t="s">
        <v>5645</v>
      </c>
      <c r="C88" s="540" t="s">
        <v>5438</v>
      </c>
      <c r="D88" s="540"/>
      <c r="E88" s="484">
        <v>687.5</v>
      </c>
      <c r="F88" s="484">
        <v>81.272000000000006</v>
      </c>
      <c r="G88" s="541"/>
      <c r="H88" s="541"/>
      <c r="I88" s="483">
        <f t="shared" si="8"/>
        <v>768.77200000000005</v>
      </c>
      <c r="J88" s="483">
        <f t="shared" si="9"/>
        <v>687.5</v>
      </c>
    </row>
    <row r="89" spans="1:10" ht="15.6" customHeight="1">
      <c r="A89" s="552" t="s">
        <v>5646</v>
      </c>
      <c r="B89" s="553" t="s">
        <v>5647</v>
      </c>
      <c r="C89" s="540" t="s">
        <v>5438</v>
      </c>
      <c r="D89" s="540"/>
      <c r="E89" s="484">
        <v>1029.675</v>
      </c>
      <c r="F89" s="484">
        <v>68.544000000000011</v>
      </c>
      <c r="G89" s="475">
        <v>1.5</v>
      </c>
      <c r="H89" s="487">
        <f t="shared" ref="H89:H96" si="10">(F89*G89)</f>
        <v>102.81600000000002</v>
      </c>
      <c r="I89" s="483">
        <f t="shared" si="8"/>
        <v>1098.2190000000001</v>
      </c>
      <c r="J89" s="483">
        <f t="shared" si="9"/>
        <v>1132.491</v>
      </c>
    </row>
    <row r="90" spans="1:10" ht="15.6" customHeight="1">
      <c r="A90" s="552" t="s">
        <v>5648</v>
      </c>
      <c r="B90" s="553" t="s">
        <v>5649</v>
      </c>
      <c r="C90" s="540" t="s">
        <v>5438</v>
      </c>
      <c r="D90" s="540"/>
      <c r="E90" s="484">
        <v>1371.2125000000001</v>
      </c>
      <c r="F90" s="484">
        <v>68.544000000000011</v>
      </c>
      <c r="G90" s="475">
        <v>1.5</v>
      </c>
      <c r="H90" s="487">
        <f t="shared" si="10"/>
        <v>102.81600000000002</v>
      </c>
      <c r="I90" s="483">
        <f t="shared" si="8"/>
        <v>1439.7565000000002</v>
      </c>
      <c r="J90" s="483">
        <f t="shared" si="9"/>
        <v>1474.0285000000001</v>
      </c>
    </row>
    <row r="91" spans="1:10" ht="15.6" customHeight="1">
      <c r="A91" s="552" t="s">
        <v>5650</v>
      </c>
      <c r="B91" s="553" t="s">
        <v>5651</v>
      </c>
      <c r="C91" s="540" t="s">
        <v>5438</v>
      </c>
      <c r="D91" s="540"/>
      <c r="E91" s="484">
        <v>3359.1875</v>
      </c>
      <c r="F91" s="484">
        <v>68.544000000000011</v>
      </c>
      <c r="G91" s="475">
        <v>1.5</v>
      </c>
      <c r="H91" s="487">
        <f t="shared" si="10"/>
        <v>102.81600000000002</v>
      </c>
      <c r="I91" s="483">
        <f t="shared" si="8"/>
        <v>3427.7314999999999</v>
      </c>
      <c r="J91" s="483">
        <f t="shared" si="9"/>
        <v>3462.0034999999998</v>
      </c>
    </row>
    <row r="92" spans="1:10" ht="15.6" customHeight="1">
      <c r="A92" s="552" t="s">
        <v>5652</v>
      </c>
      <c r="B92" s="551" t="s">
        <v>5653</v>
      </c>
      <c r="C92" s="540" t="s">
        <v>5438</v>
      </c>
      <c r="D92" s="540"/>
      <c r="E92" s="484">
        <v>2855.5</v>
      </c>
      <c r="F92" s="541">
        <v>0</v>
      </c>
      <c r="G92" s="475">
        <v>1.5</v>
      </c>
      <c r="H92" s="487">
        <f t="shared" si="10"/>
        <v>0</v>
      </c>
      <c r="I92" s="483">
        <f t="shared" si="8"/>
        <v>2855.5</v>
      </c>
      <c r="J92" s="483">
        <f t="shared" si="9"/>
        <v>2855.5</v>
      </c>
    </row>
    <row r="93" spans="1:10" ht="15.6" customHeight="1">
      <c r="A93" s="552" t="s">
        <v>5654</v>
      </c>
      <c r="B93" s="551" t="s">
        <v>5655</v>
      </c>
      <c r="C93" s="540" t="s">
        <v>5438</v>
      </c>
      <c r="D93" s="540"/>
      <c r="E93" s="541">
        <v>0</v>
      </c>
      <c r="F93" s="484">
        <v>5906.768</v>
      </c>
      <c r="G93" s="475">
        <v>1.5</v>
      </c>
      <c r="H93" s="487">
        <f t="shared" si="10"/>
        <v>8860.152</v>
      </c>
      <c r="I93" s="483">
        <f t="shared" si="8"/>
        <v>5906.768</v>
      </c>
      <c r="J93" s="483">
        <f t="shared" si="9"/>
        <v>8860.152</v>
      </c>
    </row>
    <row r="94" spans="1:10" ht="15.6" customHeight="1">
      <c r="A94" s="552" t="s">
        <v>5656</v>
      </c>
      <c r="B94" s="551" t="s">
        <v>5657</v>
      </c>
      <c r="C94" s="540" t="s">
        <v>5438</v>
      </c>
      <c r="D94" s="540"/>
      <c r="E94" s="484">
        <v>312.5</v>
      </c>
      <c r="F94" s="541">
        <v>0</v>
      </c>
      <c r="G94" s="475">
        <v>1.5</v>
      </c>
      <c r="H94" s="487">
        <f t="shared" si="10"/>
        <v>0</v>
      </c>
      <c r="I94" s="483">
        <f t="shared" si="8"/>
        <v>312.5</v>
      </c>
      <c r="J94" s="483">
        <f t="shared" si="9"/>
        <v>312.5</v>
      </c>
    </row>
    <row r="95" spans="1:10" ht="15.6" customHeight="1">
      <c r="A95" s="552" t="s">
        <v>5658</v>
      </c>
      <c r="B95" s="551" t="s">
        <v>5659</v>
      </c>
      <c r="C95" s="540" t="s">
        <v>5438</v>
      </c>
      <c r="D95" s="540"/>
      <c r="E95" s="484">
        <v>4956.1697749999994</v>
      </c>
      <c r="F95" s="484">
        <v>678.67200000000003</v>
      </c>
      <c r="G95" s="475">
        <v>1.5</v>
      </c>
      <c r="H95" s="487">
        <f t="shared" si="10"/>
        <v>1018.008</v>
      </c>
      <c r="I95" s="483">
        <f t="shared" si="8"/>
        <v>5634.841774999999</v>
      </c>
      <c r="J95" s="483">
        <f t="shared" si="9"/>
        <v>5974.1777749999992</v>
      </c>
    </row>
    <row r="96" spans="1:10" ht="15.6" customHeight="1">
      <c r="A96" s="552" t="s">
        <v>5660</v>
      </c>
      <c r="B96" s="551" t="s">
        <v>5661</v>
      </c>
      <c r="C96" s="540" t="s">
        <v>5438</v>
      </c>
      <c r="D96" s="540"/>
      <c r="E96" s="484">
        <v>528.375</v>
      </c>
      <c r="F96" s="484">
        <v>68.544000000000011</v>
      </c>
      <c r="G96" s="475">
        <v>1.5</v>
      </c>
      <c r="H96" s="487">
        <f t="shared" si="10"/>
        <v>102.81600000000002</v>
      </c>
      <c r="I96" s="483">
        <f t="shared" si="8"/>
        <v>596.91899999999998</v>
      </c>
      <c r="J96" s="483">
        <f t="shared" si="9"/>
        <v>631.19100000000003</v>
      </c>
    </row>
    <row r="97" spans="1:10" ht="15.6" customHeight="1">
      <c r="A97" s="552" t="s">
        <v>5662</v>
      </c>
      <c r="B97" s="477" t="s">
        <v>5663</v>
      </c>
      <c r="C97" s="540" t="s">
        <v>5438</v>
      </c>
      <c r="D97" s="476"/>
      <c r="E97" s="474">
        <v>0</v>
      </c>
      <c r="F97" s="484">
        <v>550.80000000000007</v>
      </c>
      <c r="G97" s="475">
        <v>1.5</v>
      </c>
      <c r="H97" s="474"/>
      <c r="I97" s="483">
        <f t="shared" si="8"/>
        <v>550.80000000000007</v>
      </c>
      <c r="J97" s="483">
        <f t="shared" si="9"/>
        <v>0</v>
      </c>
    </row>
    <row r="98" spans="1:10" ht="15.6" customHeight="1">
      <c r="A98" s="552" t="s">
        <v>5664</v>
      </c>
      <c r="B98" s="551" t="s">
        <v>5665</v>
      </c>
      <c r="C98" s="476" t="s">
        <v>5546</v>
      </c>
      <c r="D98" s="540"/>
      <c r="E98" s="484">
        <v>187.5</v>
      </c>
      <c r="F98" s="484">
        <v>360</v>
      </c>
      <c r="G98" s="475">
        <v>1.5</v>
      </c>
      <c r="H98" s="487">
        <f>(F98*G98)</f>
        <v>540</v>
      </c>
      <c r="I98" s="483">
        <f t="shared" si="8"/>
        <v>547.5</v>
      </c>
      <c r="J98" s="483">
        <f t="shared" si="9"/>
        <v>727.5</v>
      </c>
    </row>
    <row r="99" spans="1:10" ht="15.6">
      <c r="A99" s="545"/>
      <c r="B99" s="496"/>
      <c r="C99" s="526"/>
      <c r="D99" s="526"/>
      <c r="E99" s="480"/>
      <c r="F99" s="480"/>
      <c r="G99" s="479"/>
      <c r="H99" s="543"/>
      <c r="I99" s="492"/>
      <c r="J99" s="492"/>
    </row>
    <row r="100" spans="1:10" ht="15.6">
      <c r="A100" s="527" t="s">
        <v>5666</v>
      </c>
      <c r="B100" s="481" t="s">
        <v>5667</v>
      </c>
      <c r="C100" s="495"/>
      <c r="D100" s="495"/>
      <c r="E100" s="537"/>
      <c r="F100" s="523"/>
      <c r="G100" s="523"/>
      <c r="H100" s="523"/>
      <c r="I100" s="523"/>
      <c r="J100" s="523"/>
    </row>
    <row r="101" spans="1:10" ht="15.6">
      <c r="A101" s="527"/>
      <c r="B101" s="527" t="s">
        <v>5668</v>
      </c>
      <c r="C101" s="495"/>
      <c r="D101" s="495"/>
      <c r="E101" s="537"/>
      <c r="F101" s="523"/>
      <c r="G101" s="523"/>
      <c r="H101" s="523"/>
      <c r="I101" s="523"/>
      <c r="J101" s="523"/>
    </row>
    <row r="102" spans="1:10" ht="15.6">
      <c r="A102" s="522" t="s">
        <v>5669</v>
      </c>
      <c r="B102" s="546" t="s">
        <v>5670</v>
      </c>
      <c r="C102" s="540" t="s">
        <v>5438</v>
      </c>
      <c r="D102" s="540"/>
      <c r="E102" s="484">
        <v>269.5625</v>
      </c>
      <c r="F102" s="484">
        <v>40.64</v>
      </c>
      <c r="G102" s="541"/>
      <c r="H102" s="541"/>
      <c r="I102" s="483">
        <f t="shared" ref="I102:I112" si="11">E102+F102</f>
        <v>310.20249999999999</v>
      </c>
      <c r="J102" s="483">
        <f t="shared" ref="J102:J112" si="12">E102+H102</f>
        <v>269.5625</v>
      </c>
    </row>
    <row r="103" spans="1:10" ht="15.6">
      <c r="A103" s="522" t="s">
        <v>5671</v>
      </c>
      <c r="B103" s="546" t="s">
        <v>5672</v>
      </c>
      <c r="C103" s="540" t="s">
        <v>5438</v>
      </c>
      <c r="D103" s="540"/>
      <c r="E103" s="484">
        <v>317.76249999999999</v>
      </c>
      <c r="F103" s="484">
        <v>40.64</v>
      </c>
      <c r="G103" s="541"/>
      <c r="H103" s="541"/>
      <c r="I103" s="483">
        <f t="shared" si="11"/>
        <v>358.40249999999997</v>
      </c>
      <c r="J103" s="483">
        <f t="shared" si="12"/>
        <v>317.76249999999999</v>
      </c>
    </row>
    <row r="104" spans="1:10" ht="15.6">
      <c r="A104" s="522" t="s">
        <v>5673</v>
      </c>
      <c r="B104" s="546" t="s">
        <v>5674</v>
      </c>
      <c r="C104" s="540" t="s">
        <v>5438</v>
      </c>
      <c r="D104" s="540"/>
      <c r="E104" s="484">
        <v>506.41250000000002</v>
      </c>
      <c r="F104" s="484">
        <v>40.64</v>
      </c>
      <c r="G104" s="541"/>
      <c r="H104" s="541"/>
      <c r="I104" s="483">
        <f t="shared" si="11"/>
        <v>547.05250000000001</v>
      </c>
      <c r="J104" s="483">
        <f t="shared" si="12"/>
        <v>506.41250000000002</v>
      </c>
    </row>
    <row r="105" spans="1:10" ht="15.6">
      <c r="A105" s="522" t="s">
        <v>5675</v>
      </c>
      <c r="B105" s="546" t="s">
        <v>5676</v>
      </c>
      <c r="C105" s="540" t="s">
        <v>5438</v>
      </c>
      <c r="D105" s="540"/>
      <c r="E105" s="484">
        <v>506.41250000000002</v>
      </c>
      <c r="F105" s="484">
        <v>40.64</v>
      </c>
      <c r="G105" s="541"/>
      <c r="H105" s="541"/>
      <c r="I105" s="483">
        <f t="shared" si="11"/>
        <v>547.05250000000001</v>
      </c>
      <c r="J105" s="483">
        <f t="shared" si="12"/>
        <v>506.41250000000002</v>
      </c>
    </row>
    <row r="106" spans="1:10" ht="15.6">
      <c r="A106" s="522" t="s">
        <v>5677</v>
      </c>
      <c r="B106" s="546" t="s">
        <v>5678</v>
      </c>
      <c r="C106" s="540" t="s">
        <v>5546</v>
      </c>
      <c r="D106" s="540"/>
      <c r="E106" s="474">
        <v>0</v>
      </c>
      <c r="F106" s="484">
        <v>21.064000000000004</v>
      </c>
      <c r="G106" s="541"/>
      <c r="H106" s="541"/>
      <c r="I106" s="483">
        <f t="shared" si="11"/>
        <v>21.064000000000004</v>
      </c>
      <c r="J106" s="483">
        <f t="shared" si="12"/>
        <v>0</v>
      </c>
    </row>
    <row r="107" spans="1:10" ht="15.6">
      <c r="A107" s="522" t="s">
        <v>5679</v>
      </c>
      <c r="B107" s="550" t="s">
        <v>5680</v>
      </c>
      <c r="C107" s="540" t="s">
        <v>5438</v>
      </c>
      <c r="D107" s="540"/>
      <c r="E107" s="484">
        <v>693.32499999999993</v>
      </c>
      <c r="F107" s="484">
        <v>81.544000000000011</v>
      </c>
      <c r="G107" s="541"/>
      <c r="H107" s="541"/>
      <c r="I107" s="483">
        <f t="shared" si="11"/>
        <v>774.86899999999991</v>
      </c>
      <c r="J107" s="483">
        <f t="shared" si="12"/>
        <v>693.32499999999993</v>
      </c>
    </row>
    <row r="108" spans="1:10" ht="15.6">
      <c r="A108" s="522" t="s">
        <v>5681</v>
      </c>
      <c r="B108" s="550" t="s">
        <v>5682</v>
      </c>
      <c r="C108" s="540" t="s">
        <v>5438</v>
      </c>
      <c r="D108" s="540"/>
      <c r="E108" s="484">
        <v>1504.1750000000002</v>
      </c>
      <c r="F108" s="484">
        <v>300.70400000000001</v>
      </c>
      <c r="G108" s="541"/>
      <c r="H108" s="541"/>
      <c r="I108" s="483">
        <f>E108+F108</f>
        <v>1804.8790000000001</v>
      </c>
      <c r="J108" s="483">
        <f t="shared" si="12"/>
        <v>1504.1750000000002</v>
      </c>
    </row>
    <row r="109" spans="1:10" ht="15.6">
      <c r="A109" s="522" t="s">
        <v>5683</v>
      </c>
      <c r="B109" s="550" t="s">
        <v>5684</v>
      </c>
      <c r="C109" s="540" t="s">
        <v>5546</v>
      </c>
      <c r="D109" s="540"/>
      <c r="E109" s="474">
        <v>0</v>
      </c>
      <c r="F109" s="484">
        <v>466.58400000000006</v>
      </c>
      <c r="G109" s="541"/>
      <c r="H109" s="541"/>
      <c r="I109" s="483">
        <f t="shared" si="11"/>
        <v>466.58400000000006</v>
      </c>
      <c r="J109" s="483">
        <f t="shared" si="12"/>
        <v>0</v>
      </c>
    </row>
    <row r="110" spans="1:10" ht="15.6">
      <c r="A110" s="522" t="s">
        <v>5685</v>
      </c>
      <c r="B110" s="546" t="s">
        <v>5686</v>
      </c>
      <c r="C110" s="499" t="s">
        <v>5438</v>
      </c>
      <c r="D110" s="499"/>
      <c r="E110" s="484">
        <v>3.5749999999999997</v>
      </c>
      <c r="F110" s="484">
        <v>11.384</v>
      </c>
      <c r="G110" s="541"/>
      <c r="H110" s="541"/>
      <c r="I110" s="483">
        <f t="shared" si="11"/>
        <v>14.959</v>
      </c>
      <c r="J110" s="483">
        <f t="shared" si="12"/>
        <v>3.5749999999999997</v>
      </c>
    </row>
    <row r="111" spans="1:10" ht="15.6">
      <c r="A111" s="522" t="s">
        <v>5687</v>
      </c>
      <c r="B111" s="546" t="s">
        <v>5688</v>
      </c>
      <c r="C111" s="540" t="s">
        <v>5438</v>
      </c>
      <c r="D111" s="540"/>
      <c r="E111" s="484">
        <v>0</v>
      </c>
      <c r="F111" s="484">
        <v>668.89600000000007</v>
      </c>
      <c r="G111" s="541"/>
      <c r="H111" s="541"/>
      <c r="I111" s="483">
        <f t="shared" si="11"/>
        <v>668.89600000000007</v>
      </c>
      <c r="J111" s="483">
        <f t="shared" si="12"/>
        <v>0</v>
      </c>
    </row>
    <row r="112" spans="1:10" ht="15.6">
      <c r="A112" s="522" t="s">
        <v>5689</v>
      </c>
      <c r="B112" s="546" t="s">
        <v>5690</v>
      </c>
      <c r="C112" s="540" t="s">
        <v>5438</v>
      </c>
      <c r="D112" s="540"/>
      <c r="E112" s="484">
        <v>7809.2624999999998</v>
      </c>
      <c r="F112" s="484">
        <v>1003.3440000000001</v>
      </c>
      <c r="G112" s="541"/>
      <c r="H112" s="541"/>
      <c r="I112" s="483">
        <f t="shared" si="11"/>
        <v>8812.6064999999999</v>
      </c>
      <c r="J112" s="483">
        <f t="shared" si="12"/>
        <v>7809.2624999999998</v>
      </c>
    </row>
    <row r="113" spans="1:10" ht="15.6">
      <c r="A113" s="545"/>
      <c r="B113" s="544"/>
      <c r="C113" s="526"/>
      <c r="D113" s="526"/>
      <c r="E113" s="493"/>
      <c r="F113" s="547"/>
      <c r="G113" s="547"/>
      <c r="H113" s="543"/>
      <c r="I113" s="492"/>
      <c r="J113" s="492"/>
    </row>
    <row r="114" spans="1:10" ht="15.6">
      <c r="A114" s="549" t="s">
        <v>5691</v>
      </c>
      <c r="B114" s="548" t="s">
        <v>5692</v>
      </c>
      <c r="C114" s="526"/>
      <c r="D114" s="526"/>
      <c r="E114" s="493"/>
      <c r="F114" s="547"/>
      <c r="G114" s="547"/>
      <c r="H114" s="543"/>
      <c r="I114" s="492"/>
      <c r="J114" s="492"/>
    </row>
    <row r="115" spans="1:10" ht="15.6">
      <c r="A115" s="545"/>
      <c r="B115" s="544"/>
      <c r="C115" s="526"/>
      <c r="D115" s="526"/>
      <c r="E115" s="493"/>
      <c r="F115" s="547"/>
      <c r="G115" s="547"/>
      <c r="H115" s="543"/>
      <c r="I115" s="492"/>
      <c r="J115" s="492"/>
    </row>
    <row r="116" spans="1:10" ht="15.6">
      <c r="A116" s="522" t="s">
        <v>5693</v>
      </c>
      <c r="B116" s="546" t="s">
        <v>5694</v>
      </c>
      <c r="C116" s="540" t="s">
        <v>5546</v>
      </c>
      <c r="D116" s="540"/>
      <c r="E116" s="541"/>
      <c r="F116" s="484">
        <v>8365.5520000000015</v>
      </c>
      <c r="G116" s="541"/>
      <c r="H116" s="541"/>
      <c r="I116" s="483">
        <f>E116+F116</f>
        <v>8365.5520000000015</v>
      </c>
      <c r="J116" s="483">
        <f>E116+H116</f>
        <v>0</v>
      </c>
    </row>
    <row r="117" spans="1:10" ht="15.6">
      <c r="A117" s="545"/>
      <c r="B117" s="544"/>
      <c r="C117" s="526"/>
      <c r="D117" s="526"/>
      <c r="E117" s="493"/>
      <c r="F117" s="547"/>
      <c r="G117" s="547"/>
      <c r="H117" s="543"/>
      <c r="I117" s="492"/>
      <c r="J117" s="492"/>
    </row>
    <row r="118" spans="1:10" ht="15.6">
      <c r="A118" s="549" t="s">
        <v>72</v>
      </c>
      <c r="B118" s="548" t="s">
        <v>5695</v>
      </c>
      <c r="C118" s="526"/>
      <c r="D118" s="526"/>
      <c r="E118" s="493"/>
      <c r="F118" s="547"/>
      <c r="G118" s="547"/>
      <c r="H118" s="543"/>
      <c r="I118" s="492"/>
      <c r="J118" s="492"/>
    </row>
    <row r="119" spans="1:10" ht="15.6">
      <c r="A119" s="545"/>
      <c r="B119" s="544"/>
      <c r="C119" s="526"/>
      <c r="D119" s="526"/>
      <c r="E119" s="493"/>
      <c r="F119" s="547"/>
      <c r="G119" s="547"/>
      <c r="H119" s="543"/>
      <c r="I119" s="492"/>
      <c r="J119" s="492"/>
    </row>
    <row r="120" spans="1:10" ht="15.6">
      <c r="A120" s="522" t="s">
        <v>5696</v>
      </c>
      <c r="B120" s="546" t="s">
        <v>5697</v>
      </c>
      <c r="C120" s="540" t="s">
        <v>5546</v>
      </c>
      <c r="D120" s="540"/>
      <c r="E120" s="541"/>
      <c r="F120" s="484">
        <v>12414.688000000002</v>
      </c>
      <c r="G120" s="541"/>
      <c r="H120" s="541"/>
      <c r="I120" s="483">
        <f>E120+F120</f>
        <v>12414.688000000002</v>
      </c>
      <c r="J120" s="483">
        <f>E120+H120</f>
        <v>0</v>
      </c>
    </row>
    <row r="121" spans="1:10" ht="15.6">
      <c r="A121" s="545"/>
      <c r="B121" s="544"/>
      <c r="C121" s="526"/>
      <c r="D121" s="526"/>
      <c r="E121" s="493"/>
      <c r="F121" s="480"/>
      <c r="G121" s="480"/>
      <c r="H121" s="543"/>
      <c r="I121" s="492"/>
      <c r="J121" s="492"/>
    </row>
    <row r="122" spans="1:10" ht="15.6">
      <c r="A122" s="527" t="s">
        <v>5698</v>
      </c>
      <c r="B122" s="481" t="s">
        <v>5699</v>
      </c>
      <c r="C122" s="526"/>
      <c r="D122" s="526"/>
      <c r="E122" s="526"/>
      <c r="F122" s="542"/>
      <c r="G122" s="542"/>
      <c r="H122" s="536"/>
      <c r="I122" s="536"/>
      <c r="J122" s="536"/>
    </row>
    <row r="123" spans="1:10" ht="15.6">
      <c r="A123" s="526"/>
      <c r="B123" s="481" t="s">
        <v>5700</v>
      </c>
      <c r="C123" s="526"/>
      <c r="D123" s="526"/>
      <c r="E123" s="526"/>
      <c r="F123" s="542"/>
      <c r="G123" s="542"/>
      <c r="H123" s="536"/>
      <c r="I123" s="536"/>
      <c r="J123" s="536"/>
    </row>
    <row r="124" spans="1:10" ht="15.6">
      <c r="A124" s="501" t="s">
        <v>5701</v>
      </c>
      <c r="B124" s="500" t="s">
        <v>5702</v>
      </c>
      <c r="C124" s="540" t="s">
        <v>5438</v>
      </c>
      <c r="D124" s="540"/>
      <c r="E124" s="484">
        <v>133.12</v>
      </c>
      <c r="F124" s="541"/>
      <c r="G124" s="541"/>
      <c r="H124" s="541"/>
      <c r="I124" s="483">
        <f>E124+F124</f>
        <v>133.12</v>
      </c>
      <c r="J124" s="483">
        <f>E124+H124</f>
        <v>133.12</v>
      </c>
    </row>
    <row r="125" spans="1:10" ht="15.6">
      <c r="A125" s="501" t="s">
        <v>5703</v>
      </c>
      <c r="B125" s="500" t="s">
        <v>5704</v>
      </c>
      <c r="C125" s="540" t="s">
        <v>5438</v>
      </c>
      <c r="D125" s="540"/>
      <c r="E125" s="484">
        <v>254.8</v>
      </c>
      <c r="F125" s="541"/>
      <c r="G125" s="541"/>
      <c r="H125" s="541"/>
      <c r="I125" s="483">
        <f>E125+F125</f>
        <v>254.8</v>
      </c>
      <c r="J125" s="483">
        <f>E125+H125</f>
        <v>254.8</v>
      </c>
    </row>
    <row r="126" spans="1:10" ht="15.6">
      <c r="A126" s="501" t="s">
        <v>5705</v>
      </c>
      <c r="B126" s="500" t="s">
        <v>5706</v>
      </c>
      <c r="C126" s="540" t="s">
        <v>5546</v>
      </c>
      <c r="D126" s="540"/>
      <c r="E126" s="539"/>
      <c r="F126" s="484">
        <v>743.58400000000006</v>
      </c>
      <c r="G126" s="475">
        <v>1.5</v>
      </c>
      <c r="H126" s="487">
        <f>(F126*G126)</f>
        <v>1115.3760000000002</v>
      </c>
      <c r="I126" s="483">
        <f>E126+F126</f>
        <v>743.58400000000006</v>
      </c>
      <c r="J126" s="483">
        <f>E126+H126</f>
        <v>1115.3760000000002</v>
      </c>
    </row>
    <row r="127" spans="1:10" ht="15.6">
      <c r="A127" s="501" t="s">
        <v>5707</v>
      </c>
      <c r="B127" s="500" t="s">
        <v>5708</v>
      </c>
      <c r="C127" s="540" t="s">
        <v>253</v>
      </c>
      <c r="D127" s="540"/>
      <c r="E127" s="539"/>
      <c r="F127" s="484">
        <v>1.968</v>
      </c>
      <c r="G127" s="475">
        <v>1.5</v>
      </c>
      <c r="H127" s="487">
        <f>(F127*G127)</f>
        <v>2.952</v>
      </c>
      <c r="I127" s="483">
        <f>E127+F127</f>
        <v>1.968</v>
      </c>
      <c r="J127" s="483">
        <f>E127+H127</f>
        <v>2.952</v>
      </c>
    </row>
    <row r="128" spans="1:10" ht="15.6" customHeight="1">
      <c r="A128" s="532" t="s">
        <v>5709</v>
      </c>
      <c r="B128" s="500" t="s">
        <v>5710</v>
      </c>
      <c r="C128" s="540" t="s">
        <v>5546</v>
      </c>
      <c r="D128" s="540"/>
      <c r="E128" s="539"/>
      <c r="F128" s="484">
        <v>1716</v>
      </c>
      <c r="G128" s="475">
        <v>1.5</v>
      </c>
      <c r="H128" s="487">
        <f>(F128*G128)</f>
        <v>2574</v>
      </c>
      <c r="I128" s="483">
        <f>E128+F128</f>
        <v>1716</v>
      </c>
      <c r="J128" s="483">
        <f>E128+H128</f>
        <v>2574</v>
      </c>
    </row>
    <row r="129" spans="1:10" ht="15.6">
      <c r="A129" s="497"/>
      <c r="B129" s="472"/>
      <c r="C129" s="526"/>
      <c r="D129" s="526"/>
      <c r="E129" s="538"/>
      <c r="F129" s="479"/>
      <c r="G129" s="479"/>
      <c r="H129" s="492"/>
      <c r="I129" s="492"/>
      <c r="J129" s="492"/>
    </row>
    <row r="130" spans="1:10" ht="15.6">
      <c r="A130" s="527" t="s">
        <v>5711</v>
      </c>
      <c r="B130" s="481" t="s">
        <v>5712</v>
      </c>
      <c r="C130" s="495"/>
      <c r="D130" s="495"/>
      <c r="E130" s="537"/>
      <c r="F130" s="523"/>
      <c r="G130" s="523"/>
      <c r="H130" s="523"/>
      <c r="I130" s="523"/>
      <c r="J130" s="523"/>
    </row>
    <row r="131" spans="1:10" ht="15.6">
      <c r="A131" s="527"/>
      <c r="B131" s="472"/>
      <c r="C131" s="495"/>
      <c r="D131" s="495"/>
      <c r="E131" s="525"/>
      <c r="F131" s="536"/>
      <c r="G131" s="536"/>
      <c r="H131" s="523"/>
      <c r="I131" s="523"/>
      <c r="J131" s="523"/>
    </row>
    <row r="132" spans="1:10" ht="15.6">
      <c r="A132" s="501" t="s">
        <v>5713</v>
      </c>
      <c r="B132" s="500" t="s">
        <v>5714</v>
      </c>
      <c r="C132" s="529" t="s">
        <v>5546</v>
      </c>
      <c r="D132" s="529"/>
      <c r="E132" s="535"/>
      <c r="F132" s="484">
        <v>18247.135999999999</v>
      </c>
      <c r="G132" s="528"/>
      <c r="H132" s="528"/>
      <c r="I132" s="483">
        <f t="shared" ref="I132:I149" si="13">E132+F132</f>
        <v>18247.135999999999</v>
      </c>
      <c r="J132" s="483">
        <f t="shared" ref="J132:J149" si="14">E132+H132</f>
        <v>0</v>
      </c>
    </row>
    <row r="133" spans="1:10" ht="15.6">
      <c r="A133" s="501" t="s">
        <v>5715</v>
      </c>
      <c r="B133" s="500" t="s">
        <v>5716</v>
      </c>
      <c r="C133" s="529" t="s">
        <v>5546</v>
      </c>
      <c r="D133" s="529"/>
      <c r="E133" s="474"/>
      <c r="F133" s="484">
        <v>14353.591999999999</v>
      </c>
      <c r="G133" s="528"/>
      <c r="H133" s="528"/>
      <c r="I133" s="483">
        <f t="shared" si="13"/>
        <v>14353.591999999999</v>
      </c>
      <c r="J133" s="483">
        <f t="shared" si="14"/>
        <v>0</v>
      </c>
    </row>
    <row r="134" spans="1:10" ht="15.6">
      <c r="A134" s="501" t="s">
        <v>5717</v>
      </c>
      <c r="B134" s="500" t="s">
        <v>5718</v>
      </c>
      <c r="C134" s="529" t="s">
        <v>5546</v>
      </c>
      <c r="D134" s="529"/>
      <c r="E134" s="474"/>
      <c r="F134" s="484">
        <v>119549.992</v>
      </c>
      <c r="G134" s="528"/>
      <c r="H134" s="534"/>
      <c r="I134" s="483">
        <f t="shared" si="13"/>
        <v>119549.992</v>
      </c>
      <c r="J134" s="483">
        <f t="shared" si="14"/>
        <v>0</v>
      </c>
    </row>
    <row r="135" spans="1:10" ht="15.6">
      <c r="A135" s="501" t="s">
        <v>5719</v>
      </c>
      <c r="B135" s="500" t="s">
        <v>5720</v>
      </c>
      <c r="C135" s="529" t="s">
        <v>5546</v>
      </c>
      <c r="D135" s="529"/>
      <c r="E135" s="474"/>
      <c r="F135" s="484">
        <v>13479.544000000002</v>
      </c>
      <c r="G135" s="528"/>
      <c r="H135" s="534"/>
      <c r="I135" s="483">
        <f t="shared" si="13"/>
        <v>13479.544000000002</v>
      </c>
      <c r="J135" s="483">
        <f t="shared" si="14"/>
        <v>0</v>
      </c>
    </row>
    <row r="136" spans="1:10" ht="15.6">
      <c r="A136" s="501" t="s">
        <v>5721</v>
      </c>
      <c r="B136" s="500" t="s">
        <v>5722</v>
      </c>
      <c r="C136" s="529" t="s">
        <v>5546</v>
      </c>
      <c r="D136" s="529"/>
      <c r="E136" s="474"/>
      <c r="F136" s="484">
        <v>5038.4880000000003</v>
      </c>
      <c r="G136" s="528"/>
      <c r="H136" s="534"/>
      <c r="I136" s="483">
        <f t="shared" si="13"/>
        <v>5038.4880000000003</v>
      </c>
      <c r="J136" s="483">
        <f t="shared" si="14"/>
        <v>0</v>
      </c>
    </row>
    <row r="137" spans="1:10" ht="15.6">
      <c r="A137" s="501" t="s">
        <v>5723</v>
      </c>
      <c r="B137" s="500" t="s">
        <v>5724</v>
      </c>
      <c r="C137" s="529" t="s">
        <v>5546</v>
      </c>
      <c r="D137" s="529"/>
      <c r="E137" s="528"/>
      <c r="F137" s="484">
        <v>1783.7280000000001</v>
      </c>
      <c r="G137" s="475">
        <v>1.5</v>
      </c>
      <c r="H137" s="487">
        <f>(F137*G137)</f>
        <v>2675.5920000000001</v>
      </c>
      <c r="I137" s="483">
        <f t="shared" si="13"/>
        <v>1783.7280000000001</v>
      </c>
      <c r="J137" s="483">
        <f t="shared" si="14"/>
        <v>2675.5920000000001</v>
      </c>
    </row>
    <row r="138" spans="1:10" ht="15.6">
      <c r="A138" s="501" t="s">
        <v>5725</v>
      </c>
      <c r="B138" s="500" t="s">
        <v>5726</v>
      </c>
      <c r="C138" s="529" t="s">
        <v>5546</v>
      </c>
      <c r="D138" s="529"/>
      <c r="E138" s="528"/>
      <c r="F138" s="484">
        <v>2114.2080000000001</v>
      </c>
      <c r="G138" s="475">
        <v>1.5</v>
      </c>
      <c r="H138" s="487">
        <f>(F138*G138)</f>
        <v>3171.3119999999999</v>
      </c>
      <c r="I138" s="483">
        <f t="shared" si="13"/>
        <v>2114.2080000000001</v>
      </c>
      <c r="J138" s="483">
        <f t="shared" si="14"/>
        <v>3171.3119999999999</v>
      </c>
    </row>
    <row r="139" spans="1:10" ht="15.6">
      <c r="A139" s="501" t="s">
        <v>5727</v>
      </c>
      <c r="B139" s="500" t="s">
        <v>5728</v>
      </c>
      <c r="C139" s="529" t="s">
        <v>5546</v>
      </c>
      <c r="D139" s="529"/>
      <c r="E139" s="528"/>
      <c r="F139" s="484">
        <v>14715.744000000001</v>
      </c>
      <c r="G139" s="534"/>
      <c r="H139" s="534"/>
      <c r="I139" s="483">
        <f t="shared" si="13"/>
        <v>14715.744000000001</v>
      </c>
      <c r="J139" s="483">
        <f t="shared" si="14"/>
        <v>0</v>
      </c>
    </row>
    <row r="140" spans="1:10" ht="15.6">
      <c r="A140" s="501" t="s">
        <v>5729</v>
      </c>
      <c r="B140" s="500" t="s">
        <v>5730</v>
      </c>
      <c r="C140" s="529" t="s">
        <v>5546</v>
      </c>
      <c r="D140" s="529"/>
      <c r="E140" s="528"/>
      <c r="F140" s="484">
        <v>31731.208000000002</v>
      </c>
      <c r="G140" s="534"/>
      <c r="H140" s="534"/>
      <c r="I140" s="483">
        <f t="shared" si="13"/>
        <v>31731.208000000002</v>
      </c>
      <c r="J140" s="483">
        <f t="shared" si="14"/>
        <v>0</v>
      </c>
    </row>
    <row r="141" spans="1:10" ht="15.6">
      <c r="A141" s="501" t="s">
        <v>5731</v>
      </c>
      <c r="B141" s="500" t="s">
        <v>5732</v>
      </c>
      <c r="C141" s="529" t="s">
        <v>5546</v>
      </c>
      <c r="D141" s="529"/>
      <c r="E141" s="528"/>
      <c r="F141" s="484">
        <v>7134.9039999999995</v>
      </c>
      <c r="G141" s="475">
        <v>1.5</v>
      </c>
      <c r="H141" s="487">
        <f>(F141*G141)</f>
        <v>10702.356</v>
      </c>
      <c r="I141" s="483">
        <f t="shared" si="13"/>
        <v>7134.9039999999995</v>
      </c>
      <c r="J141" s="483">
        <f t="shared" si="14"/>
        <v>10702.356</v>
      </c>
    </row>
    <row r="142" spans="1:10" ht="15.6">
      <c r="A142" s="501" t="s">
        <v>5733</v>
      </c>
      <c r="B142" s="500" t="s">
        <v>5734</v>
      </c>
      <c r="C142" s="529" t="s">
        <v>5546</v>
      </c>
      <c r="D142" s="529"/>
      <c r="E142" s="528"/>
      <c r="F142" s="484">
        <v>1783.7280000000001</v>
      </c>
      <c r="G142" s="475">
        <v>1.5</v>
      </c>
      <c r="H142" s="487">
        <f>(F142*G142)</f>
        <v>2675.5920000000001</v>
      </c>
      <c r="I142" s="483">
        <f t="shared" si="13"/>
        <v>1783.7280000000001</v>
      </c>
      <c r="J142" s="483">
        <f t="shared" si="14"/>
        <v>2675.5920000000001</v>
      </c>
    </row>
    <row r="143" spans="1:10" ht="15.6">
      <c r="A143" s="501" t="s">
        <v>5735</v>
      </c>
      <c r="B143" s="500" t="s">
        <v>5736</v>
      </c>
      <c r="C143" s="529" t="s">
        <v>5546</v>
      </c>
      <c r="D143" s="529"/>
      <c r="E143" s="528"/>
      <c r="F143" s="484">
        <v>5351.1760000000004</v>
      </c>
      <c r="G143" s="534"/>
      <c r="H143" s="534"/>
      <c r="I143" s="483">
        <f t="shared" si="13"/>
        <v>5351.1760000000004</v>
      </c>
      <c r="J143" s="483">
        <f t="shared" si="14"/>
        <v>0</v>
      </c>
    </row>
    <row r="144" spans="1:10" ht="15.6">
      <c r="A144" s="501" t="s">
        <v>5737</v>
      </c>
      <c r="B144" s="500" t="s">
        <v>5738</v>
      </c>
      <c r="C144" s="529" t="s">
        <v>5546</v>
      </c>
      <c r="D144" s="499"/>
      <c r="E144" s="474"/>
      <c r="F144" s="484">
        <v>3006.0720000000001</v>
      </c>
      <c r="G144" s="528"/>
      <c r="H144" s="528"/>
      <c r="I144" s="483">
        <f t="shared" si="13"/>
        <v>3006.0720000000001</v>
      </c>
      <c r="J144" s="483">
        <f t="shared" si="14"/>
        <v>0</v>
      </c>
    </row>
    <row r="145" spans="1:10" ht="15.6">
      <c r="A145" s="501" t="s">
        <v>5739</v>
      </c>
      <c r="B145" s="500" t="s">
        <v>5740</v>
      </c>
      <c r="C145" s="529" t="s">
        <v>5546</v>
      </c>
      <c r="D145" s="529"/>
      <c r="E145" s="528"/>
      <c r="F145" s="484">
        <v>2910.5120000000006</v>
      </c>
      <c r="G145" s="528"/>
      <c r="H145" s="528"/>
      <c r="I145" s="483">
        <f t="shared" si="13"/>
        <v>2910.5120000000006</v>
      </c>
      <c r="J145" s="483">
        <f t="shared" si="14"/>
        <v>0</v>
      </c>
    </row>
    <row r="146" spans="1:10" ht="15.6">
      <c r="A146" s="501" t="s">
        <v>5741</v>
      </c>
      <c r="B146" s="500" t="s">
        <v>5742</v>
      </c>
      <c r="C146" s="529" t="s">
        <v>5546</v>
      </c>
      <c r="D146" s="529"/>
      <c r="E146" s="528"/>
      <c r="F146" s="484">
        <v>4275.3120000000008</v>
      </c>
      <c r="G146" s="528"/>
      <c r="H146" s="528"/>
      <c r="I146" s="483">
        <f t="shared" si="13"/>
        <v>4275.3120000000008</v>
      </c>
      <c r="J146" s="483">
        <f t="shared" si="14"/>
        <v>0</v>
      </c>
    </row>
    <row r="147" spans="1:10" ht="15.6" customHeight="1">
      <c r="A147" s="532" t="s">
        <v>5743</v>
      </c>
      <c r="B147" s="500" t="s">
        <v>5744</v>
      </c>
      <c r="C147" s="529" t="s">
        <v>5546</v>
      </c>
      <c r="D147" s="529"/>
      <c r="E147" s="528"/>
      <c r="F147" s="528">
        <v>0</v>
      </c>
      <c r="G147" s="528"/>
      <c r="H147" s="533">
        <v>413.1</v>
      </c>
      <c r="I147" s="483">
        <f t="shared" si="13"/>
        <v>0</v>
      </c>
      <c r="J147" s="483">
        <f t="shared" si="14"/>
        <v>413.1</v>
      </c>
    </row>
    <row r="148" spans="1:10" ht="15.6" customHeight="1">
      <c r="A148" s="532" t="s">
        <v>5745</v>
      </c>
      <c r="B148" s="500" t="s">
        <v>5746</v>
      </c>
      <c r="C148" s="529" t="s">
        <v>5549</v>
      </c>
      <c r="D148" s="529"/>
      <c r="E148" s="528"/>
      <c r="F148" s="484">
        <v>833.95199999999988</v>
      </c>
      <c r="G148" s="475">
        <v>1.5</v>
      </c>
      <c r="H148" s="487">
        <f>(F148*G148)</f>
        <v>1250.9279999999999</v>
      </c>
      <c r="I148" s="483">
        <f t="shared" si="13"/>
        <v>833.95199999999988</v>
      </c>
      <c r="J148" s="483">
        <f t="shared" si="14"/>
        <v>1250.9279999999999</v>
      </c>
    </row>
    <row r="149" spans="1:10" ht="15.6" customHeight="1">
      <c r="A149" s="532" t="s">
        <v>5747</v>
      </c>
      <c r="B149" s="500" t="s">
        <v>5748</v>
      </c>
      <c r="C149" s="529" t="s">
        <v>5549</v>
      </c>
      <c r="D149" s="529"/>
      <c r="E149" s="528"/>
      <c r="F149" s="484">
        <v>595.68000000000006</v>
      </c>
      <c r="G149" s="475">
        <v>1.5</v>
      </c>
      <c r="H149" s="487">
        <f>(F149*G149)</f>
        <v>893.5200000000001</v>
      </c>
      <c r="I149" s="483">
        <f t="shared" si="13"/>
        <v>595.68000000000006</v>
      </c>
      <c r="J149" s="483">
        <f t="shared" si="14"/>
        <v>893.5200000000001</v>
      </c>
    </row>
    <row r="150" spans="1:10" ht="15.6">
      <c r="A150" s="497"/>
      <c r="B150" s="496"/>
      <c r="C150" s="495"/>
      <c r="D150" s="495"/>
      <c r="E150" s="480"/>
      <c r="F150" s="492"/>
      <c r="G150" s="492"/>
      <c r="H150" s="492"/>
      <c r="I150" s="492"/>
      <c r="J150" s="492"/>
    </row>
    <row r="151" spans="1:10" ht="15.6">
      <c r="A151" s="531" t="s">
        <v>5749</v>
      </c>
      <c r="B151" s="530" t="s">
        <v>5750</v>
      </c>
      <c r="C151" s="495"/>
      <c r="D151" s="495"/>
      <c r="E151" s="479"/>
      <c r="F151" s="493"/>
      <c r="G151" s="493"/>
      <c r="H151" s="492"/>
      <c r="I151" s="492"/>
      <c r="J151" s="492"/>
    </row>
    <row r="152" spans="1:10" ht="15.6">
      <c r="A152" s="497"/>
      <c r="B152" s="496"/>
      <c r="C152" s="495"/>
      <c r="D152" s="495"/>
      <c r="E152" s="479"/>
      <c r="F152" s="493"/>
      <c r="G152" s="493"/>
      <c r="H152" s="492"/>
      <c r="I152" s="492"/>
      <c r="J152" s="492"/>
    </row>
    <row r="153" spans="1:10" ht="15.6">
      <c r="A153" s="521" t="s">
        <v>5751</v>
      </c>
      <c r="B153" s="520" t="s">
        <v>5752</v>
      </c>
      <c r="C153" s="499" t="s">
        <v>5438</v>
      </c>
      <c r="D153" s="529"/>
      <c r="E153" s="484">
        <v>3485.9519999999998</v>
      </c>
      <c r="F153" s="528"/>
      <c r="G153" s="528"/>
      <c r="H153" s="528"/>
      <c r="I153" s="483">
        <f t="shared" ref="I153:I169" si="15">E153+F153</f>
        <v>3485.9519999999998</v>
      </c>
      <c r="J153" s="483">
        <f t="shared" ref="J153:J169" si="16">E153+H153</f>
        <v>3485.9519999999998</v>
      </c>
    </row>
    <row r="154" spans="1:10" ht="15.6">
      <c r="A154" s="501" t="s">
        <v>5753</v>
      </c>
      <c r="B154" s="500" t="s">
        <v>5754</v>
      </c>
      <c r="C154" s="499" t="s">
        <v>5438</v>
      </c>
      <c r="D154" s="529"/>
      <c r="E154" s="484">
        <v>147.36800000000002</v>
      </c>
      <c r="F154" s="528"/>
      <c r="G154" s="528"/>
      <c r="H154" s="528"/>
      <c r="I154" s="483">
        <f t="shared" si="15"/>
        <v>147.36800000000002</v>
      </c>
      <c r="J154" s="483">
        <f t="shared" si="16"/>
        <v>147.36800000000002</v>
      </c>
    </row>
    <row r="155" spans="1:10" ht="15.6">
      <c r="A155" s="501" t="s">
        <v>5755</v>
      </c>
      <c r="B155" s="500" t="s">
        <v>5756</v>
      </c>
      <c r="C155" s="499" t="s">
        <v>5438</v>
      </c>
      <c r="D155" s="529"/>
      <c r="E155" s="484">
        <v>736.84799999999996</v>
      </c>
      <c r="F155" s="528"/>
      <c r="G155" s="528"/>
      <c r="H155" s="528"/>
      <c r="I155" s="483">
        <f t="shared" si="15"/>
        <v>736.84799999999996</v>
      </c>
      <c r="J155" s="483">
        <f t="shared" si="16"/>
        <v>736.84799999999996</v>
      </c>
    </row>
    <row r="156" spans="1:10" ht="15.6">
      <c r="A156" s="501" t="s">
        <v>5757</v>
      </c>
      <c r="B156" s="500" t="s">
        <v>5758</v>
      </c>
      <c r="C156" s="499" t="s">
        <v>5438</v>
      </c>
      <c r="D156" s="529"/>
      <c r="E156" s="484">
        <v>1473.6959999999999</v>
      </c>
      <c r="F156" s="528"/>
      <c r="G156" s="528"/>
      <c r="H156" s="528"/>
      <c r="I156" s="483">
        <f t="shared" si="15"/>
        <v>1473.6959999999999</v>
      </c>
      <c r="J156" s="483">
        <f t="shared" si="16"/>
        <v>1473.6959999999999</v>
      </c>
    </row>
    <row r="157" spans="1:10" ht="15.6">
      <c r="A157" s="501" t="s">
        <v>5759</v>
      </c>
      <c r="B157" s="500" t="s">
        <v>5760</v>
      </c>
      <c r="C157" s="499" t="s">
        <v>5438</v>
      </c>
      <c r="D157" s="529"/>
      <c r="E157" s="484">
        <v>2210.5439999999999</v>
      </c>
      <c r="F157" s="528"/>
      <c r="G157" s="528"/>
      <c r="H157" s="528"/>
      <c r="I157" s="483">
        <f t="shared" si="15"/>
        <v>2210.5439999999999</v>
      </c>
      <c r="J157" s="483">
        <f t="shared" si="16"/>
        <v>2210.5439999999999</v>
      </c>
    </row>
    <row r="158" spans="1:10" ht="15.6">
      <c r="A158" s="521" t="s">
        <v>5761</v>
      </c>
      <c r="B158" s="520" t="s">
        <v>5762</v>
      </c>
      <c r="C158" s="499" t="s">
        <v>5546</v>
      </c>
      <c r="D158" s="529"/>
      <c r="E158" s="474"/>
      <c r="F158" s="484">
        <v>460.64799999999997</v>
      </c>
      <c r="G158" s="528"/>
      <c r="H158" s="528"/>
      <c r="I158" s="483">
        <f t="shared" si="15"/>
        <v>460.64799999999997</v>
      </c>
      <c r="J158" s="483">
        <f t="shared" si="16"/>
        <v>0</v>
      </c>
    </row>
    <row r="159" spans="1:10" ht="15.6">
      <c r="A159" s="501" t="s">
        <v>5763</v>
      </c>
      <c r="B159" s="500" t="s">
        <v>5764</v>
      </c>
      <c r="C159" s="499" t="s">
        <v>5546</v>
      </c>
      <c r="D159" s="529"/>
      <c r="E159" s="474"/>
      <c r="F159" s="484">
        <v>400.56799999999998</v>
      </c>
      <c r="G159" s="528"/>
      <c r="H159" s="528"/>
      <c r="I159" s="483">
        <f t="shared" si="15"/>
        <v>400.56799999999998</v>
      </c>
      <c r="J159" s="483">
        <f t="shared" si="16"/>
        <v>0</v>
      </c>
    </row>
    <row r="160" spans="1:10" ht="15.6">
      <c r="A160" s="501" t="s">
        <v>5765</v>
      </c>
      <c r="B160" s="500" t="s">
        <v>5766</v>
      </c>
      <c r="C160" s="499" t="s">
        <v>5438</v>
      </c>
      <c r="D160" s="529"/>
      <c r="E160" s="484">
        <v>430.84799999999996</v>
      </c>
      <c r="F160" s="528"/>
      <c r="G160" s="528"/>
      <c r="H160" s="528"/>
      <c r="I160" s="483">
        <f t="shared" si="15"/>
        <v>430.84799999999996</v>
      </c>
      <c r="J160" s="483">
        <f t="shared" si="16"/>
        <v>430.84799999999996</v>
      </c>
    </row>
    <row r="161" spans="1:10" ht="15.6">
      <c r="A161" s="501" t="s">
        <v>5767</v>
      </c>
      <c r="B161" s="500" t="s">
        <v>5768</v>
      </c>
      <c r="C161" s="499" t="s">
        <v>5438</v>
      </c>
      <c r="D161" s="529"/>
      <c r="E161" s="484">
        <v>577.72799999999995</v>
      </c>
      <c r="F161" s="528"/>
      <c r="G161" s="528"/>
      <c r="H161" s="528"/>
      <c r="I161" s="483">
        <f t="shared" si="15"/>
        <v>577.72799999999995</v>
      </c>
      <c r="J161" s="483">
        <f t="shared" si="16"/>
        <v>577.72799999999995</v>
      </c>
    </row>
    <row r="162" spans="1:10" ht="15.6">
      <c r="A162" s="501" t="s">
        <v>5769</v>
      </c>
      <c r="B162" s="500" t="s">
        <v>5770</v>
      </c>
      <c r="C162" s="499" t="s">
        <v>5546</v>
      </c>
      <c r="D162" s="529"/>
      <c r="E162" s="484">
        <v>694.25600000000009</v>
      </c>
      <c r="F162" s="528"/>
      <c r="G162" s="528"/>
      <c r="H162" s="528"/>
      <c r="I162" s="483">
        <f t="shared" si="15"/>
        <v>694.25600000000009</v>
      </c>
      <c r="J162" s="483">
        <f t="shared" si="16"/>
        <v>694.25600000000009</v>
      </c>
    </row>
    <row r="163" spans="1:10" ht="15.6">
      <c r="A163" s="501" t="s">
        <v>5771</v>
      </c>
      <c r="B163" s="500" t="s">
        <v>5772</v>
      </c>
      <c r="C163" s="499" t="s">
        <v>5546</v>
      </c>
      <c r="D163" s="529"/>
      <c r="E163" s="474"/>
      <c r="F163" s="484">
        <v>982.89599999999996</v>
      </c>
      <c r="G163" s="475">
        <v>1.5</v>
      </c>
      <c r="H163" s="487">
        <f>(F163*G163)</f>
        <v>1474.3440000000001</v>
      </c>
      <c r="I163" s="483">
        <f t="shared" si="15"/>
        <v>982.89599999999996</v>
      </c>
      <c r="J163" s="483">
        <f t="shared" si="16"/>
        <v>1474.3440000000001</v>
      </c>
    </row>
    <row r="164" spans="1:10" ht="15.6">
      <c r="A164" s="501" t="s">
        <v>5773</v>
      </c>
      <c r="B164" s="500" t="s">
        <v>5774</v>
      </c>
      <c r="C164" s="499" t="s">
        <v>5546</v>
      </c>
      <c r="D164" s="529"/>
      <c r="E164" s="474"/>
      <c r="F164" s="484">
        <v>2948.6959999999999</v>
      </c>
      <c r="G164" s="475">
        <v>1.5</v>
      </c>
      <c r="H164" s="487">
        <f>(F164*G164)</f>
        <v>4423.0439999999999</v>
      </c>
      <c r="I164" s="483">
        <f t="shared" si="15"/>
        <v>2948.6959999999999</v>
      </c>
      <c r="J164" s="483">
        <f t="shared" si="16"/>
        <v>4423.0439999999999</v>
      </c>
    </row>
    <row r="165" spans="1:10" ht="15.6">
      <c r="A165" s="501" t="s">
        <v>5775</v>
      </c>
      <c r="B165" s="500" t="s">
        <v>5776</v>
      </c>
      <c r="C165" s="499" t="s">
        <v>5546</v>
      </c>
      <c r="D165" s="529"/>
      <c r="E165" s="474"/>
      <c r="F165" s="484">
        <v>5897.4000000000005</v>
      </c>
      <c r="G165" s="475">
        <v>1.5</v>
      </c>
      <c r="H165" s="487">
        <f>(F165*G165)</f>
        <v>8846.1</v>
      </c>
      <c r="I165" s="483">
        <f t="shared" si="15"/>
        <v>5897.4000000000005</v>
      </c>
      <c r="J165" s="483">
        <f t="shared" si="16"/>
        <v>8846.1</v>
      </c>
    </row>
    <row r="166" spans="1:10" ht="15.6">
      <c r="A166" s="501" t="s">
        <v>5777</v>
      </c>
      <c r="B166" s="500" t="s">
        <v>5778</v>
      </c>
      <c r="C166" s="499" t="s">
        <v>5546</v>
      </c>
      <c r="D166" s="499"/>
      <c r="E166" s="474"/>
      <c r="F166" s="484">
        <v>3435.52</v>
      </c>
      <c r="G166" s="528"/>
      <c r="H166" s="528"/>
      <c r="I166" s="483">
        <f t="shared" si="15"/>
        <v>3435.52</v>
      </c>
      <c r="J166" s="483">
        <f t="shared" si="16"/>
        <v>0</v>
      </c>
    </row>
    <row r="167" spans="1:10" ht="15.6">
      <c r="A167" s="501" t="s">
        <v>5779</v>
      </c>
      <c r="B167" s="500" t="s">
        <v>5780</v>
      </c>
      <c r="C167" s="499" t="s">
        <v>5438</v>
      </c>
      <c r="D167" s="529"/>
      <c r="E167" s="484">
        <v>1632.8000000000002</v>
      </c>
      <c r="F167" s="528"/>
      <c r="G167" s="528"/>
      <c r="H167" s="528"/>
      <c r="I167" s="483">
        <f t="shared" si="15"/>
        <v>1632.8000000000002</v>
      </c>
      <c r="J167" s="483">
        <f t="shared" si="16"/>
        <v>1632.8000000000002</v>
      </c>
    </row>
    <row r="168" spans="1:10" ht="15.6">
      <c r="A168" s="501" t="s">
        <v>5781</v>
      </c>
      <c r="B168" s="500" t="s">
        <v>5780</v>
      </c>
      <c r="C168" s="499" t="s">
        <v>5438</v>
      </c>
      <c r="D168" s="529"/>
      <c r="E168" s="484">
        <v>1164.8</v>
      </c>
      <c r="F168" s="528"/>
      <c r="G168" s="528"/>
      <c r="H168" s="528"/>
      <c r="I168" s="483">
        <f t="shared" si="15"/>
        <v>1164.8</v>
      </c>
      <c r="J168" s="483">
        <f t="shared" si="16"/>
        <v>1164.8</v>
      </c>
    </row>
    <row r="169" spans="1:10" ht="15.6">
      <c r="A169" s="501" t="s">
        <v>5782</v>
      </c>
      <c r="B169" s="500" t="s">
        <v>5780</v>
      </c>
      <c r="C169" s="499" t="s">
        <v>5438</v>
      </c>
      <c r="D169" s="529"/>
      <c r="E169" s="484">
        <v>1716</v>
      </c>
      <c r="F169" s="528"/>
      <c r="G169" s="528"/>
      <c r="H169" s="528"/>
      <c r="I169" s="483">
        <f t="shared" si="15"/>
        <v>1716</v>
      </c>
      <c r="J169" s="483">
        <f t="shared" si="16"/>
        <v>1716</v>
      </c>
    </row>
    <row r="170" spans="1:10" ht="15.6">
      <c r="A170" s="497"/>
      <c r="B170" s="496"/>
      <c r="C170" s="495"/>
      <c r="D170" s="495"/>
      <c r="E170" s="479"/>
      <c r="F170" s="480"/>
      <c r="G170" s="492"/>
      <c r="H170" s="492"/>
      <c r="I170" s="492"/>
      <c r="J170" s="492"/>
    </row>
    <row r="171" spans="1:10" ht="15.6">
      <c r="A171" s="527" t="s">
        <v>5783</v>
      </c>
      <c r="B171" s="481" t="s">
        <v>5784</v>
      </c>
      <c r="C171" s="526"/>
      <c r="D171" s="526"/>
      <c r="E171" s="525"/>
      <c r="F171" s="524"/>
      <c r="G171" s="524"/>
      <c r="H171" s="523"/>
      <c r="I171" s="523"/>
      <c r="J171" s="523"/>
    </row>
    <row r="172" spans="1:10" ht="15.6">
      <c r="A172" s="526"/>
      <c r="B172" s="472"/>
      <c r="C172" s="526"/>
      <c r="D172" s="526"/>
      <c r="E172" s="525"/>
      <c r="F172" s="524"/>
      <c r="G172" s="524"/>
      <c r="H172" s="523"/>
      <c r="I172" s="523"/>
      <c r="J172" s="523"/>
    </row>
    <row r="173" spans="1:10" ht="15.6">
      <c r="A173" s="501" t="s">
        <v>5785</v>
      </c>
      <c r="B173" s="500" t="s">
        <v>5786</v>
      </c>
      <c r="C173" s="499" t="s">
        <v>5546</v>
      </c>
      <c r="D173" s="499"/>
      <c r="E173" s="474"/>
      <c r="F173" s="484">
        <v>1487.16</v>
      </c>
      <c r="G173" s="519"/>
      <c r="H173" s="519"/>
      <c r="I173" s="483">
        <f t="shared" ref="I173:I194" si="17">E173+F173</f>
        <v>1487.16</v>
      </c>
      <c r="J173" s="483">
        <f t="shared" ref="J173:J194" si="18">E173+H173</f>
        <v>0</v>
      </c>
    </row>
    <row r="174" spans="1:10" ht="15.6">
      <c r="A174" s="501" t="s">
        <v>5787</v>
      </c>
      <c r="B174" s="500" t="s">
        <v>5788</v>
      </c>
      <c r="C174" s="499" t="s">
        <v>5546</v>
      </c>
      <c r="D174" s="499"/>
      <c r="E174" s="474"/>
      <c r="F174" s="484">
        <v>2643.84</v>
      </c>
      <c r="G174" s="519"/>
      <c r="H174" s="519"/>
      <c r="I174" s="483">
        <f t="shared" si="17"/>
        <v>2643.84</v>
      </c>
      <c r="J174" s="483">
        <f t="shared" si="18"/>
        <v>0</v>
      </c>
    </row>
    <row r="175" spans="1:10" ht="15.6">
      <c r="A175" s="501" t="s">
        <v>5789</v>
      </c>
      <c r="B175" s="500" t="s">
        <v>5790</v>
      </c>
      <c r="C175" s="499" t="s">
        <v>5546</v>
      </c>
      <c r="D175" s="499"/>
      <c r="E175" s="474"/>
      <c r="F175" s="484">
        <v>3421.6720000000005</v>
      </c>
      <c r="G175" s="519"/>
      <c r="H175" s="519"/>
      <c r="I175" s="483">
        <f t="shared" si="17"/>
        <v>3421.6720000000005</v>
      </c>
      <c r="J175" s="483">
        <f t="shared" si="18"/>
        <v>0</v>
      </c>
    </row>
    <row r="176" spans="1:10" ht="15.6">
      <c r="A176" s="501" t="s">
        <v>5791</v>
      </c>
      <c r="B176" s="500" t="s">
        <v>5792</v>
      </c>
      <c r="C176" s="499" t="s">
        <v>5546</v>
      </c>
      <c r="D176" s="499"/>
      <c r="E176" s="474"/>
      <c r="F176" s="484">
        <v>6343.9360000000006</v>
      </c>
      <c r="G176" s="519"/>
      <c r="H176" s="519"/>
      <c r="I176" s="483">
        <f t="shared" si="17"/>
        <v>6343.9360000000006</v>
      </c>
      <c r="J176" s="483">
        <f t="shared" si="18"/>
        <v>0</v>
      </c>
    </row>
    <row r="177" spans="1:11" ht="15.6">
      <c r="A177" s="501" t="s">
        <v>5793</v>
      </c>
      <c r="B177" s="500" t="s">
        <v>5794</v>
      </c>
      <c r="C177" s="499" t="s">
        <v>5546</v>
      </c>
      <c r="D177" s="499"/>
      <c r="E177" s="474"/>
      <c r="F177" s="484">
        <v>4787.8720000000003</v>
      </c>
      <c r="G177" s="519"/>
      <c r="H177" s="519"/>
      <c r="I177" s="483">
        <f t="shared" si="17"/>
        <v>4787.8720000000003</v>
      </c>
      <c r="J177" s="483">
        <f t="shared" si="18"/>
        <v>0</v>
      </c>
    </row>
    <row r="178" spans="1:11" ht="15.6">
      <c r="A178" s="501" t="s">
        <v>5795</v>
      </c>
      <c r="B178" s="522" t="s">
        <v>5796</v>
      </c>
      <c r="C178" s="499" t="s">
        <v>5546</v>
      </c>
      <c r="D178" s="499"/>
      <c r="E178" s="474"/>
      <c r="F178" s="484">
        <v>14874.544000000002</v>
      </c>
      <c r="G178" s="519"/>
      <c r="H178" s="519"/>
      <c r="I178" s="483">
        <f t="shared" si="17"/>
        <v>14874.544000000002</v>
      </c>
      <c r="J178" s="483">
        <f t="shared" si="18"/>
        <v>0</v>
      </c>
    </row>
    <row r="179" spans="1:11" ht="15.6">
      <c r="A179" s="501" t="s">
        <v>5797</v>
      </c>
      <c r="B179" s="497" t="s">
        <v>5798</v>
      </c>
      <c r="C179" s="499" t="s">
        <v>5546</v>
      </c>
      <c r="D179" s="499"/>
      <c r="E179" s="474"/>
      <c r="F179" s="484">
        <v>6137.6880000000001</v>
      </c>
      <c r="G179" s="519"/>
      <c r="H179" s="519"/>
      <c r="I179" s="483">
        <f t="shared" si="17"/>
        <v>6137.6880000000001</v>
      </c>
      <c r="J179" s="483">
        <f t="shared" si="18"/>
        <v>0</v>
      </c>
    </row>
    <row r="180" spans="1:11" ht="15.6">
      <c r="A180" s="501" t="s">
        <v>5799</v>
      </c>
      <c r="B180" s="522" t="s">
        <v>5800</v>
      </c>
      <c r="C180" s="499" t="s">
        <v>5546</v>
      </c>
      <c r="D180" s="499"/>
      <c r="E180" s="484">
        <v>4694.3039999999992</v>
      </c>
      <c r="F180" s="519"/>
      <c r="G180" s="519"/>
      <c r="H180" s="519"/>
      <c r="I180" s="483">
        <f t="shared" si="17"/>
        <v>4694.3039999999992</v>
      </c>
      <c r="J180" s="483">
        <f t="shared" si="18"/>
        <v>4694.3039999999992</v>
      </c>
    </row>
    <row r="181" spans="1:11" ht="15.6">
      <c r="A181" s="521" t="s">
        <v>5801</v>
      </c>
      <c r="B181" s="520" t="s">
        <v>5802</v>
      </c>
      <c r="C181" s="499" t="s">
        <v>5438</v>
      </c>
      <c r="D181" s="499"/>
      <c r="E181" s="484">
        <v>0</v>
      </c>
      <c r="F181" s="519"/>
      <c r="G181" s="519"/>
      <c r="H181" s="519"/>
      <c r="I181" s="483">
        <f t="shared" si="17"/>
        <v>0</v>
      </c>
      <c r="J181" s="483">
        <f t="shared" si="18"/>
        <v>0</v>
      </c>
    </row>
    <row r="182" spans="1:11" ht="15.6">
      <c r="A182" s="501" t="s">
        <v>5803</v>
      </c>
      <c r="B182" s="500" t="s">
        <v>5804</v>
      </c>
      <c r="C182" s="499" t="s">
        <v>5438</v>
      </c>
      <c r="D182" s="499"/>
      <c r="E182" s="484">
        <v>336</v>
      </c>
      <c r="F182" s="519"/>
      <c r="G182" s="519"/>
      <c r="H182" s="519"/>
      <c r="I182" s="483">
        <f t="shared" si="17"/>
        <v>336</v>
      </c>
      <c r="J182" s="483">
        <f t="shared" si="18"/>
        <v>336</v>
      </c>
    </row>
    <row r="183" spans="1:11" ht="30.95">
      <c r="A183" s="501" t="s">
        <v>5805</v>
      </c>
      <c r="B183" s="500" t="s">
        <v>5806</v>
      </c>
      <c r="C183" s="499" t="s">
        <v>5438</v>
      </c>
      <c r="D183" s="499"/>
      <c r="E183" s="484">
        <v>26.880000000000003</v>
      </c>
      <c r="F183" s="519"/>
      <c r="G183" s="519"/>
      <c r="H183" s="519"/>
      <c r="I183" s="483">
        <f t="shared" si="17"/>
        <v>26.880000000000003</v>
      </c>
      <c r="J183" s="483">
        <f t="shared" si="18"/>
        <v>26.880000000000003</v>
      </c>
    </row>
    <row r="184" spans="1:11" ht="15.6">
      <c r="A184" s="501" t="s">
        <v>5807</v>
      </c>
      <c r="B184" s="501" t="s">
        <v>5808</v>
      </c>
      <c r="C184" s="499" t="s">
        <v>5438</v>
      </c>
      <c r="D184" s="499"/>
      <c r="E184" s="484">
        <v>15.696000000000002</v>
      </c>
      <c r="F184" s="519"/>
      <c r="G184" s="519"/>
      <c r="H184" s="519"/>
      <c r="I184" s="483">
        <f t="shared" si="17"/>
        <v>15.696000000000002</v>
      </c>
      <c r="J184" s="483">
        <f t="shared" si="18"/>
        <v>15.696000000000002</v>
      </c>
    </row>
    <row r="185" spans="1:11" ht="15.6">
      <c r="A185" s="501" t="s">
        <v>5809</v>
      </c>
      <c r="B185" s="500" t="s">
        <v>5810</v>
      </c>
      <c r="C185" s="499" t="s">
        <v>5438</v>
      </c>
      <c r="D185" s="499"/>
      <c r="E185" s="484">
        <v>130.96</v>
      </c>
      <c r="F185" s="519"/>
      <c r="G185" s="519"/>
      <c r="H185" s="519"/>
      <c r="I185" s="483">
        <f t="shared" si="17"/>
        <v>130.96</v>
      </c>
      <c r="J185" s="483">
        <f t="shared" si="18"/>
        <v>130.96</v>
      </c>
    </row>
    <row r="186" spans="1:11" ht="15.6">
      <c r="A186" s="501" t="s">
        <v>5811</v>
      </c>
      <c r="B186" s="500" t="s">
        <v>5812</v>
      </c>
      <c r="C186" s="499" t="s">
        <v>5438</v>
      </c>
      <c r="D186" s="499"/>
      <c r="E186" s="484">
        <v>0</v>
      </c>
      <c r="F186" s="519"/>
      <c r="G186" s="519"/>
      <c r="H186" s="519"/>
      <c r="I186" s="483">
        <f t="shared" si="17"/>
        <v>0</v>
      </c>
      <c r="J186" s="483">
        <f t="shared" si="18"/>
        <v>0</v>
      </c>
    </row>
    <row r="187" spans="1:11" ht="15.6">
      <c r="A187" s="501" t="s">
        <v>5813</v>
      </c>
      <c r="B187" s="500" t="s">
        <v>5814</v>
      </c>
      <c r="C187" s="499" t="s">
        <v>5438</v>
      </c>
      <c r="D187" s="499"/>
      <c r="E187" s="484">
        <v>499.79200000000003</v>
      </c>
      <c r="F187" s="519"/>
      <c r="G187" s="519"/>
      <c r="H187" s="519"/>
      <c r="I187" s="483">
        <f t="shared" si="17"/>
        <v>499.79200000000003</v>
      </c>
      <c r="J187" s="483">
        <f t="shared" si="18"/>
        <v>499.79200000000003</v>
      </c>
    </row>
    <row r="188" spans="1:11" ht="39.6">
      <c r="A188" s="515" t="s">
        <v>5815</v>
      </c>
      <c r="B188" s="518" t="s">
        <v>5816</v>
      </c>
      <c r="C188" s="499" t="s">
        <v>5546</v>
      </c>
      <c r="D188" s="499"/>
      <c r="E188" s="510">
        <v>6343.9360000000006</v>
      </c>
      <c r="F188" s="510"/>
      <c r="G188" s="483"/>
      <c r="H188" s="483"/>
      <c r="I188" s="483">
        <f t="shared" si="17"/>
        <v>6343.9360000000006</v>
      </c>
      <c r="J188" s="483">
        <f t="shared" si="18"/>
        <v>6343.9360000000006</v>
      </c>
      <c r="K188" s="509" t="s">
        <v>5817</v>
      </c>
    </row>
    <row r="189" spans="1:11" ht="39.6">
      <c r="A189" s="515" t="s">
        <v>5818</v>
      </c>
      <c r="B189" s="518" t="s">
        <v>5819</v>
      </c>
      <c r="C189" s="499" t="s">
        <v>5546</v>
      </c>
      <c r="D189" s="499"/>
      <c r="E189" s="510">
        <v>2537.5680000000002</v>
      </c>
      <c r="F189" s="510"/>
      <c r="G189" s="483"/>
      <c r="H189" s="483"/>
      <c r="I189" s="483">
        <f t="shared" si="17"/>
        <v>2537.5680000000002</v>
      </c>
      <c r="J189" s="483">
        <f t="shared" si="18"/>
        <v>2537.5680000000002</v>
      </c>
      <c r="K189" s="509" t="s">
        <v>5820</v>
      </c>
    </row>
    <row r="190" spans="1:11" ht="77.099999999999994">
      <c r="A190" s="515" t="s">
        <v>5821</v>
      </c>
      <c r="B190" s="514" t="s">
        <v>5822</v>
      </c>
      <c r="C190" s="499" t="s">
        <v>5546</v>
      </c>
      <c r="D190" s="499"/>
      <c r="E190" s="517">
        <v>14874.544000000002</v>
      </c>
      <c r="F190" s="517"/>
      <c r="G190" s="483"/>
      <c r="H190" s="483"/>
      <c r="I190" s="483">
        <f t="shared" si="17"/>
        <v>14874.544000000002</v>
      </c>
      <c r="J190" s="483">
        <f t="shared" si="18"/>
        <v>14874.544000000002</v>
      </c>
      <c r="K190" s="516" t="s">
        <v>5823</v>
      </c>
    </row>
    <row r="191" spans="1:11" ht="76.5">
      <c r="A191" s="515" t="s">
        <v>5824</v>
      </c>
      <c r="B191" s="514" t="s">
        <v>5825</v>
      </c>
      <c r="C191" s="499" t="s">
        <v>5546</v>
      </c>
      <c r="D191" s="499">
        <v>13</v>
      </c>
      <c r="E191" s="513">
        <v>3421.6720000000005</v>
      </c>
      <c r="F191" s="513"/>
      <c r="G191" s="483"/>
      <c r="H191" s="483"/>
      <c r="I191" s="483">
        <f t="shared" si="17"/>
        <v>3421.6720000000005</v>
      </c>
      <c r="J191" s="483">
        <f t="shared" si="18"/>
        <v>3421.6720000000005</v>
      </c>
      <c r="K191" s="509" t="s">
        <v>5826</v>
      </c>
    </row>
    <row r="192" spans="1:11" ht="65.45">
      <c r="A192" s="515" t="s">
        <v>5827</v>
      </c>
      <c r="B192" s="514" t="s">
        <v>5828</v>
      </c>
      <c r="C192" s="499" t="s">
        <v>5546</v>
      </c>
      <c r="D192" s="499">
        <v>13</v>
      </c>
      <c r="E192" s="513">
        <v>4995.6411200000002</v>
      </c>
      <c r="F192" s="513"/>
      <c r="G192" s="483"/>
      <c r="H192" s="483"/>
      <c r="I192" s="483">
        <f t="shared" si="17"/>
        <v>4995.6411200000002</v>
      </c>
      <c r="J192" s="483">
        <f t="shared" si="18"/>
        <v>4995.6411200000002</v>
      </c>
      <c r="K192" s="509" t="s">
        <v>5829</v>
      </c>
    </row>
    <row r="193" spans="1:11" ht="35.1" customHeight="1">
      <c r="A193" s="512" t="s">
        <v>5830</v>
      </c>
      <c r="B193" s="511" t="s">
        <v>5831</v>
      </c>
      <c r="C193" s="499" t="s">
        <v>5546</v>
      </c>
      <c r="D193" s="499"/>
      <c r="E193" s="510">
        <v>6137.6880000000001</v>
      </c>
      <c r="F193" s="510"/>
      <c r="G193" s="483"/>
      <c r="H193" s="483"/>
      <c r="I193" s="483">
        <f t="shared" si="17"/>
        <v>6137.6880000000001</v>
      </c>
      <c r="J193" s="483">
        <f t="shared" si="18"/>
        <v>6137.6880000000001</v>
      </c>
      <c r="K193" s="509" t="s">
        <v>5832</v>
      </c>
    </row>
    <row r="194" spans="1:11" s="508" customFormat="1" ht="41.25" customHeight="1">
      <c r="A194" s="512" t="s">
        <v>5833</v>
      </c>
      <c r="B194" s="511" t="s">
        <v>5834</v>
      </c>
      <c r="C194" s="499" t="s">
        <v>5546</v>
      </c>
      <c r="D194" s="499"/>
      <c r="E194" s="510">
        <v>6137.6880000000001</v>
      </c>
      <c r="F194" s="510"/>
      <c r="G194" s="483"/>
      <c r="H194" s="483"/>
      <c r="I194" s="483">
        <f t="shared" si="17"/>
        <v>6137.6880000000001</v>
      </c>
      <c r="J194" s="483">
        <f t="shared" si="18"/>
        <v>6137.6880000000001</v>
      </c>
      <c r="K194" s="509" t="s">
        <v>5835</v>
      </c>
    </row>
    <row r="195" spans="1:11" ht="15.6">
      <c r="A195" s="497"/>
      <c r="B195" s="496"/>
      <c r="C195" s="495"/>
      <c r="D195" s="495"/>
      <c r="E195" s="480"/>
      <c r="F195" s="492"/>
      <c r="G195" s="492"/>
      <c r="H195" s="492"/>
      <c r="I195" s="492"/>
      <c r="J195" s="492"/>
    </row>
    <row r="196" spans="1:11" ht="15.6">
      <c r="A196" s="507" t="s">
        <v>5836</v>
      </c>
      <c r="B196" s="481" t="s">
        <v>5837</v>
      </c>
      <c r="C196" s="471"/>
      <c r="D196" s="472"/>
      <c r="E196" s="504"/>
      <c r="F196" s="503"/>
      <c r="G196" s="502"/>
      <c r="H196" s="506"/>
      <c r="I196" s="505"/>
      <c r="J196" s="505"/>
    </row>
    <row r="197" spans="1:11">
      <c r="A197" s="471"/>
      <c r="B197" s="472"/>
      <c r="C197" s="471"/>
      <c r="D197" s="471"/>
      <c r="E197" s="504"/>
      <c r="F197" s="503"/>
      <c r="G197" s="502"/>
      <c r="H197" s="469"/>
      <c r="I197" s="468"/>
      <c r="J197" s="468"/>
    </row>
    <row r="198" spans="1:11" ht="42.6">
      <c r="A198" s="501" t="s">
        <v>5838</v>
      </c>
      <c r="B198" s="486" t="s">
        <v>5839</v>
      </c>
      <c r="C198" s="499" t="s">
        <v>5546</v>
      </c>
      <c r="D198" s="498"/>
      <c r="E198" s="474"/>
      <c r="F198" s="484">
        <v>3714.0160000000005</v>
      </c>
      <c r="G198" s="474"/>
      <c r="H198" s="474"/>
      <c r="I198" s="483">
        <f>E198+F198</f>
        <v>3714.0160000000005</v>
      </c>
      <c r="J198" s="483">
        <f>E198+H198</f>
        <v>0</v>
      </c>
    </row>
    <row r="199" spans="1:11" ht="15.6">
      <c r="A199" s="501" t="s">
        <v>5840</v>
      </c>
      <c r="B199" s="500" t="s">
        <v>5841</v>
      </c>
      <c r="C199" s="499" t="s">
        <v>5546</v>
      </c>
      <c r="D199" s="498"/>
      <c r="E199" s="474"/>
      <c r="F199" s="484">
        <v>1783.7280000000001</v>
      </c>
      <c r="G199" s="474"/>
      <c r="H199" s="474"/>
      <c r="I199" s="483">
        <f>E199+F199</f>
        <v>1783.7280000000001</v>
      </c>
      <c r="J199" s="483">
        <f>E199+H199</f>
        <v>0</v>
      </c>
    </row>
    <row r="200" spans="1:11" ht="15.6">
      <c r="A200" s="501" t="s">
        <v>5842</v>
      </c>
      <c r="B200" s="500" t="s">
        <v>5843</v>
      </c>
      <c r="C200" s="499" t="s">
        <v>5546</v>
      </c>
      <c r="D200" s="498"/>
      <c r="E200" s="474"/>
      <c r="F200" s="484">
        <v>891.86400000000003</v>
      </c>
      <c r="G200" s="474"/>
      <c r="H200" s="474"/>
      <c r="I200" s="483">
        <f>E200+F200</f>
        <v>891.86400000000003</v>
      </c>
      <c r="J200" s="483">
        <f>E200+H200</f>
        <v>0</v>
      </c>
    </row>
    <row r="201" spans="1:11" ht="15.6">
      <c r="A201" s="501" t="s">
        <v>5844</v>
      </c>
      <c r="B201" s="500" t="s">
        <v>5845</v>
      </c>
      <c r="C201" s="499" t="s">
        <v>5546</v>
      </c>
      <c r="D201" s="498"/>
      <c r="E201" s="474"/>
      <c r="F201" s="484">
        <v>1337.7920000000001</v>
      </c>
      <c r="G201" s="474"/>
      <c r="H201" s="474"/>
      <c r="I201" s="483">
        <f>E201+F201</f>
        <v>1337.7920000000001</v>
      </c>
      <c r="J201" s="483">
        <f>E201+H201</f>
        <v>0</v>
      </c>
    </row>
    <row r="202" spans="1:11" ht="15.6">
      <c r="A202" s="497"/>
      <c r="B202" s="496"/>
      <c r="C202" s="495"/>
      <c r="D202" s="479"/>
      <c r="E202" s="494"/>
      <c r="F202" s="493"/>
      <c r="G202" s="479"/>
      <c r="H202" s="479"/>
      <c r="I202" s="492"/>
      <c r="J202" s="492"/>
    </row>
    <row r="203" spans="1:11">
      <c r="A203" s="482" t="s">
        <v>4502</v>
      </c>
      <c r="B203" s="481" t="s">
        <v>5846</v>
      </c>
      <c r="C203" s="471"/>
      <c r="D203" s="471"/>
      <c r="E203" s="470"/>
      <c r="F203" s="491"/>
      <c r="G203" s="469"/>
      <c r="H203" s="469"/>
      <c r="I203" s="468"/>
      <c r="J203" s="468"/>
    </row>
    <row r="204" spans="1:11">
      <c r="A204" s="471"/>
      <c r="B204" s="472"/>
      <c r="C204" s="471"/>
      <c r="D204" s="471"/>
      <c r="E204" s="470"/>
      <c r="F204" s="491"/>
      <c r="G204" s="469"/>
      <c r="H204" s="469"/>
      <c r="I204" s="468"/>
      <c r="J204" s="468"/>
    </row>
    <row r="205" spans="1:11" ht="15.6">
      <c r="A205" s="476" t="s">
        <v>5847</v>
      </c>
      <c r="B205" s="490" t="s">
        <v>5848</v>
      </c>
      <c r="C205" s="476" t="s">
        <v>5546</v>
      </c>
      <c r="D205" s="476"/>
      <c r="E205" s="474"/>
      <c r="F205" s="484">
        <v>445.928</v>
      </c>
      <c r="G205" s="474"/>
      <c r="H205" s="474"/>
      <c r="I205" s="483">
        <f>E205+F205</f>
        <v>445.928</v>
      </c>
      <c r="J205" s="483">
        <f>E205+H205</f>
        <v>0</v>
      </c>
    </row>
    <row r="206" spans="1:11" ht="15.6">
      <c r="A206" s="476" t="s">
        <v>5849</v>
      </c>
      <c r="B206" s="477" t="s">
        <v>5850</v>
      </c>
      <c r="C206" s="476" t="s">
        <v>5438</v>
      </c>
      <c r="D206" s="476"/>
      <c r="E206" s="484">
        <v>686.40000000000009</v>
      </c>
      <c r="F206" s="474"/>
      <c r="G206" s="474"/>
      <c r="H206" s="474"/>
      <c r="I206" s="483">
        <f>E206+F206</f>
        <v>686.40000000000009</v>
      </c>
      <c r="J206" s="483">
        <f>E206+H206</f>
        <v>686.40000000000009</v>
      </c>
    </row>
    <row r="207" spans="1:11" ht="15.6">
      <c r="A207" s="476" t="s">
        <v>5851</v>
      </c>
      <c r="B207" s="477" t="s">
        <v>5852</v>
      </c>
      <c r="C207" s="476" t="s">
        <v>5546</v>
      </c>
      <c r="D207" s="476"/>
      <c r="E207" s="474"/>
      <c r="F207" s="484">
        <v>334.44800000000004</v>
      </c>
      <c r="G207" s="474"/>
      <c r="H207" s="474"/>
      <c r="I207" s="483">
        <f>E207+F207</f>
        <v>334.44800000000004</v>
      </c>
      <c r="J207" s="483">
        <f>E207+H207</f>
        <v>0</v>
      </c>
    </row>
    <row r="208" spans="1:11" ht="15.6">
      <c r="A208" s="471"/>
      <c r="B208" s="472"/>
      <c r="C208" s="471"/>
      <c r="D208" s="471"/>
      <c r="E208" s="480"/>
      <c r="F208" s="480"/>
      <c r="G208" s="480"/>
      <c r="H208" s="479"/>
      <c r="I208" s="489"/>
      <c r="J208" s="489"/>
    </row>
    <row r="209" spans="1:10">
      <c r="A209" s="482" t="s">
        <v>5853</v>
      </c>
      <c r="B209" s="481" t="s">
        <v>5854</v>
      </c>
      <c r="C209" s="471"/>
      <c r="D209" s="471"/>
      <c r="E209" s="470"/>
      <c r="F209" s="469"/>
      <c r="G209" s="469"/>
      <c r="H209" s="469"/>
      <c r="I209" s="468"/>
      <c r="J209" s="468"/>
    </row>
    <row r="210" spans="1:10">
      <c r="A210" s="471"/>
      <c r="B210" s="472"/>
      <c r="C210" s="471"/>
      <c r="D210" s="471"/>
      <c r="E210" s="470"/>
      <c r="F210" s="469"/>
      <c r="G210" s="469"/>
      <c r="H210" s="469"/>
      <c r="I210" s="468"/>
      <c r="J210" s="468"/>
    </row>
    <row r="211" spans="1:10" ht="15.6">
      <c r="A211" s="476" t="s">
        <v>5855</v>
      </c>
      <c r="B211" s="477" t="s">
        <v>5856</v>
      </c>
      <c r="C211" s="476" t="s">
        <v>5438</v>
      </c>
      <c r="D211" s="476"/>
      <c r="E211" s="474"/>
      <c r="F211" s="484">
        <v>34.272000000000006</v>
      </c>
      <c r="G211" s="475">
        <v>1.5</v>
      </c>
      <c r="H211" s="487">
        <f>(F211*G211)</f>
        <v>51.408000000000008</v>
      </c>
      <c r="I211" s="483">
        <f t="shared" ref="I211:I223" si="19">E211+F211</f>
        <v>34.272000000000006</v>
      </c>
      <c r="J211" s="483">
        <f t="shared" ref="J211:J223" si="20">E211+H211</f>
        <v>51.408000000000008</v>
      </c>
    </row>
    <row r="212" spans="1:10" ht="15.6">
      <c r="A212" s="476" t="s">
        <v>5857</v>
      </c>
      <c r="B212" s="477" t="s">
        <v>5858</v>
      </c>
      <c r="C212" s="476"/>
      <c r="D212" s="476"/>
      <c r="E212" s="474"/>
      <c r="F212" s="484">
        <v>59.567999999999998</v>
      </c>
      <c r="G212" s="475">
        <v>1.5</v>
      </c>
      <c r="H212" s="487">
        <f>(F212*G212)</f>
        <v>89.352000000000004</v>
      </c>
      <c r="I212" s="483">
        <f t="shared" si="19"/>
        <v>59.567999999999998</v>
      </c>
      <c r="J212" s="483">
        <f t="shared" si="20"/>
        <v>89.352000000000004</v>
      </c>
    </row>
    <row r="213" spans="1:10" ht="15.6">
      <c r="A213" s="476" t="s">
        <v>5859</v>
      </c>
      <c r="B213" s="477" t="s">
        <v>5860</v>
      </c>
      <c r="C213" s="488" t="s">
        <v>5438</v>
      </c>
      <c r="D213" s="476"/>
      <c r="E213" s="474"/>
      <c r="F213" s="484">
        <v>68.951999999999998</v>
      </c>
      <c r="G213" s="474"/>
      <c r="H213" s="474"/>
      <c r="I213" s="483">
        <f t="shared" si="19"/>
        <v>68.951999999999998</v>
      </c>
      <c r="J213" s="483">
        <f t="shared" si="20"/>
        <v>0</v>
      </c>
    </row>
    <row r="214" spans="1:10" ht="15.6">
      <c r="A214" s="476" t="s">
        <v>5861</v>
      </c>
      <c r="B214" s="477" t="s">
        <v>5862</v>
      </c>
      <c r="C214" s="476" t="s">
        <v>5438</v>
      </c>
      <c r="D214" s="476"/>
      <c r="E214" s="474"/>
      <c r="F214" s="484">
        <v>50.288000000000004</v>
      </c>
      <c r="G214" s="475">
        <v>1.5</v>
      </c>
      <c r="H214" s="487">
        <f>(F214*G214)</f>
        <v>75.432000000000002</v>
      </c>
      <c r="I214" s="483">
        <f t="shared" si="19"/>
        <v>50.288000000000004</v>
      </c>
      <c r="J214" s="483">
        <f t="shared" si="20"/>
        <v>75.432000000000002</v>
      </c>
    </row>
    <row r="215" spans="1:10" ht="15.6">
      <c r="A215" s="476" t="s">
        <v>5863</v>
      </c>
      <c r="B215" s="477" t="s">
        <v>5864</v>
      </c>
      <c r="C215" s="476" t="s">
        <v>5546</v>
      </c>
      <c r="D215" s="476"/>
      <c r="E215" s="474"/>
      <c r="F215" s="484">
        <v>853.12000000000012</v>
      </c>
      <c r="G215" s="474"/>
      <c r="H215" s="474"/>
      <c r="I215" s="483">
        <f t="shared" si="19"/>
        <v>853.12000000000012</v>
      </c>
      <c r="J215" s="483">
        <f t="shared" si="20"/>
        <v>0</v>
      </c>
    </row>
    <row r="216" spans="1:10" ht="28.5">
      <c r="A216" s="476" t="s">
        <v>5865</v>
      </c>
      <c r="B216" s="486" t="s">
        <v>5866</v>
      </c>
      <c r="C216" s="476" t="s">
        <v>5546</v>
      </c>
      <c r="D216" s="476"/>
      <c r="E216" s="474"/>
      <c r="F216" s="484">
        <v>1530.3920000000001</v>
      </c>
      <c r="G216" s="474"/>
      <c r="H216" s="474"/>
      <c r="I216" s="483">
        <f t="shared" si="19"/>
        <v>1530.3920000000001</v>
      </c>
      <c r="J216" s="483">
        <f t="shared" si="20"/>
        <v>0</v>
      </c>
    </row>
    <row r="217" spans="1:10" ht="15.6">
      <c r="A217" s="476" t="s">
        <v>5867</v>
      </c>
      <c r="B217" s="477" t="s">
        <v>5868</v>
      </c>
      <c r="C217" s="476" t="s">
        <v>5546</v>
      </c>
      <c r="D217" s="476"/>
      <c r="E217" s="474"/>
      <c r="F217" s="484">
        <v>1510.6880000000001</v>
      </c>
      <c r="G217" s="474"/>
      <c r="H217" s="474"/>
      <c r="I217" s="483">
        <f t="shared" si="19"/>
        <v>1510.6880000000001</v>
      </c>
      <c r="J217" s="483">
        <f t="shared" si="20"/>
        <v>0</v>
      </c>
    </row>
    <row r="218" spans="1:10" ht="15.6">
      <c r="A218" s="476" t="s">
        <v>5869</v>
      </c>
      <c r="B218" s="477" t="s">
        <v>5870</v>
      </c>
      <c r="C218" s="476" t="s">
        <v>5546</v>
      </c>
      <c r="D218" s="476"/>
      <c r="E218" s="474"/>
      <c r="F218" s="484">
        <v>392.99200000000002</v>
      </c>
      <c r="G218" s="474"/>
      <c r="H218" s="474"/>
      <c r="I218" s="483">
        <f t="shared" si="19"/>
        <v>392.99200000000002</v>
      </c>
      <c r="J218" s="483">
        <f t="shared" si="20"/>
        <v>0</v>
      </c>
    </row>
    <row r="219" spans="1:10" ht="15.6">
      <c r="A219" s="476" t="s">
        <v>5871</v>
      </c>
      <c r="B219" s="477" t="s">
        <v>5872</v>
      </c>
      <c r="C219" s="476" t="s">
        <v>5546</v>
      </c>
      <c r="D219" s="476"/>
      <c r="E219" s="474"/>
      <c r="F219" s="484">
        <v>750.57600000000002</v>
      </c>
      <c r="G219" s="474"/>
      <c r="H219" s="474"/>
      <c r="I219" s="483">
        <f t="shared" si="19"/>
        <v>750.57600000000002</v>
      </c>
      <c r="J219" s="483">
        <f t="shared" si="20"/>
        <v>0</v>
      </c>
    </row>
    <row r="220" spans="1:10" ht="15.6">
      <c r="A220" s="476" t="s">
        <v>5873</v>
      </c>
      <c r="B220" s="477" t="s">
        <v>5874</v>
      </c>
      <c r="C220" s="476" t="s">
        <v>5438</v>
      </c>
      <c r="D220" s="476"/>
      <c r="E220" s="484">
        <v>12426.56</v>
      </c>
      <c r="F220" s="474"/>
      <c r="G220" s="474"/>
      <c r="H220" s="474"/>
      <c r="I220" s="483">
        <f t="shared" si="19"/>
        <v>12426.56</v>
      </c>
      <c r="J220" s="483">
        <f t="shared" si="20"/>
        <v>12426.56</v>
      </c>
    </row>
    <row r="221" spans="1:10" ht="15.6">
      <c r="A221" s="476" t="s">
        <v>5875</v>
      </c>
      <c r="B221" s="477" t="s">
        <v>5876</v>
      </c>
      <c r="C221" s="476" t="s">
        <v>5546</v>
      </c>
      <c r="D221" s="476"/>
      <c r="E221" s="484">
        <v>742.64</v>
      </c>
      <c r="F221" s="474"/>
      <c r="G221" s="474"/>
      <c r="H221" s="474"/>
      <c r="I221" s="483">
        <f t="shared" si="19"/>
        <v>742.64</v>
      </c>
      <c r="J221" s="483">
        <f t="shared" si="20"/>
        <v>742.64</v>
      </c>
    </row>
    <row r="222" spans="1:10" ht="15.6">
      <c r="A222" s="485" t="s">
        <v>5877</v>
      </c>
      <c r="B222" s="477" t="s">
        <v>5878</v>
      </c>
      <c r="C222" s="476" t="s">
        <v>5546</v>
      </c>
      <c r="D222" s="476"/>
      <c r="E222" s="474"/>
      <c r="F222" s="474"/>
      <c r="G222" s="474"/>
      <c r="H222" s="484">
        <v>250</v>
      </c>
      <c r="I222" s="483">
        <f t="shared" si="19"/>
        <v>0</v>
      </c>
      <c r="J222" s="483">
        <f t="shared" si="20"/>
        <v>250</v>
      </c>
    </row>
    <row r="223" spans="1:10" ht="15.6" customHeight="1">
      <c r="A223" s="485" t="s">
        <v>5879</v>
      </c>
      <c r="B223" s="477" t="s">
        <v>5880</v>
      </c>
      <c r="C223" s="476" t="s">
        <v>5546</v>
      </c>
      <c r="D223" s="476"/>
      <c r="E223" s="474"/>
      <c r="F223" s="484">
        <v>310</v>
      </c>
      <c r="G223" s="474"/>
      <c r="H223" s="484">
        <v>250</v>
      </c>
      <c r="I223" s="483">
        <f t="shared" si="19"/>
        <v>310</v>
      </c>
      <c r="J223" s="483">
        <f t="shared" si="20"/>
        <v>250</v>
      </c>
    </row>
    <row r="224" spans="1:10" ht="15.6" customHeight="1">
      <c r="A224" s="471"/>
      <c r="B224" s="472"/>
      <c r="C224" s="471"/>
      <c r="D224" s="471"/>
      <c r="E224" s="480"/>
      <c r="F224" s="479"/>
      <c r="G224" s="479"/>
      <c r="H224" s="479"/>
      <c r="I224" s="478"/>
      <c r="J224" s="478"/>
    </row>
    <row r="225" spans="1:10" ht="15.6">
      <c r="A225" s="482" t="s">
        <v>5881</v>
      </c>
      <c r="B225" s="481" t="s">
        <v>5882</v>
      </c>
      <c r="C225" s="471"/>
      <c r="D225" s="471"/>
      <c r="E225" s="480"/>
      <c r="F225" s="479"/>
      <c r="G225" s="479"/>
      <c r="H225" s="479"/>
      <c r="I225" s="478"/>
      <c r="J225" s="478"/>
    </row>
    <row r="226" spans="1:10" ht="15.6">
      <c r="A226" s="471"/>
      <c r="B226" s="472"/>
      <c r="C226" s="471"/>
      <c r="D226" s="471"/>
      <c r="E226" s="480"/>
      <c r="F226" s="479"/>
      <c r="G226" s="479"/>
      <c r="H226" s="479"/>
      <c r="I226" s="478"/>
      <c r="J226" s="478"/>
    </row>
    <row r="227" spans="1:10" ht="15.6">
      <c r="A227" s="476" t="s">
        <v>5883</v>
      </c>
      <c r="B227" s="477" t="s">
        <v>5884</v>
      </c>
      <c r="C227" s="476" t="s">
        <v>5885</v>
      </c>
      <c r="D227" s="476"/>
      <c r="E227" s="474"/>
      <c r="F227" s="474"/>
      <c r="G227" s="475">
        <v>1.5</v>
      </c>
      <c r="H227" s="474"/>
      <c r="I227" s="473"/>
      <c r="J227" s="473"/>
    </row>
    <row r="228" spans="1:10" ht="15.6">
      <c r="A228" s="476" t="s">
        <v>5886</v>
      </c>
      <c r="B228" s="477" t="s">
        <v>5887</v>
      </c>
      <c r="C228" s="476" t="s">
        <v>5885</v>
      </c>
      <c r="D228" s="476"/>
      <c r="E228" s="474"/>
      <c r="F228" s="474"/>
      <c r="G228" s="475">
        <v>1.5</v>
      </c>
      <c r="H228" s="474"/>
      <c r="I228" s="473"/>
      <c r="J228" s="473"/>
    </row>
    <row r="229" spans="1:10" ht="15.6">
      <c r="A229" s="476" t="s">
        <v>5888</v>
      </c>
      <c r="B229" s="477" t="s">
        <v>5889</v>
      </c>
      <c r="C229" s="476" t="s">
        <v>5885</v>
      </c>
      <c r="D229" s="476"/>
      <c r="E229" s="474"/>
      <c r="F229" s="474"/>
      <c r="G229" s="475">
        <v>1.8</v>
      </c>
      <c r="H229" s="474"/>
      <c r="I229" s="473"/>
      <c r="J229" s="473"/>
    </row>
    <row r="230" spans="1:10" ht="15.6">
      <c r="A230" s="471"/>
      <c r="B230" s="472"/>
      <c r="C230" s="471"/>
      <c r="D230" s="471"/>
      <c r="E230" s="480"/>
      <c r="F230" s="479"/>
      <c r="G230" s="479"/>
      <c r="H230" s="479"/>
      <c r="I230" s="478"/>
      <c r="J230" s="478"/>
    </row>
    <row r="231" spans="1:10" ht="15.6">
      <c r="A231" s="482" t="s">
        <v>22</v>
      </c>
      <c r="B231" s="481" t="s">
        <v>5890</v>
      </c>
      <c r="C231" s="471"/>
      <c r="D231" s="471"/>
      <c r="E231" s="480"/>
      <c r="F231" s="479"/>
      <c r="G231" s="479"/>
      <c r="H231" s="479"/>
      <c r="I231" s="478"/>
      <c r="J231" s="478"/>
    </row>
    <row r="232" spans="1:10" ht="15.6">
      <c r="A232" s="471"/>
      <c r="B232" s="472"/>
      <c r="C232" s="471"/>
      <c r="D232" s="471"/>
      <c r="E232" s="480"/>
      <c r="F232" s="479"/>
      <c r="G232" s="479"/>
      <c r="H232" s="479"/>
      <c r="I232" s="478"/>
      <c r="J232" s="478"/>
    </row>
    <row r="233" spans="1:10" ht="15.6">
      <c r="A233" s="476" t="s">
        <v>5891</v>
      </c>
      <c r="B233" s="477" t="s">
        <v>5892</v>
      </c>
      <c r="C233" s="476" t="s">
        <v>5885</v>
      </c>
      <c r="D233" s="476"/>
      <c r="E233" s="474"/>
      <c r="F233" s="474"/>
      <c r="G233" s="475">
        <v>0.22</v>
      </c>
      <c r="H233" s="474"/>
      <c r="I233" s="473"/>
      <c r="J233" s="473"/>
    </row>
    <row r="234" spans="1:10">
      <c r="A234" s="471"/>
      <c r="B234" s="472"/>
      <c r="C234" s="471"/>
      <c r="D234" s="471"/>
      <c r="E234" s="470"/>
      <c r="F234" s="469"/>
      <c r="G234" s="469"/>
      <c r="H234" s="469"/>
      <c r="I234" s="468"/>
      <c r="J234" s="468"/>
    </row>
  </sheetData>
  <mergeCells count="2">
    <mergeCell ref="A1:I1"/>
    <mergeCell ref="E4:H4"/>
  </mergeCells>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008C7D-CA0B-4394-8209-B999461B545A}">
  <sheetPr codeName="Feuil11">
    <tabColor rgb="FFFF0000"/>
  </sheetPr>
  <dimension ref="A1:AI10"/>
  <sheetViews>
    <sheetView topLeftCell="T1" workbookViewId="0">
      <selection activeCell="AB14" sqref="AB14"/>
    </sheetView>
  </sheetViews>
  <sheetFormatPr defaultColWidth="11.42578125" defaultRowHeight="14.45"/>
  <cols>
    <col min="1" max="1" width="29.5703125" customWidth="1"/>
    <col min="2" max="2" width="3.5703125" customWidth="1"/>
    <col min="6" max="6" width="3.5703125" customWidth="1"/>
    <col min="10" max="10" width="3" customWidth="1"/>
    <col min="11" max="12" width="17.5703125" customWidth="1"/>
    <col min="13" max="13" width="5.5703125" customWidth="1"/>
    <col min="14" max="15" width="17.5703125" customWidth="1"/>
    <col min="16" max="16" width="5.5703125" customWidth="1"/>
    <col min="17" max="18" width="17.5703125" customWidth="1"/>
    <col min="19" max="19" width="5.5703125" customWidth="1"/>
    <col min="20" max="21" width="17.5703125" customWidth="1"/>
    <col min="22" max="22" width="5.5703125" customWidth="1"/>
    <col min="23" max="24" width="17.5703125" customWidth="1"/>
    <col min="26" max="35" width="17.5703125" customWidth="1"/>
  </cols>
  <sheetData>
    <row r="1" spans="1:35" ht="23.1" thickBot="1">
      <c r="K1" s="718" t="s">
        <v>218</v>
      </c>
      <c r="L1" s="719"/>
      <c r="M1" s="719"/>
      <c r="N1" s="719"/>
      <c r="O1" s="719"/>
      <c r="P1" s="719"/>
      <c r="Q1" s="719"/>
      <c r="R1" s="719"/>
      <c r="S1" s="719"/>
      <c r="T1" s="719"/>
      <c r="U1" s="719"/>
      <c r="V1" s="719"/>
      <c r="W1" s="719"/>
      <c r="X1" s="719"/>
      <c r="Z1" s="772" t="s">
        <v>5893</v>
      </c>
      <c r="AA1" s="773"/>
      <c r="AB1" s="773"/>
      <c r="AC1" s="773"/>
      <c r="AD1" s="773"/>
      <c r="AE1" s="773"/>
      <c r="AF1" s="773"/>
      <c r="AG1" s="773"/>
      <c r="AH1" s="773"/>
      <c r="AI1" s="773"/>
    </row>
    <row r="2" spans="1:35" ht="49.5" customHeight="1" thickBot="1">
      <c r="A2" s="460" t="s">
        <v>5894</v>
      </c>
      <c r="C2" s="766" t="s">
        <v>5895</v>
      </c>
      <c r="D2" s="767"/>
      <c r="E2" s="768"/>
      <c r="G2" s="766" t="s">
        <v>5896</v>
      </c>
      <c r="H2" s="767"/>
      <c r="I2" s="768"/>
      <c r="K2" s="769" t="s">
        <v>1556</v>
      </c>
      <c r="L2" s="769"/>
      <c r="N2" s="770" t="s">
        <v>1557</v>
      </c>
      <c r="O2" s="770"/>
      <c r="P2" s="459"/>
      <c r="Q2" s="771" t="s">
        <v>1558</v>
      </c>
      <c r="R2" s="771"/>
      <c r="S2" s="459"/>
      <c r="T2" s="764" t="s">
        <v>1559</v>
      </c>
      <c r="U2" s="764"/>
      <c r="V2" s="459"/>
      <c r="W2" s="765" t="s">
        <v>1560</v>
      </c>
      <c r="X2" s="765"/>
      <c r="Z2" s="769" t="s">
        <v>1556</v>
      </c>
      <c r="AA2" s="769"/>
      <c r="AB2" s="770" t="s">
        <v>1557</v>
      </c>
      <c r="AC2" s="770"/>
      <c r="AD2" s="771" t="s">
        <v>1558</v>
      </c>
      <c r="AE2" s="771"/>
      <c r="AF2" s="764" t="s">
        <v>1559</v>
      </c>
      <c r="AG2" s="764"/>
      <c r="AH2" s="765" t="s">
        <v>1560</v>
      </c>
      <c r="AI2" s="765"/>
    </row>
    <row r="3" spans="1:35" ht="45.6" thickBot="1">
      <c r="A3" s="93" t="s">
        <v>5897</v>
      </c>
      <c r="C3" s="14" t="s">
        <v>229</v>
      </c>
      <c r="D3" s="15" t="s">
        <v>230</v>
      </c>
      <c r="E3" s="16" t="s">
        <v>231</v>
      </c>
      <c r="G3" s="14" t="s">
        <v>229</v>
      </c>
      <c r="H3" s="15" t="s">
        <v>230</v>
      </c>
      <c r="I3" s="16" t="s">
        <v>231</v>
      </c>
      <c r="K3" s="458" t="s">
        <v>5895</v>
      </c>
      <c r="L3" s="17" t="s">
        <v>5898</v>
      </c>
      <c r="N3" s="457" t="s">
        <v>5895</v>
      </c>
      <c r="O3" s="456" t="s">
        <v>5899</v>
      </c>
      <c r="P3" s="459"/>
      <c r="Q3" s="455" t="s">
        <v>5895</v>
      </c>
      <c r="R3" s="19" t="s">
        <v>5899</v>
      </c>
      <c r="S3" s="459"/>
      <c r="T3" s="454" t="s">
        <v>5895</v>
      </c>
      <c r="U3" s="20" t="s">
        <v>5899</v>
      </c>
      <c r="V3" s="459"/>
      <c r="W3" s="453" t="s">
        <v>5900</v>
      </c>
      <c r="X3" s="21" t="s">
        <v>5899</v>
      </c>
      <c r="Z3" s="458" t="s">
        <v>5901</v>
      </c>
      <c r="AA3" s="17" t="s">
        <v>5902</v>
      </c>
      <c r="AB3" s="457" t="s">
        <v>5901</v>
      </c>
      <c r="AC3" s="456" t="s">
        <v>5903</v>
      </c>
      <c r="AD3" s="455" t="s">
        <v>5901</v>
      </c>
      <c r="AE3" s="19" t="s">
        <v>5903</v>
      </c>
      <c r="AF3" s="454" t="s">
        <v>5901</v>
      </c>
      <c r="AG3" s="20" t="s">
        <v>5903</v>
      </c>
      <c r="AH3" s="453" t="s">
        <v>5901</v>
      </c>
      <c r="AI3" s="21" t="s">
        <v>5903</v>
      </c>
    </row>
    <row r="4" spans="1:35" ht="15.6" thickBot="1">
      <c r="A4" s="452" t="s">
        <v>27</v>
      </c>
      <c r="C4" s="451">
        <v>45</v>
      </c>
      <c r="D4" s="451">
        <v>55</v>
      </c>
      <c r="E4" s="451">
        <v>75</v>
      </c>
      <c r="G4" s="451">
        <v>65</v>
      </c>
      <c r="H4" s="451">
        <v>100</v>
      </c>
      <c r="I4" s="451">
        <v>150</v>
      </c>
      <c r="K4" s="450">
        <f t="shared" ref="K4:L10" si="0" xml:space="preserve"> IF(ISBLANK(Z4),"",_k_EIFFAGE * Z4)</f>
        <v>54.45000000000001</v>
      </c>
      <c r="L4" s="450">
        <f t="shared" si="0"/>
        <v>82.098500000000016</v>
      </c>
      <c r="N4" s="450">
        <f t="shared" ref="N4:O10" si="1" xml:space="preserve"> IF(ISBLANK(AB4),"",_k_ERI * AB4)</f>
        <v>53.625000000000007</v>
      </c>
      <c r="O4" s="450">
        <f t="shared" si="1"/>
        <v>96.525000000000006</v>
      </c>
      <c r="Q4" s="450">
        <f t="shared" ref="Q4:R10" si="2" xml:space="preserve"> IF(ISBLANK(AD4),"",_k_INEO * AD4)</f>
        <v>52.800000000000004</v>
      </c>
      <c r="R4" s="450">
        <f t="shared" si="2"/>
        <v>114.04800000000003</v>
      </c>
      <c r="T4" s="450">
        <f t="shared" ref="T4:U10" si="3" xml:space="preserve"> IF(ISBLANK(AF4),"",_k_SDEL * AF4)</f>
        <v>84.48</v>
      </c>
      <c r="U4" s="450">
        <f t="shared" si="3"/>
        <v>128.70000000000002</v>
      </c>
      <c r="W4" s="450">
        <f t="shared" ref="W4:X10" si="4" xml:space="preserve"> IF(ISBLANK(AH4),"",_k_SOGETREL * AH4)</f>
        <v>75.921999999999997</v>
      </c>
      <c r="X4" s="450">
        <f t="shared" si="4"/>
        <v>122.10000000000001</v>
      </c>
      <c r="Z4" s="450">
        <v>49.500000000000007</v>
      </c>
      <c r="AA4" s="450">
        <v>74.635000000000005</v>
      </c>
      <c r="AB4" s="450">
        <v>48.75</v>
      </c>
      <c r="AC4" s="450">
        <v>87.75</v>
      </c>
      <c r="AD4" s="450">
        <v>48</v>
      </c>
      <c r="AE4" s="450">
        <v>103.68000000000002</v>
      </c>
      <c r="AF4" s="450">
        <v>76.8</v>
      </c>
      <c r="AG4" s="450">
        <v>117</v>
      </c>
      <c r="AH4" s="450">
        <v>69.02</v>
      </c>
      <c r="AI4" s="450">
        <v>111</v>
      </c>
    </row>
    <row r="5" spans="1:35" ht="15.6" thickBot="1">
      <c r="A5" s="452" t="s">
        <v>5904</v>
      </c>
      <c r="C5" s="451">
        <v>45</v>
      </c>
      <c r="D5" s="451">
        <v>55</v>
      </c>
      <c r="E5" s="451">
        <v>75</v>
      </c>
      <c r="G5" s="451">
        <v>65</v>
      </c>
      <c r="H5" s="451">
        <v>100</v>
      </c>
      <c r="I5" s="451">
        <v>150</v>
      </c>
      <c r="K5" s="450">
        <f t="shared" si="0"/>
        <v>54.45000000000001</v>
      </c>
      <c r="L5" s="450">
        <f t="shared" si="0"/>
        <v>82.098500000000016</v>
      </c>
      <c r="N5" s="450">
        <f t="shared" si="1"/>
        <v>63.250000000000007</v>
      </c>
      <c r="O5" s="450">
        <f t="shared" si="1"/>
        <v>113.85000000000001</v>
      </c>
      <c r="Q5" s="450">
        <f t="shared" si="2"/>
        <v>59.400000000000006</v>
      </c>
      <c r="R5" s="450">
        <f t="shared" si="2"/>
        <v>128.30400000000003</v>
      </c>
      <c r="T5" s="450">
        <f t="shared" si="3"/>
        <v>84.48</v>
      </c>
      <c r="U5" s="450">
        <f t="shared" si="3"/>
        <v>128.70000000000002</v>
      </c>
      <c r="W5" s="450">
        <f t="shared" si="4"/>
        <v>82.543999999999997</v>
      </c>
      <c r="X5" s="450">
        <f t="shared" si="4"/>
        <v>132.66000000000003</v>
      </c>
      <c r="Z5" s="450">
        <v>49.500000000000007</v>
      </c>
      <c r="AA5" s="450">
        <v>74.635000000000005</v>
      </c>
      <c r="AB5" s="450">
        <v>57.5</v>
      </c>
      <c r="AC5" s="450">
        <v>103.5</v>
      </c>
      <c r="AD5" s="450">
        <v>54</v>
      </c>
      <c r="AE5" s="450">
        <v>116.64000000000001</v>
      </c>
      <c r="AF5" s="450">
        <v>76.8</v>
      </c>
      <c r="AG5" s="450">
        <v>117</v>
      </c>
      <c r="AH5" s="450">
        <v>75.039999999999992</v>
      </c>
      <c r="AI5" s="450">
        <v>120.60000000000001</v>
      </c>
    </row>
    <row r="6" spans="1:35" ht="15.6" thickBot="1">
      <c r="A6" s="452" t="s">
        <v>5905</v>
      </c>
      <c r="C6" s="451">
        <v>45</v>
      </c>
      <c r="D6" s="451">
        <v>55</v>
      </c>
      <c r="E6" s="451">
        <v>75</v>
      </c>
      <c r="G6" s="451">
        <v>65</v>
      </c>
      <c r="H6" s="451">
        <v>100</v>
      </c>
      <c r="I6" s="451">
        <v>150</v>
      </c>
      <c r="K6" s="450">
        <f t="shared" si="0"/>
        <v>67.155000000000015</v>
      </c>
      <c r="L6" s="450">
        <f t="shared" si="0"/>
        <v>95.254499999999993</v>
      </c>
      <c r="N6" s="450">
        <f t="shared" si="1"/>
        <v>72.875</v>
      </c>
      <c r="O6" s="450">
        <f xml:space="preserve"> IF(ISBLANK(AC6),"",_k_ERI * AC6)</f>
        <v>131.17500000000001</v>
      </c>
      <c r="Q6" s="450">
        <f t="shared" si="2"/>
        <v>70.400000000000006</v>
      </c>
      <c r="R6" s="450">
        <f t="shared" si="2"/>
        <v>152.06400000000002</v>
      </c>
      <c r="T6" s="450">
        <f t="shared" si="3"/>
        <v>96.36</v>
      </c>
      <c r="U6" s="450">
        <f t="shared" si="3"/>
        <v>147.29000000000002</v>
      </c>
      <c r="W6" s="450">
        <f t="shared" si="4"/>
        <v>87.164000000000001</v>
      </c>
      <c r="X6" s="450">
        <f t="shared" si="4"/>
        <v>140.08500000000001</v>
      </c>
      <c r="Z6" s="450">
        <v>61.050000000000004</v>
      </c>
      <c r="AA6" s="450">
        <v>86.594999999999985</v>
      </c>
      <c r="AB6" s="450">
        <v>66.25</v>
      </c>
      <c r="AC6" s="450">
        <v>119.25</v>
      </c>
      <c r="AD6" s="450">
        <v>64</v>
      </c>
      <c r="AE6" s="450">
        <v>138.24</v>
      </c>
      <c r="AF6" s="450">
        <v>87.6</v>
      </c>
      <c r="AG6" s="450">
        <v>133.9</v>
      </c>
      <c r="AH6" s="450">
        <v>79.239999999999995</v>
      </c>
      <c r="AI6" s="450">
        <v>127.35000000000001</v>
      </c>
    </row>
    <row r="7" spans="1:35" ht="15.6" thickBot="1">
      <c r="A7" s="452" t="s">
        <v>5906</v>
      </c>
      <c r="C7" s="451">
        <v>45</v>
      </c>
      <c r="D7" s="451">
        <v>55</v>
      </c>
      <c r="E7" s="451">
        <v>75</v>
      </c>
      <c r="G7" s="451">
        <v>65</v>
      </c>
      <c r="H7" s="451">
        <v>100</v>
      </c>
      <c r="I7" s="451">
        <v>150</v>
      </c>
      <c r="K7" s="450">
        <f t="shared" si="0"/>
        <v>70.301000000000016</v>
      </c>
      <c r="L7" s="450">
        <f t="shared" si="0"/>
        <v>98.796499999999995</v>
      </c>
      <c r="N7" s="450">
        <f t="shared" si="1"/>
        <v>81.125</v>
      </c>
      <c r="O7" s="450">
        <f xml:space="preserve"> IF(ISBLANK(AC7),"",_k_ERI * AC7)</f>
        <v>146.02500000000001</v>
      </c>
      <c r="Q7" s="450">
        <f t="shared" si="2"/>
        <v>80.300000000000011</v>
      </c>
      <c r="R7" s="450">
        <f t="shared" si="2"/>
        <v>173.44800000000006</v>
      </c>
      <c r="T7" s="450">
        <f t="shared" si="3"/>
        <v>110.88000000000001</v>
      </c>
      <c r="U7" s="450">
        <f t="shared" si="3"/>
        <v>168.74</v>
      </c>
      <c r="W7" s="450">
        <f t="shared" si="4"/>
        <v>102.102</v>
      </c>
      <c r="X7" s="450">
        <f t="shared" si="4"/>
        <v>164.01000000000005</v>
      </c>
      <c r="Z7" s="450">
        <v>63.910000000000004</v>
      </c>
      <c r="AA7" s="450">
        <v>89.814999999999984</v>
      </c>
      <c r="AB7" s="450">
        <v>73.75</v>
      </c>
      <c r="AC7" s="450">
        <v>132.75</v>
      </c>
      <c r="AD7" s="450">
        <v>73</v>
      </c>
      <c r="AE7" s="450">
        <v>157.68000000000004</v>
      </c>
      <c r="AF7" s="450">
        <v>100.8</v>
      </c>
      <c r="AG7" s="450">
        <v>153.4</v>
      </c>
      <c r="AH7" s="450">
        <v>92.82</v>
      </c>
      <c r="AI7" s="450">
        <v>149.10000000000002</v>
      </c>
    </row>
    <row r="8" spans="1:35" ht="15.6" thickBot="1">
      <c r="A8" s="452" t="s">
        <v>5907</v>
      </c>
      <c r="C8" s="451">
        <v>45</v>
      </c>
      <c r="D8" s="451">
        <v>55</v>
      </c>
      <c r="E8" s="451">
        <v>75</v>
      </c>
      <c r="G8" s="451">
        <v>65</v>
      </c>
      <c r="H8" s="451">
        <v>100</v>
      </c>
      <c r="I8" s="451">
        <v>150</v>
      </c>
      <c r="K8" s="450">
        <f t="shared" si="0"/>
        <v>100.06700000000002</v>
      </c>
      <c r="L8" s="450">
        <f t="shared" si="0"/>
        <v>129.91550000000001</v>
      </c>
      <c r="N8" s="450">
        <f t="shared" si="1"/>
        <v>130.625</v>
      </c>
      <c r="O8" s="450">
        <f t="shared" si="1"/>
        <v>156.75</v>
      </c>
      <c r="Q8" s="450">
        <f t="shared" si="2"/>
        <v>103.4</v>
      </c>
      <c r="R8" s="450">
        <f t="shared" si="2"/>
        <v>223.34400000000005</v>
      </c>
      <c r="T8" s="450">
        <f t="shared" si="3"/>
        <v>151.80000000000001</v>
      </c>
      <c r="U8" s="450">
        <f t="shared" si="3"/>
        <v>197.34000000000003</v>
      </c>
      <c r="W8" s="450">
        <f t="shared" si="4"/>
        <v>131.66999999999999</v>
      </c>
      <c r="X8" s="450">
        <f t="shared" si="4"/>
        <v>211.53</v>
      </c>
      <c r="Z8" s="450">
        <v>90.970000000000013</v>
      </c>
      <c r="AA8" s="450">
        <v>118.10499999999999</v>
      </c>
      <c r="AB8" s="450">
        <v>118.75</v>
      </c>
      <c r="AC8" s="450">
        <v>142.5</v>
      </c>
      <c r="AD8" s="450">
        <v>94</v>
      </c>
      <c r="AE8" s="450">
        <v>203.04000000000002</v>
      </c>
      <c r="AF8" s="450">
        <v>138</v>
      </c>
      <c r="AG8" s="450">
        <v>179.4</v>
      </c>
      <c r="AH8" s="450">
        <v>119.69999999999999</v>
      </c>
      <c r="AI8" s="450">
        <v>192.29999999999998</v>
      </c>
    </row>
    <row r="9" spans="1:35" ht="15.6" thickBot="1">
      <c r="A9" s="452" t="s">
        <v>5908</v>
      </c>
      <c r="C9" s="451">
        <v>45</v>
      </c>
      <c r="D9" s="451">
        <v>55</v>
      </c>
      <c r="E9" s="451">
        <v>75</v>
      </c>
      <c r="G9" s="451">
        <v>65</v>
      </c>
      <c r="H9" s="451">
        <v>100</v>
      </c>
      <c r="I9" s="451">
        <v>150</v>
      </c>
      <c r="K9" s="450">
        <f t="shared" si="0"/>
        <v>54.45000000000001</v>
      </c>
      <c r="L9" s="450">
        <f t="shared" si="0"/>
        <v>82.225000000000009</v>
      </c>
      <c r="N9" s="450">
        <f t="shared" si="1"/>
        <v>72.875</v>
      </c>
      <c r="O9" s="450">
        <f t="shared" si="1"/>
        <v>87.45</v>
      </c>
      <c r="Q9" s="450">
        <f t="shared" si="2"/>
        <v>60.500000000000007</v>
      </c>
      <c r="R9" s="450">
        <f t="shared" si="2"/>
        <v>130.68000000000004</v>
      </c>
      <c r="T9" s="450">
        <f t="shared" si="3"/>
        <v>99.000000000000014</v>
      </c>
      <c r="U9" s="450">
        <f t="shared" si="3"/>
        <v>150.15</v>
      </c>
      <c r="W9" s="450">
        <f t="shared" si="4"/>
        <v>55.440000000000005</v>
      </c>
      <c r="X9" s="450">
        <f t="shared" si="4"/>
        <v>89.100000000000009</v>
      </c>
      <c r="Z9" s="450">
        <v>49.500000000000007</v>
      </c>
      <c r="AA9" s="450">
        <v>74.75</v>
      </c>
      <c r="AB9" s="450">
        <v>66.25</v>
      </c>
      <c r="AC9" s="450">
        <v>79.5</v>
      </c>
      <c r="AD9" s="450">
        <v>55</v>
      </c>
      <c r="AE9" s="450">
        <v>118.80000000000001</v>
      </c>
      <c r="AF9" s="450">
        <v>90</v>
      </c>
      <c r="AG9" s="450">
        <v>136.5</v>
      </c>
      <c r="AH9" s="450">
        <v>50.4</v>
      </c>
      <c r="AI9" s="450">
        <v>81</v>
      </c>
    </row>
    <row r="10" spans="1:35" ht="15.6" thickBot="1">
      <c r="A10" s="452" t="s">
        <v>5909</v>
      </c>
      <c r="C10" s="451">
        <v>45</v>
      </c>
      <c r="D10" s="451">
        <v>55</v>
      </c>
      <c r="E10" s="451">
        <v>75</v>
      </c>
      <c r="G10" s="451">
        <v>65</v>
      </c>
      <c r="H10" s="451">
        <v>100</v>
      </c>
      <c r="I10" s="451">
        <v>150</v>
      </c>
      <c r="K10" s="450">
        <f t="shared" si="0"/>
        <v>78.650000000000006</v>
      </c>
      <c r="L10" s="450">
        <f t="shared" si="0"/>
        <v>107.52499999999999</v>
      </c>
      <c r="N10" s="450">
        <f t="shared" si="1"/>
        <v>81.125</v>
      </c>
      <c r="O10" s="450">
        <f t="shared" si="1"/>
        <v>97.350000000000009</v>
      </c>
      <c r="Q10" s="450">
        <f t="shared" si="2"/>
        <v>66</v>
      </c>
      <c r="R10" s="450">
        <f t="shared" si="2"/>
        <v>142.56000000000003</v>
      </c>
      <c r="T10" s="450">
        <f t="shared" si="3"/>
        <v>110.88000000000001</v>
      </c>
      <c r="U10" s="450">
        <f t="shared" si="3"/>
        <v>168.74</v>
      </c>
      <c r="W10" s="450">
        <f t="shared" si="4"/>
        <v>60.368000000000009</v>
      </c>
      <c r="X10" s="450">
        <f t="shared" si="4"/>
        <v>97.02</v>
      </c>
      <c r="Z10" s="450">
        <v>71.5</v>
      </c>
      <c r="AA10" s="450">
        <v>97.749999999999986</v>
      </c>
      <c r="AB10" s="450">
        <v>73.75</v>
      </c>
      <c r="AC10" s="450">
        <v>88.5</v>
      </c>
      <c r="AD10" s="450">
        <v>60</v>
      </c>
      <c r="AE10" s="450">
        <v>129.60000000000002</v>
      </c>
      <c r="AF10" s="450">
        <v>100.8</v>
      </c>
      <c r="AG10" s="450">
        <v>153.4</v>
      </c>
      <c r="AH10" s="450">
        <v>54.88</v>
      </c>
      <c r="AI10" s="450">
        <v>88.199999999999989</v>
      </c>
    </row>
  </sheetData>
  <mergeCells count="14">
    <mergeCell ref="Z1:AI1"/>
    <mergeCell ref="Z2:AA2"/>
    <mergeCell ref="AB2:AC2"/>
    <mergeCell ref="AD2:AE2"/>
    <mergeCell ref="AF2:AG2"/>
    <mergeCell ref="AH2:AI2"/>
    <mergeCell ref="K1:X1"/>
    <mergeCell ref="T2:U2"/>
    <mergeCell ref="W2:X2"/>
    <mergeCell ref="C2:E2"/>
    <mergeCell ref="G2:I2"/>
    <mergeCell ref="K2:L2"/>
    <mergeCell ref="N2:O2"/>
    <mergeCell ref="Q2:R2"/>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7C88B5-130E-4C04-9762-C82B5EA2EDBE}">
  <sheetPr codeName="Feuil12">
    <tabColor rgb="FFFF0000"/>
  </sheetPr>
  <dimension ref="A1:M29"/>
  <sheetViews>
    <sheetView workbookViewId="0">
      <selection activeCell="N29" sqref="N29"/>
    </sheetView>
  </sheetViews>
  <sheetFormatPr defaultColWidth="11.42578125" defaultRowHeight="14.45"/>
  <cols>
    <col min="1" max="1" width="12" customWidth="1"/>
    <col min="2" max="2" width="84.42578125" customWidth="1"/>
    <col min="4" max="4" width="4.85546875" customWidth="1"/>
    <col min="5" max="5" width="13.5703125" customWidth="1"/>
    <col min="6" max="6" width="5.5703125" customWidth="1"/>
    <col min="7" max="7" width="13.5703125" customWidth="1"/>
    <col min="8" max="8" width="3.5703125" customWidth="1"/>
    <col min="9" max="9" width="13.5703125" customWidth="1"/>
    <col min="10" max="10" width="3.5703125" customWidth="1"/>
    <col min="11" max="11" width="13.5703125" customWidth="1"/>
    <col min="12" max="12" width="3.5703125" customWidth="1"/>
    <col min="13" max="13" width="13.5703125" customWidth="1"/>
  </cols>
  <sheetData>
    <row r="1" spans="1:13" ht="15" thickBot="1"/>
    <row r="2" spans="1:13" ht="40.5" customHeight="1" thickBot="1">
      <c r="A2" s="774" t="s">
        <v>5910</v>
      </c>
      <c r="B2" s="775"/>
      <c r="C2" s="776"/>
      <c r="E2" s="5" t="s">
        <v>1556</v>
      </c>
      <c r="F2" s="6"/>
      <c r="G2" s="7" t="s">
        <v>1557</v>
      </c>
      <c r="H2" s="6"/>
      <c r="I2" s="8" t="s">
        <v>1558</v>
      </c>
      <c r="J2" s="6"/>
      <c r="K2" s="9" t="s">
        <v>1559</v>
      </c>
      <c r="L2" s="6"/>
      <c r="M2" s="10" t="s">
        <v>1560</v>
      </c>
    </row>
    <row r="3" spans="1:13" ht="30.6" thickBot="1">
      <c r="A3" s="93" t="s">
        <v>14</v>
      </c>
      <c r="B3" s="93" t="s">
        <v>15</v>
      </c>
      <c r="C3" s="94" t="s">
        <v>5911</v>
      </c>
      <c r="E3" s="17" t="s">
        <v>19</v>
      </c>
      <c r="G3" s="18" t="s">
        <v>1561</v>
      </c>
      <c r="I3" s="19" t="s">
        <v>1561</v>
      </c>
      <c r="K3" s="20" t="s">
        <v>1561</v>
      </c>
      <c r="M3" s="21" t="s">
        <v>1561</v>
      </c>
    </row>
    <row r="4" spans="1:13" ht="22.5">
      <c r="A4" s="617" t="s">
        <v>4502</v>
      </c>
      <c r="B4" s="616" t="s">
        <v>5912</v>
      </c>
      <c r="C4" s="615"/>
    </row>
    <row r="5" spans="1:13" ht="15.95" thickBot="1">
      <c r="A5" s="614" t="s">
        <v>5913</v>
      </c>
      <c r="B5" s="613" t="s">
        <v>5914</v>
      </c>
      <c r="E5" s="610">
        <v>1</v>
      </c>
      <c r="G5" s="610">
        <v>1</v>
      </c>
      <c r="I5" s="610">
        <v>1</v>
      </c>
      <c r="K5" s="610">
        <v>1</v>
      </c>
      <c r="M5" s="610">
        <v>1</v>
      </c>
    </row>
    <row r="6" spans="1:13" ht="15" thickBot="1">
      <c r="A6" s="630"/>
      <c r="B6" s="629"/>
    </row>
    <row r="7" spans="1:13" ht="23.25" customHeight="1" thickBot="1">
      <c r="A7" s="774" t="s">
        <v>5915</v>
      </c>
      <c r="B7" s="776"/>
    </row>
    <row r="8" spans="1:13">
      <c r="A8" s="628"/>
      <c r="B8" s="627"/>
    </row>
    <row r="9" spans="1:13">
      <c r="A9" s="621"/>
      <c r="B9" s="625" t="s">
        <v>5916</v>
      </c>
    </row>
    <row r="10" spans="1:13">
      <c r="A10" s="621"/>
      <c r="B10" s="626"/>
    </row>
    <row r="11" spans="1:13" ht="42">
      <c r="A11" s="621"/>
      <c r="B11" s="623" t="s">
        <v>5917</v>
      </c>
    </row>
    <row r="12" spans="1:13">
      <c r="A12" s="621"/>
      <c r="B12" s="625" t="s">
        <v>5918</v>
      </c>
    </row>
    <row r="13" spans="1:13">
      <c r="A13" s="621"/>
      <c r="B13" s="626"/>
    </row>
    <row r="14" spans="1:13">
      <c r="A14" s="621"/>
      <c r="B14" s="622" t="s">
        <v>5919</v>
      </c>
    </row>
    <row r="15" spans="1:13">
      <c r="A15" s="621"/>
      <c r="B15" s="622" t="s">
        <v>5920</v>
      </c>
    </row>
    <row r="16" spans="1:13">
      <c r="A16" s="621"/>
      <c r="B16" s="622" t="s">
        <v>5921</v>
      </c>
    </row>
    <row r="17" spans="1:13">
      <c r="A17" s="621"/>
      <c r="B17" s="622"/>
    </row>
    <row r="18" spans="1:13">
      <c r="A18" s="621"/>
      <c r="B18" s="622" t="s">
        <v>5922</v>
      </c>
    </row>
    <row r="19" spans="1:13">
      <c r="A19" s="621"/>
      <c r="B19" s="625" t="s">
        <v>5923</v>
      </c>
    </row>
    <row r="20" spans="1:13">
      <c r="A20" s="621"/>
      <c r="B20" s="622"/>
    </row>
    <row r="21" spans="1:13">
      <c r="A21" s="621"/>
      <c r="B21" s="624" t="s">
        <v>5924</v>
      </c>
    </row>
    <row r="22" spans="1:13">
      <c r="A22" s="621"/>
      <c r="B22" s="623"/>
    </row>
    <row r="23" spans="1:13">
      <c r="A23" s="621"/>
      <c r="B23" s="622" t="s">
        <v>5925</v>
      </c>
    </row>
    <row r="24" spans="1:13">
      <c r="A24" s="621"/>
      <c r="B24" s="620"/>
    </row>
    <row r="25" spans="1:13" ht="15" thickBot="1">
      <c r="A25" s="619"/>
      <c r="B25" s="618"/>
    </row>
    <row r="26" spans="1:13" ht="15" thickBot="1"/>
    <row r="27" spans="1:13" ht="22.5">
      <c r="A27" s="617" t="s">
        <v>4502</v>
      </c>
      <c r="B27" s="616" t="s">
        <v>5926</v>
      </c>
      <c r="C27" s="615"/>
    </row>
    <row r="28" spans="1:13" ht="15.6">
      <c r="A28" s="614" t="s">
        <v>76</v>
      </c>
      <c r="B28" s="613" t="s">
        <v>77</v>
      </c>
      <c r="E28" s="610">
        <v>0.05</v>
      </c>
      <c r="G28" s="610">
        <v>0.05</v>
      </c>
      <c r="I28" s="610">
        <v>0.05</v>
      </c>
      <c r="K28" s="610">
        <v>0.05</v>
      </c>
      <c r="M28" s="610">
        <v>0.05</v>
      </c>
    </row>
    <row r="29" spans="1:13" ht="31.5" thickBot="1">
      <c r="A29" s="612" t="s">
        <v>78</v>
      </c>
      <c r="B29" s="611" t="s">
        <v>79</v>
      </c>
      <c r="E29" s="610">
        <v>0.1</v>
      </c>
      <c r="G29" s="610">
        <v>0.1</v>
      </c>
      <c r="I29" s="610">
        <v>0.1</v>
      </c>
      <c r="K29" s="610">
        <v>0.1</v>
      </c>
      <c r="M29" s="610">
        <v>0.1</v>
      </c>
    </row>
  </sheetData>
  <mergeCells count="2">
    <mergeCell ref="A2:C2"/>
    <mergeCell ref="A7:B7"/>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CFCED6-D2E1-4E55-B30C-0FD94AC21907}">
  <sheetPr codeName="Feuil14">
    <tabColor rgb="FFFF0000"/>
  </sheetPr>
  <dimension ref="A1:E6"/>
  <sheetViews>
    <sheetView workbookViewId="0">
      <selection activeCell="D7" sqref="D7"/>
    </sheetView>
  </sheetViews>
  <sheetFormatPr defaultColWidth="11.42578125" defaultRowHeight="14.45"/>
  <sheetData>
    <row r="1" spans="1:5" ht="30.6">
      <c r="A1" s="5" t="s">
        <v>1556</v>
      </c>
      <c r="B1" s="7" t="s">
        <v>1557</v>
      </c>
      <c r="C1" s="8" t="s">
        <v>1558</v>
      </c>
      <c r="D1" s="9" t="s">
        <v>1559</v>
      </c>
      <c r="E1" s="10" t="s">
        <v>1560</v>
      </c>
    </row>
    <row r="2" spans="1:5">
      <c r="A2">
        <v>1.1000000000000001</v>
      </c>
      <c r="B2">
        <v>1.1000000000000001</v>
      </c>
      <c r="C2" s="449">
        <v>1.1000000000000001</v>
      </c>
      <c r="D2">
        <v>1.1000000000000001</v>
      </c>
      <c r="E2">
        <v>1.1000000000000001</v>
      </c>
    </row>
    <row r="6" spans="1:5" s="189" customFormat="1" ht="29.1">
      <c r="A6" s="448" t="s">
        <v>5927</v>
      </c>
      <c r="B6" s="447">
        <v>45383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0ADB95-AD7D-4FDC-B817-3E628F359D96}">
  <sheetPr codeName="Feuil7"/>
  <dimension ref="A1:T120"/>
  <sheetViews>
    <sheetView topLeftCell="A54" zoomScale="80" zoomScaleNormal="85" workbookViewId="0">
      <selection activeCell="G60" sqref="G60"/>
    </sheetView>
  </sheetViews>
  <sheetFormatPr defaultColWidth="11.42578125" defaultRowHeight="14.45"/>
  <cols>
    <col min="1" max="1" width="45.85546875" customWidth="1"/>
    <col min="2" max="2" width="62.140625" customWidth="1"/>
    <col min="3" max="3" width="20" customWidth="1"/>
    <col min="4" max="4" width="14.140625" customWidth="1"/>
    <col min="5" max="5" width="14.42578125" customWidth="1"/>
    <col min="6" max="6" width="26.140625" customWidth="1"/>
    <col min="7" max="7" width="15.42578125" customWidth="1"/>
    <col min="8" max="8" width="24.5703125" customWidth="1"/>
    <col min="9" max="9" width="17.42578125" customWidth="1"/>
    <col min="10" max="10" width="22.140625" customWidth="1"/>
    <col min="11" max="11" width="15.28515625" customWidth="1"/>
    <col min="12" max="12" width="19.85546875" customWidth="1"/>
    <col min="13" max="13" width="16" customWidth="1"/>
    <col min="14" max="14" width="20.140625" customWidth="1"/>
    <col min="15" max="15" width="16.28515625" customWidth="1"/>
    <col min="16" max="16" width="18.5703125" customWidth="1"/>
    <col min="17" max="17" width="17.5703125" customWidth="1"/>
    <col min="18" max="18" width="39.85546875" customWidth="1"/>
    <col min="19" max="19" width="57.140625" customWidth="1"/>
    <col min="20" max="20" width="20.28515625" customWidth="1"/>
    <col min="22" max="22" width="24" customWidth="1"/>
  </cols>
  <sheetData>
    <row r="1" spans="1:20">
      <c r="A1" t="s">
        <v>21</v>
      </c>
      <c r="B1" s="158" t="s">
        <v>2</v>
      </c>
    </row>
    <row r="2" spans="1:20" ht="15.6" customHeight="1">
      <c r="T2" t="s">
        <v>3</v>
      </c>
    </row>
    <row r="3" spans="1:20">
      <c r="T3" t="s">
        <v>4</v>
      </c>
    </row>
    <row r="5" spans="1:20" ht="30.6" customHeight="1" thickBot="1">
      <c r="I5" s="635" t="s">
        <v>5</v>
      </c>
      <c r="T5" t="s">
        <v>6</v>
      </c>
    </row>
    <row r="6" spans="1:20" ht="61.5" customHeight="1" thickBot="1">
      <c r="A6" s="653"/>
      <c r="B6" s="655" t="s">
        <v>7</v>
      </c>
      <c r="C6" s="645"/>
      <c r="D6" s="645"/>
      <c r="E6" s="646"/>
      <c r="F6" s="636"/>
      <c r="G6" s="644" t="s">
        <v>8</v>
      </c>
      <c r="H6" s="646"/>
      <c r="I6" s="644" t="s">
        <v>9</v>
      </c>
      <c r="J6" s="645"/>
      <c r="K6" s="644" t="s">
        <v>10</v>
      </c>
      <c r="L6" s="645"/>
      <c r="M6" s="644" t="s">
        <v>11</v>
      </c>
      <c r="N6" s="645"/>
      <c r="O6" s="644" t="s">
        <v>12</v>
      </c>
      <c r="P6" s="646"/>
      <c r="T6" t="s">
        <v>13</v>
      </c>
    </row>
    <row r="7" spans="1:20" ht="39.75" customHeight="1" thickBot="1">
      <c r="A7" s="647" t="s">
        <v>14</v>
      </c>
      <c r="B7" s="647" t="s">
        <v>15</v>
      </c>
      <c r="C7" s="647" t="s">
        <v>16</v>
      </c>
      <c r="D7" s="647" t="s">
        <v>17</v>
      </c>
      <c r="E7" s="647" t="s">
        <v>18</v>
      </c>
      <c r="G7" s="647" t="s">
        <v>19</v>
      </c>
      <c r="H7" s="647" t="s">
        <v>20</v>
      </c>
      <c r="I7" s="647" t="s">
        <v>19</v>
      </c>
      <c r="J7" s="647" t="s">
        <v>20</v>
      </c>
      <c r="K7" s="647" t="s">
        <v>19</v>
      </c>
      <c r="L7" s="647" t="s">
        <v>20</v>
      </c>
      <c r="M7" s="647" t="s">
        <v>19</v>
      </c>
      <c r="N7" s="647" t="s">
        <v>20</v>
      </c>
      <c r="O7" s="647" t="s">
        <v>19</v>
      </c>
      <c r="P7" s="647" t="s">
        <v>20</v>
      </c>
    </row>
    <row r="8" spans="1:20" ht="39.75" customHeight="1" thickBot="1">
      <c r="A8" s="644" t="s">
        <v>21</v>
      </c>
      <c r="B8" s="645"/>
      <c r="C8" s="645"/>
      <c r="D8" s="645"/>
      <c r="E8" s="645"/>
      <c r="G8" s="648"/>
      <c r="H8" s="649"/>
      <c r="I8" s="649"/>
      <c r="J8" s="649"/>
      <c r="K8" s="649"/>
      <c r="L8" s="649"/>
      <c r="M8" s="649"/>
      <c r="N8" s="649"/>
      <c r="O8" s="649"/>
      <c r="P8" s="649"/>
    </row>
    <row r="9" spans="1:20" ht="51" customHeight="1">
      <c r="A9" s="125" t="s">
        <v>22</v>
      </c>
      <c r="B9" s="80">
        <f>IFERROR(VLOOKUP(A9,'BPU - 5 titulaires - PRESTATION'!A:C,2,FALSE),0)</f>
        <v>0</v>
      </c>
      <c r="C9" s="81">
        <f>IFERROR(VLOOKUP(A9,'BPU - 5 titulaires - PRESTATION'!A:C,3,FALSE),0)</f>
        <v>0</v>
      </c>
      <c r="D9" s="72" t="s">
        <v>4</v>
      </c>
      <c r="E9" s="61">
        <v>0</v>
      </c>
      <c r="G9" s="82">
        <f>IFERROR(IF(D9=$T$2,VLOOKUP(A9,'BPU - 5 titulaires - PRESTATION'!A:AF,14,FALSE),IF(D9=$T$3,VLOOKUP(A9,'BPU - 5 titulaires - PRESTATION'!A:AF,16,FALSE))),0)</f>
        <v>0</v>
      </c>
      <c r="H9" s="80">
        <f t="shared" ref="H9:H10" si="0">G9*E9</f>
        <v>0</v>
      </c>
      <c r="I9" s="81">
        <f>IFERROR(IF(D9=$T$2,VLOOKUP(A9,'BPU - 5 titulaires - PRESTATION'!A:AF,18,FALSE),IF(D9=$T$3,VLOOKUP(A9,'BPU - 5 titulaires - PRESTATION'!A:AF,20,FALSE))),0)</f>
        <v>0</v>
      </c>
      <c r="J9" s="81">
        <f t="shared" ref="J9:J10" si="1">E9*I9</f>
        <v>0</v>
      </c>
      <c r="K9" s="80">
        <f>IFERROR(IF(D9=$T$2,VLOOKUP(A9,'BPU - 5 titulaires - PRESTATION'!A:AF,22,FALSE),IF(D9=$T$3,VLOOKUP(A9,'BPU - 5 titulaires - PRESTATION'!A:AF,24,FALSE))),0)</f>
        <v>0</v>
      </c>
      <c r="L9" s="81">
        <f t="shared" ref="L9:L10" si="2">K9*E9</f>
        <v>0</v>
      </c>
      <c r="M9" s="80">
        <f>IFERROR(IF(D9=$T$2,VLOOKUP(A9,'BPU - 5 titulaires - PRESTATION'!A:AF,26,FALSE),IF(D9=$T$3,VLOOKUP(A9,'BPU - 5 titulaires - PRESTATION'!A:AF,28,FALSE))),0)</f>
        <v>0</v>
      </c>
      <c r="N9" s="81">
        <f t="shared" ref="N9:N10" si="3">M9*E9</f>
        <v>0</v>
      </c>
      <c r="O9" s="81">
        <f>IFERROR(IF(D9=$T$2,VLOOKUP(A9,'BPU - 5 titulaires - PRESTATION'!A:AF,30,FALSE),IF(D9=$T$3,VLOOKUP(A9,'BPU - 5 titulaires - PRESTATION'!A:AF,32,FALSE))),0)</f>
        <v>0</v>
      </c>
      <c r="P9" s="80">
        <f>E9*O9</f>
        <v>0</v>
      </c>
    </row>
    <row r="10" spans="1:20" ht="51" customHeight="1" thickBot="1">
      <c r="A10" s="125" t="s">
        <v>22</v>
      </c>
      <c r="B10" s="80">
        <f>IFERROR(VLOOKUP(A10,'BPU - 5 titulaires - PRESTATION'!A:C,2,FALSE),0)</f>
        <v>0</v>
      </c>
      <c r="C10" s="81">
        <f>IFERROR(VLOOKUP(A10,'BPU - 5 titulaires - PRESTATION'!A:C,3,FALSE),0)</f>
        <v>0</v>
      </c>
      <c r="D10" s="72" t="s">
        <v>4</v>
      </c>
      <c r="E10" s="61"/>
      <c r="G10" s="82">
        <f>IFERROR(IF(D10=$T$2,VLOOKUP(A10,'BPU - 5 titulaires - PRESTATION'!A:AF,14,FALSE),IF(D10=$T$3,VLOOKUP(A10,'BPU - 5 titulaires - PRESTATION'!A:AF,16,FALSE))),0)</f>
        <v>0</v>
      </c>
      <c r="H10" s="80">
        <f t="shared" si="0"/>
        <v>0</v>
      </c>
      <c r="I10" s="81">
        <f>IFERROR(IF(D10=$T$2,VLOOKUP(A10,'BPU - 5 titulaires - PRESTATION'!A:AF,18,FALSE),IF(D10=$T$3,VLOOKUP(A10,'BPU - 5 titulaires - PRESTATION'!A:AF,20,FALSE))),0)</f>
        <v>0</v>
      </c>
      <c r="J10" s="81">
        <f t="shared" si="1"/>
        <v>0</v>
      </c>
      <c r="K10" s="80">
        <f>IFERROR(IF(D10=$T$2,VLOOKUP(A10,'BPU - 5 titulaires - PRESTATION'!A:AF,22,FALSE),IF(D10=$T$3,VLOOKUP(A10,'BPU - 5 titulaires - PRESTATION'!A:AF,24,FALSE))),0)</f>
        <v>0</v>
      </c>
      <c r="L10" s="81">
        <f t="shared" si="2"/>
        <v>0</v>
      </c>
      <c r="M10" s="80">
        <f>IFERROR(IF(D10=$T$2,VLOOKUP(A10,'BPU - 5 titulaires - PRESTATION'!A:AF,26,FALSE),IF(D10=$T$3,VLOOKUP(A10,'BPU - 5 titulaires - PRESTATION'!A:AF,28,FALSE))),0)</f>
        <v>0</v>
      </c>
      <c r="N10" s="81">
        <f t="shared" si="3"/>
        <v>0</v>
      </c>
      <c r="O10" s="81">
        <f>IFERROR(IF(D10=$T$2,VLOOKUP(A10,'BPU - 5 titulaires - PRESTATION'!A:AF,30,FALSE),IF(D10=$T$3,VLOOKUP(A10,'BPU - 5 titulaires - PRESTATION'!A:AF,32,FALSE))),0)</f>
        <v>0</v>
      </c>
      <c r="P10" s="80">
        <f>E10*O10</f>
        <v>0</v>
      </c>
    </row>
    <row r="11" spans="1:20" ht="68.45" customHeight="1" thickBot="1">
      <c r="A11" s="644"/>
      <c r="B11" s="672" t="s">
        <v>23</v>
      </c>
      <c r="C11" s="645"/>
      <c r="D11" s="645"/>
      <c r="E11" s="645"/>
      <c r="G11" s="650"/>
      <c r="H11" s="647"/>
      <c r="I11" s="647"/>
      <c r="J11" s="647"/>
      <c r="K11" s="647"/>
      <c r="L11" s="647"/>
      <c r="M11" s="647"/>
      <c r="N11" s="647"/>
      <c r="O11" s="647"/>
      <c r="P11" s="647"/>
    </row>
    <row r="12" spans="1:20" ht="49.5" customHeight="1" thickBot="1">
      <c r="A12" s="647" t="s">
        <v>24</v>
      </c>
      <c r="B12" s="647" t="s">
        <v>25</v>
      </c>
      <c r="C12" s="647" t="s">
        <v>26</v>
      </c>
      <c r="D12" s="647" t="s">
        <v>17</v>
      </c>
      <c r="E12" s="647" t="s">
        <v>18</v>
      </c>
      <c r="G12" s="647"/>
      <c r="H12" s="647"/>
      <c r="I12" s="647"/>
      <c r="J12" s="647"/>
      <c r="K12" s="647"/>
      <c r="L12" s="647"/>
      <c r="M12" s="647"/>
      <c r="N12" s="647"/>
      <c r="O12" s="647"/>
      <c r="P12" s="647"/>
    </row>
    <row r="13" spans="1:20" ht="47.1" customHeight="1">
      <c r="A13" s="72" t="s">
        <v>27</v>
      </c>
      <c r="B13" s="72"/>
      <c r="C13" s="72"/>
      <c r="D13" s="72" t="s">
        <v>4</v>
      </c>
      <c r="E13" s="61"/>
      <c r="G13" s="82">
        <f>IFERROR(IF(D13=$T$2,VLOOKUP(A13,'BPU - 5 titulaires Taux horaire'!$A$4:$X$10,11,FALSE),IF(D13=$T$3,VLOOKUP(A13,'BPU - 5 titulaires Taux horaire'!$A$4:$X$10,12,FALSE))),0)*C13</f>
        <v>0</v>
      </c>
      <c r="H13" s="80">
        <f t="shared" ref="H13:H14" si="4">G13*E13</f>
        <v>0</v>
      </c>
      <c r="I13" s="81">
        <f>IFERROR(IF(D13=$T$2,VLOOKUP(A13,'BPU - 5 titulaires Taux horaire'!$A$4:$X$10,14,FALSE),IF(D13=$T$3,VLOOKUP(A13,'BPU - 5 titulaires Taux horaire'!$A$4:$X$10,15,FALSE))),0)*C13</f>
        <v>0</v>
      </c>
      <c r="J13" s="81">
        <f t="shared" ref="J13:J14" si="5">E13*I13</f>
        <v>0</v>
      </c>
      <c r="K13" s="80">
        <f>IFERROR(IF(D13=$T$2,VLOOKUP(A13,'BPU - 5 titulaires Taux horaire'!$A$4:$X$10,17,FALSE),IF(D13=$T$3,VLOOKUP(A13,'BPU - 5 titulaires Taux horaire'!$A$4:$X$10,18,FALSE))),0)*C13</f>
        <v>0</v>
      </c>
      <c r="L13" s="81">
        <f t="shared" ref="L13:L14" si="6">K13*E13</f>
        <v>0</v>
      </c>
      <c r="M13" s="80">
        <f>IFERROR(IF(D13=$T$2,VLOOKUP(A13,'BPU - 5 titulaires Taux horaire'!$A$4:$X$10,20,FALSE),IF(D13=$T$3,VLOOKUP(A13,'BPU - 5 titulaires Taux horaire'!$A$4:$X$10,21,FALSE))),0)*C13</f>
        <v>0</v>
      </c>
      <c r="N13" s="81">
        <f t="shared" ref="N13:N14" si="7">M13*E13</f>
        <v>0</v>
      </c>
      <c r="O13" s="81">
        <f>IFERROR(IF(D13=$T$2,VLOOKUP(A13,'BPU - 5 titulaires Taux horaire'!$A$4:$X$10,23,FALSE),IF(D13=$T$3,VLOOKUP(A13,'BPU - 5 titulaires Taux horaire'!$A$4:$X$10,24,FALSE))),0)*C13</f>
        <v>0</v>
      </c>
      <c r="P13" s="80">
        <f>E13*O13</f>
        <v>0</v>
      </c>
    </row>
    <row r="14" spans="1:20" ht="47.1" customHeight="1" thickBot="1">
      <c r="A14" s="72" t="s">
        <v>27</v>
      </c>
      <c r="B14" s="72"/>
      <c r="C14" s="72"/>
      <c r="D14" s="72" t="s">
        <v>4</v>
      </c>
      <c r="E14" s="61"/>
      <c r="G14" s="82">
        <f>IFERROR(IF(D14=$T$2,VLOOKUP(A14,'BPU - 5 titulaires Taux horaire'!$A$4:$X$10,11,FALSE),IF(D14=$T$3,VLOOKUP(A14,'BPU - 5 titulaires Taux horaire'!$A$4:$X$10,12,FALSE))),0)*C14</f>
        <v>0</v>
      </c>
      <c r="H14" s="80">
        <f t="shared" si="4"/>
        <v>0</v>
      </c>
      <c r="I14" s="81">
        <f>IFERROR(IF(D14=$T$2,VLOOKUP(A14,'BPU - 5 titulaires Taux horaire'!$A$4:$X$10,14,FALSE),IF(D14=$T$3,VLOOKUP(A14,'BPU - 5 titulaires Taux horaire'!$A$4:$X$10,15,FALSE))),0)*C14</f>
        <v>0</v>
      </c>
      <c r="J14" s="81">
        <f t="shared" si="5"/>
        <v>0</v>
      </c>
      <c r="K14" s="80">
        <f>IFERROR(IF(D14=$T$2,VLOOKUP(A14,'BPU - 5 titulaires Taux horaire'!$A$4:$X$10,17,FALSE),IF(D14=$T$3,VLOOKUP(A14,'BPU - 5 titulaires Taux horaire'!$A$4:$X$10,18,FALSE))),0)*C14</f>
        <v>0</v>
      </c>
      <c r="L14" s="81">
        <f t="shared" si="6"/>
        <v>0</v>
      </c>
      <c r="M14" s="80">
        <f>IFERROR(IF(D14=$T$2,VLOOKUP(A14,'BPU - 5 titulaires Taux horaire'!$A$4:$X$10,20,FALSE),IF(D14=$T$3,VLOOKUP(A14,'BPU - 5 titulaires Taux horaire'!$A$4:$X$10,21,FALSE))),0)*C14</f>
        <v>0</v>
      </c>
      <c r="N14" s="81">
        <f t="shared" si="7"/>
        <v>0</v>
      </c>
      <c r="O14" s="81">
        <f>IFERROR(IF(D14=$T$2,VLOOKUP(A14,'BPU - 5 titulaires Taux horaire'!$A$4:$X$10,23,FALSE),IF(D14=$T$3,VLOOKUP(A14,'BPU - 5 titulaires Taux horaire'!$A$4:$X$10,24,FALSE))),0)*C14</f>
        <v>0</v>
      </c>
      <c r="P14" s="80">
        <f>E14*O14</f>
        <v>0</v>
      </c>
    </row>
    <row r="15" spans="1:20" ht="32.450000000000003" customHeight="1" thickBot="1">
      <c r="A15" s="644"/>
      <c r="B15" s="645" t="s">
        <v>28</v>
      </c>
      <c r="C15" s="645"/>
      <c r="D15" s="645"/>
      <c r="E15" s="646"/>
      <c r="G15" t="s">
        <v>29</v>
      </c>
      <c r="H15" s="159">
        <f>SUM(H8:H14)</f>
        <v>0</v>
      </c>
      <c r="I15" t="s">
        <v>30</v>
      </c>
      <c r="J15" s="159">
        <f>SUM(J8:J14)</f>
        <v>0</v>
      </c>
      <c r="K15" t="s">
        <v>31</v>
      </c>
      <c r="L15" s="159">
        <f>SUM(L8:L14)</f>
        <v>0</v>
      </c>
      <c r="M15" t="s">
        <v>32</v>
      </c>
      <c r="N15" s="159">
        <f>SUM(N8:N14)</f>
        <v>0</v>
      </c>
      <c r="O15" t="s">
        <v>33</v>
      </c>
      <c r="P15" s="637">
        <f>SUM(P8:P14)</f>
        <v>0</v>
      </c>
    </row>
    <row r="16" spans="1:20" ht="35.450000000000003" customHeight="1">
      <c r="A16" s="167"/>
      <c r="P16" s="638"/>
    </row>
    <row r="17" spans="1:16" ht="42.95" customHeight="1" thickBot="1">
      <c r="A17" s="167"/>
      <c r="P17" s="638"/>
    </row>
    <row r="18" spans="1:16" ht="47.45" customHeight="1" thickBot="1">
      <c r="A18" s="653"/>
      <c r="B18" s="654" t="s">
        <v>34</v>
      </c>
      <c r="C18" s="645"/>
      <c r="D18" s="645"/>
      <c r="E18" s="646"/>
      <c r="G18" s="644" t="s">
        <v>8</v>
      </c>
      <c r="H18" s="646"/>
      <c r="I18" s="644" t="s">
        <v>35</v>
      </c>
      <c r="J18" s="645"/>
      <c r="K18" s="644" t="s">
        <v>10</v>
      </c>
      <c r="L18" s="645"/>
      <c r="M18" s="644" t="s">
        <v>11</v>
      </c>
      <c r="N18" s="645"/>
      <c r="O18" s="644" t="s">
        <v>12</v>
      </c>
      <c r="P18" s="646"/>
    </row>
    <row r="19" spans="1:16" ht="45.6" customHeight="1" thickBot="1">
      <c r="A19" s="647" t="s">
        <v>14</v>
      </c>
      <c r="B19" s="647" t="s">
        <v>15</v>
      </c>
      <c r="C19" s="647" t="s">
        <v>16</v>
      </c>
      <c r="D19" s="647" t="s">
        <v>36</v>
      </c>
      <c r="E19" s="647"/>
      <c r="G19" s="644" t="s">
        <v>37</v>
      </c>
      <c r="H19" s="646"/>
      <c r="I19" s="644" t="s">
        <v>37</v>
      </c>
      <c r="J19" s="646"/>
      <c r="K19" s="644" t="s">
        <v>37</v>
      </c>
      <c r="L19" s="646"/>
      <c r="M19" s="644" t="s">
        <v>37</v>
      </c>
      <c r="N19" s="646"/>
      <c r="O19" s="644" t="s">
        <v>37</v>
      </c>
      <c r="P19" s="646"/>
    </row>
    <row r="20" spans="1:16" ht="53.45" customHeight="1">
      <c r="A20" s="160" t="s">
        <v>38</v>
      </c>
      <c r="B20" s="161" t="s">
        <v>39</v>
      </c>
      <c r="C20" s="162" t="s">
        <v>40</v>
      </c>
      <c r="D20" s="72" t="s">
        <v>13</v>
      </c>
      <c r="E20" s="61"/>
      <c r="G20" s="163">
        <f>'BPU - 5 titulaires - PRESTATION'!N373</f>
        <v>568.38100000000009</v>
      </c>
      <c r="H20" s="80">
        <f>IF($D20=$T$5,G20,0)</f>
        <v>0</v>
      </c>
      <c r="I20" s="163">
        <f>'BPU - 5 titulaires - PRESTATION'!R373</f>
        <v>925.7600000000001</v>
      </c>
      <c r="J20" s="80">
        <f>IF($D20=$T$5,I20,0)</f>
        <v>0</v>
      </c>
      <c r="K20" s="163">
        <f>'BPU - 5 titulaires - PRESTATION'!V373</f>
        <v>602.48100000000011</v>
      </c>
      <c r="L20" s="80">
        <f>IF($D20=$T$5,K20,0)</f>
        <v>0</v>
      </c>
      <c r="M20" s="163">
        <f>'BPU - 5 titulaires - PRESTATION'!Z373</f>
        <v>437.8</v>
      </c>
      <c r="N20" s="80">
        <f>IF($D20=$T$5,M20,0)</f>
        <v>0</v>
      </c>
      <c r="O20" s="163">
        <f>'BPU - 5 titulaires - PRESTATION'!AD373</f>
        <v>536.80000000000007</v>
      </c>
      <c r="P20" s="80">
        <f>IF($D20=$T$5,O20,0)</f>
        <v>0</v>
      </c>
    </row>
    <row r="21" spans="1:16" ht="40.5" customHeight="1">
      <c r="A21" s="160" t="s">
        <v>41</v>
      </c>
      <c r="B21" s="161" t="s">
        <v>42</v>
      </c>
      <c r="C21" s="162" t="s">
        <v>43</v>
      </c>
      <c r="D21" s="72" t="s">
        <v>13</v>
      </c>
      <c r="E21" s="61"/>
      <c r="G21" s="164">
        <f>'BPU - 5 titulaires - PRESTATION'!N374</f>
        <v>4.4000000000000004E-2</v>
      </c>
      <c r="H21" s="80">
        <f>IF($D21=$T$5,H$15*G21,0)</f>
        <v>0</v>
      </c>
      <c r="I21" s="164">
        <f>'BPU - 5 titulaires - PRESTATION'!R374</f>
        <v>2.2000000000000002E-2</v>
      </c>
      <c r="J21" s="80">
        <f>IF($D21=$T$5,J$15*I21,0)</f>
        <v>0</v>
      </c>
      <c r="K21" s="164">
        <f>'BPU - 5 titulaires - PRESTATION'!V374</f>
        <v>0.11000000000000001</v>
      </c>
      <c r="L21" s="80">
        <f>IF($D21=$T$5,L$15*K21,0)</f>
        <v>0</v>
      </c>
      <c r="M21" s="164">
        <f>'BPU - 5 titulaires - PRESTATION'!Z374</f>
        <v>2.7500000000000004E-2</v>
      </c>
      <c r="N21" s="80">
        <f>IF($D21=$T$5,N$15*M21,0)</f>
        <v>0</v>
      </c>
      <c r="O21" s="164">
        <f>'BPU - 5 titulaires - PRESTATION'!AD374</f>
        <v>2.2000000000000002E-2</v>
      </c>
      <c r="P21" s="80">
        <f>IF($D21=$T$5,P$15*O21,0)</f>
        <v>0</v>
      </c>
    </row>
    <row r="22" spans="1:16" ht="40.5" customHeight="1">
      <c r="A22" s="160" t="s">
        <v>44</v>
      </c>
      <c r="B22" s="161" t="s">
        <v>45</v>
      </c>
      <c r="C22" s="162" t="s">
        <v>43</v>
      </c>
      <c r="D22" s="72" t="s">
        <v>13</v>
      </c>
      <c r="E22" s="61"/>
      <c r="G22" s="164">
        <f>'BPU - 5 titulaires - PRESTATION'!N375</f>
        <v>5.5000000000000007E-2</v>
      </c>
      <c r="H22" s="80">
        <f>IF($D22=$T$5,H$15*G22,0)</f>
        <v>0</v>
      </c>
      <c r="I22" s="164">
        <f>'BPU - 5 titulaires - PRESTATION'!R375</f>
        <v>3.3000000000000002E-2</v>
      </c>
      <c r="J22" s="80">
        <f>IF($D22=$T$5,J$15*I22,0)</f>
        <v>0</v>
      </c>
      <c r="K22" s="164">
        <f>'BPU - 5 titulaires - PRESTATION'!V375</f>
        <v>0.22000000000000003</v>
      </c>
      <c r="L22" s="80">
        <f>IF($D22=$T$5,L$15*K22,0)</f>
        <v>0</v>
      </c>
      <c r="M22" s="164">
        <f>'BPU - 5 titulaires - PRESTATION'!Z375</f>
        <v>0.27500000000000002</v>
      </c>
      <c r="N22" s="80">
        <f>IF($D22=$T$5,N$15*M22,0)</f>
        <v>0</v>
      </c>
      <c r="O22" s="164">
        <f>'BPU - 5 titulaires - PRESTATION'!AD375</f>
        <v>0.19800000000000001</v>
      </c>
      <c r="P22" s="80">
        <f>IF($D22=$T$5,P$15*O22,0)</f>
        <v>0</v>
      </c>
    </row>
    <row r="23" spans="1:16" ht="32.1" customHeight="1">
      <c r="A23" s="160" t="s">
        <v>46</v>
      </c>
      <c r="B23" s="161" t="s">
        <v>47</v>
      </c>
      <c r="C23" s="162" t="s">
        <v>40</v>
      </c>
      <c r="D23" s="72" t="s">
        <v>13</v>
      </c>
      <c r="E23" s="61"/>
      <c r="G23" s="163">
        <f>'BPU - 5 titulaires - PRESTATION'!N394</f>
        <v>1085.5900000000001</v>
      </c>
      <c r="H23" s="80">
        <f>IF($D23=$T$5,G23,0)</f>
        <v>0</v>
      </c>
      <c r="I23" s="163">
        <f>'BPU - 5 titulaires - PRESTATION'!R394</f>
        <v>638.26400000000001</v>
      </c>
      <c r="J23" s="80">
        <f>IF($D23=$T$5,I23,0)</f>
        <v>0</v>
      </c>
      <c r="K23" s="163">
        <f>'BPU - 5 titulaires - PRESTATION'!V394</f>
        <v>452.83700000000005</v>
      </c>
      <c r="L23" s="80">
        <f>IF($D23=$T$5,K23,0)</f>
        <v>0</v>
      </c>
      <c r="M23" s="163">
        <f>'BPU - 5 titulaires - PRESTATION'!Z394</f>
        <v>489.50000000000006</v>
      </c>
      <c r="N23" s="80">
        <f>IF($D23=$T$5,M23,0)</f>
        <v>0</v>
      </c>
      <c r="O23" s="163">
        <f>'BPU - 5 titulaires - PRESTATION'!AD394</f>
        <v>613.80000000000007</v>
      </c>
      <c r="P23" s="80">
        <f>IF($D23=$T$5,O23,0)</f>
        <v>0</v>
      </c>
    </row>
    <row r="24" spans="1:16" ht="37.5" customHeight="1">
      <c r="A24" s="160" t="s">
        <v>48</v>
      </c>
      <c r="B24" s="161" t="s">
        <v>49</v>
      </c>
      <c r="C24" s="162" t="s">
        <v>43</v>
      </c>
      <c r="D24" s="72" t="s">
        <v>13</v>
      </c>
      <c r="E24" s="61"/>
      <c r="G24" s="164">
        <f>'BPU - 5 titulaires - PRESTATION'!N395</f>
        <v>0.55000000000000004</v>
      </c>
      <c r="H24" s="80">
        <f>IF($D24=$T$5,H$15*G24,0)</f>
        <v>0</v>
      </c>
      <c r="I24" s="164">
        <f>'BPU - 5 titulaires - PRESTATION'!R395</f>
        <v>0.19800000000000001</v>
      </c>
      <c r="J24" s="80">
        <f>IF($D24=$T$5,J$15*I24,0)</f>
        <v>0</v>
      </c>
      <c r="K24" s="164">
        <f>'BPU - 5 titulaires - PRESTATION'!V395</f>
        <v>2.2000000000000002E-2</v>
      </c>
      <c r="L24" s="80">
        <f>IF($D24=$T$5,L$15*K24,0)</f>
        <v>0</v>
      </c>
      <c r="M24" s="164">
        <f>'BPU - 5 titulaires - PRESTATION'!Z395</f>
        <v>1.1000000000000001E-2</v>
      </c>
      <c r="N24" s="80">
        <f>IF($D24=$T$5,N$15*M24,0)</f>
        <v>0</v>
      </c>
      <c r="O24" s="164">
        <f>'BPU - 5 titulaires - PRESTATION'!AD395</f>
        <v>0.16500000000000001</v>
      </c>
      <c r="P24" s="80">
        <f>IF($D24=$T$5,P$15*O24,0)</f>
        <v>0</v>
      </c>
    </row>
    <row r="25" spans="1:16" ht="36" customHeight="1">
      <c r="A25" s="160" t="s">
        <v>50</v>
      </c>
      <c r="B25" s="161" t="s">
        <v>51</v>
      </c>
      <c r="C25" s="162" t="s">
        <v>43</v>
      </c>
      <c r="D25" s="72" t="s">
        <v>13</v>
      </c>
      <c r="E25" s="61"/>
      <c r="G25" s="164">
        <f>'BPU - 5 titulaires - PRESTATION'!N396</f>
        <v>5.5000000000000007E-2</v>
      </c>
      <c r="H25" s="80">
        <f>IF($D25=$T$5,H$15*G25,0)</f>
        <v>0</v>
      </c>
      <c r="I25" s="164">
        <f>'BPU - 5 titulaires - PRESTATION'!R396</f>
        <v>3.3000000000000002E-2</v>
      </c>
      <c r="J25" s="80">
        <f>IF($D25=$T$5,J$15*I25,0)</f>
        <v>0</v>
      </c>
      <c r="K25" s="164">
        <f>'BPU - 5 titulaires - PRESTATION'!V396</f>
        <v>2.2000000000000002E-2</v>
      </c>
      <c r="L25" s="80">
        <f>IF($D25=$T$5,L$15*K25,0)</f>
        <v>0</v>
      </c>
      <c r="M25" s="164">
        <f>'BPU - 5 titulaires - PRESTATION'!Z396</f>
        <v>1.1000000000000001E-2</v>
      </c>
      <c r="N25" s="80">
        <f>IF($D25=$T$5,N$15*M25,0)</f>
        <v>0</v>
      </c>
      <c r="O25" s="164">
        <f>'BPU - 5 titulaires - PRESTATION'!AD396</f>
        <v>0.16500000000000001</v>
      </c>
      <c r="P25" s="80">
        <f>IF($D25=$T$5,P$15*O25,0)</f>
        <v>0</v>
      </c>
    </row>
    <row r="26" spans="1:16" ht="57.95" customHeight="1">
      <c r="A26" s="160" t="s">
        <v>52</v>
      </c>
      <c r="B26" s="161" t="s">
        <v>53</v>
      </c>
      <c r="C26" s="162" t="s">
        <v>43</v>
      </c>
      <c r="D26" s="72" t="s">
        <v>13</v>
      </c>
      <c r="E26" s="61"/>
      <c r="G26" s="164">
        <f>'BPU - 5 titulaires - PRESTATION'!N397</f>
        <v>6.6000000000000003E-2</v>
      </c>
      <c r="H26" s="80">
        <f>IF($D26=$T$5,H$15*G26,0)</f>
        <v>0</v>
      </c>
      <c r="I26" s="164">
        <f>'BPU - 5 titulaires - PRESTATION'!R397</f>
        <v>0.16500000000000001</v>
      </c>
      <c r="J26" s="80">
        <f>IF($D26=$T$5,J$15*I26,0)</f>
        <v>0</v>
      </c>
      <c r="K26" s="164">
        <f>'BPU - 5 titulaires - PRESTATION'!V397</f>
        <v>2.2000000000000002E-2</v>
      </c>
      <c r="L26" s="80">
        <f>IF($D26=$T$5,L$15*K26,0)</f>
        <v>0</v>
      </c>
      <c r="M26" s="164">
        <f>'BPU - 5 titulaires - PRESTATION'!Z397</f>
        <v>1.1000000000000001E-2</v>
      </c>
      <c r="N26" s="80">
        <f>IF($D26=$T$5,N$15*M26,0)</f>
        <v>0</v>
      </c>
      <c r="O26" s="164">
        <f>'BPU - 5 titulaires - PRESTATION'!AD397</f>
        <v>0.16500000000000001</v>
      </c>
      <c r="P26" s="80">
        <f>IF($D26=$T$5,P$15*O26,0)</f>
        <v>0</v>
      </c>
    </row>
    <row r="27" spans="1:16" ht="32.1" customHeight="1">
      <c r="A27" s="160" t="s">
        <v>54</v>
      </c>
      <c r="B27" s="161" t="s">
        <v>55</v>
      </c>
      <c r="C27" s="162" t="s">
        <v>43</v>
      </c>
      <c r="D27" s="72" t="s">
        <v>13</v>
      </c>
      <c r="E27" s="61"/>
      <c r="G27" s="164">
        <f>'BPU - 5 titulaires - PRESTATION'!N398</f>
        <v>3.3000000000000002E-2</v>
      </c>
      <c r="H27" s="80">
        <f>IF($D27=$T$5,H$15*G27,0)</f>
        <v>0</v>
      </c>
      <c r="I27" s="164">
        <f>'BPU - 5 titulaires - PRESTATION'!R398</f>
        <v>0.16500000000000001</v>
      </c>
      <c r="J27" s="80">
        <f>IF($D27=$T$5,J$15*I27,0)</f>
        <v>0</v>
      </c>
      <c r="K27" s="164">
        <f>'BPU - 5 titulaires - PRESTATION'!V398</f>
        <v>2.2000000000000002E-2</v>
      </c>
      <c r="L27" s="80">
        <f>IF($D27=$T$5,L$15*K27,0)</f>
        <v>0</v>
      </c>
      <c r="M27" s="164">
        <f>'BPU - 5 titulaires - PRESTATION'!Z398</f>
        <v>1.1000000000000001E-2</v>
      </c>
      <c r="N27" s="80">
        <f>IF($D27=$T$5,N$15*M27,0)</f>
        <v>0</v>
      </c>
      <c r="O27" s="164">
        <f>'BPU - 5 titulaires - PRESTATION'!AD398</f>
        <v>0.16500000000000001</v>
      </c>
      <c r="P27" s="80">
        <f>IF($D27=$T$5,P$15*O27,0)</f>
        <v>0</v>
      </c>
    </row>
    <row r="28" spans="1:16" ht="32.1" customHeight="1">
      <c r="A28" s="160" t="s">
        <v>56</v>
      </c>
      <c r="B28" s="161" t="s">
        <v>57</v>
      </c>
      <c r="C28" s="162" t="s">
        <v>43</v>
      </c>
      <c r="D28" s="72" t="s">
        <v>13</v>
      </c>
      <c r="E28" s="61"/>
      <c r="G28" s="164">
        <f>'BPU - 5 titulaires - PRESTATION'!N399</f>
        <v>4.4000000000000004E-2</v>
      </c>
      <c r="H28" s="80">
        <f>IF($D28=$T$5,H$15*G28,0)</f>
        <v>0</v>
      </c>
      <c r="I28" s="164">
        <f>'BPU - 5 titulaires - PRESTATION'!R399</f>
        <v>0.27500000000000002</v>
      </c>
      <c r="J28" s="80">
        <f>IF($D28=$T$5,J$15*I28,0)</f>
        <v>0</v>
      </c>
      <c r="K28" s="164">
        <f>'BPU - 5 titulaires - PRESTATION'!V399</f>
        <v>2.2000000000000002E-2</v>
      </c>
      <c r="L28" s="80">
        <f>IF($D28=$T$5,L$15*K28,0)</f>
        <v>0</v>
      </c>
      <c r="M28" s="164">
        <f>'BPU - 5 titulaires - PRESTATION'!Z399</f>
        <v>1.1000000000000001E-2</v>
      </c>
      <c r="N28" s="80">
        <f>IF($D28=$T$5,N$15*M28,0)</f>
        <v>0</v>
      </c>
      <c r="O28" s="164">
        <f>'BPU - 5 titulaires - PRESTATION'!AD399</f>
        <v>0.16500000000000001</v>
      </c>
      <c r="P28" s="80">
        <f>IF($D28=$T$5,P$15*O28,0)</f>
        <v>0</v>
      </c>
    </row>
    <row r="29" spans="1:16" ht="32.1" customHeight="1" thickBot="1">
      <c r="A29" s="167"/>
      <c r="P29" s="638"/>
    </row>
    <row r="30" spans="1:16" ht="32.1" customHeight="1" thickBot="1">
      <c r="A30" s="644"/>
      <c r="B30" s="645" t="s">
        <v>58</v>
      </c>
      <c r="C30" s="645"/>
      <c r="D30" s="645"/>
      <c r="E30" s="646"/>
      <c r="G30" t="s">
        <v>59</v>
      </c>
      <c r="H30" s="159">
        <f>SUM(H20:H28)</f>
        <v>0</v>
      </c>
      <c r="I30" t="s">
        <v>60</v>
      </c>
      <c r="J30" s="159">
        <f>SUM(J20:J28)</f>
        <v>0</v>
      </c>
      <c r="K30" t="s">
        <v>61</v>
      </c>
      <c r="L30" s="159">
        <f>SUM(L20:L28)</f>
        <v>0</v>
      </c>
      <c r="M30" t="s">
        <v>62</v>
      </c>
      <c r="N30" s="159">
        <f>SUM(N20:N28)</f>
        <v>0</v>
      </c>
      <c r="O30" t="s">
        <v>63</v>
      </c>
      <c r="P30" s="637">
        <f>SUM(P20:P28)</f>
        <v>0</v>
      </c>
    </row>
    <row r="31" spans="1:16" ht="30.6" customHeight="1" thickBot="1">
      <c r="A31" s="167"/>
      <c r="P31" s="638"/>
    </row>
    <row r="32" spans="1:16" ht="32.1" customHeight="1" thickBot="1">
      <c r="A32" s="644"/>
      <c r="B32" s="645" t="s">
        <v>64</v>
      </c>
      <c r="C32" s="645"/>
      <c r="D32" s="645"/>
      <c r="E32" s="646"/>
      <c r="G32" t="s">
        <v>65</v>
      </c>
      <c r="H32" s="159">
        <f>H30+H15</f>
        <v>0</v>
      </c>
      <c r="I32" t="s">
        <v>66</v>
      </c>
      <c r="J32" s="159">
        <f>J30+J15</f>
        <v>0</v>
      </c>
      <c r="K32" t="s">
        <v>67</v>
      </c>
      <c r="L32" s="159">
        <f>L30+L15</f>
        <v>0</v>
      </c>
      <c r="M32" t="s">
        <v>68</v>
      </c>
      <c r="N32" s="159">
        <f>N30+N15</f>
        <v>0</v>
      </c>
      <c r="O32" t="s">
        <v>69</v>
      </c>
      <c r="P32" s="637">
        <f>P30+P15</f>
        <v>0</v>
      </c>
    </row>
    <row r="33" spans="1:19" ht="33" customHeight="1" thickBot="1">
      <c r="A33" s="167"/>
      <c r="P33" s="638"/>
    </row>
    <row r="34" spans="1:19" ht="30.6" customHeight="1" thickBot="1">
      <c r="A34" s="653"/>
      <c r="B34" s="654" t="s">
        <v>70</v>
      </c>
      <c r="C34" s="645"/>
      <c r="D34" s="645"/>
      <c r="E34" s="646"/>
      <c r="G34" s="644" t="s">
        <v>8</v>
      </c>
      <c r="H34" s="646"/>
      <c r="I34" s="644" t="s">
        <v>35</v>
      </c>
      <c r="J34" s="646"/>
      <c r="K34" s="644" t="s">
        <v>10</v>
      </c>
      <c r="L34" s="646"/>
      <c r="M34" s="644" t="s">
        <v>11</v>
      </c>
      <c r="N34" s="646"/>
      <c r="O34" s="644" t="s">
        <v>12</v>
      </c>
      <c r="P34" s="646"/>
    </row>
    <row r="35" spans="1:19" ht="36.75" customHeight="1" thickBot="1">
      <c r="A35" s="647" t="s">
        <v>14</v>
      </c>
      <c r="B35" s="647" t="s">
        <v>15</v>
      </c>
      <c r="C35" s="647" t="s">
        <v>16</v>
      </c>
      <c r="D35" s="647"/>
      <c r="E35" s="647" t="s">
        <v>18</v>
      </c>
      <c r="G35" s="647" t="s">
        <v>19</v>
      </c>
      <c r="H35" s="647" t="s">
        <v>20</v>
      </c>
      <c r="I35" s="647" t="s">
        <v>19</v>
      </c>
      <c r="J35" s="647" t="s">
        <v>20</v>
      </c>
      <c r="K35" s="647" t="s">
        <v>19</v>
      </c>
      <c r="L35" s="647" t="s">
        <v>20</v>
      </c>
      <c r="M35" s="647" t="s">
        <v>19</v>
      </c>
      <c r="N35" s="647" t="s">
        <v>20</v>
      </c>
      <c r="O35" s="647" t="s">
        <v>19</v>
      </c>
      <c r="P35" s="647" t="s">
        <v>20</v>
      </c>
    </row>
    <row r="36" spans="1:19" ht="36.75" customHeight="1" thickBot="1">
      <c r="A36" s="644"/>
      <c r="B36" s="645" t="s">
        <v>71</v>
      </c>
      <c r="C36" s="645"/>
      <c r="D36" s="645"/>
      <c r="E36" s="646"/>
      <c r="G36" s="644" t="s">
        <v>8</v>
      </c>
      <c r="H36" s="646"/>
      <c r="I36" s="644" t="s">
        <v>35</v>
      </c>
      <c r="J36" s="645"/>
      <c r="K36" s="644" t="s">
        <v>10</v>
      </c>
      <c r="L36" s="645"/>
      <c r="M36" s="644" t="s">
        <v>11</v>
      </c>
      <c r="N36" s="645"/>
      <c r="O36" s="644" t="s">
        <v>12</v>
      </c>
      <c r="P36" s="646"/>
    </row>
    <row r="37" spans="1:19" ht="33" customHeight="1">
      <c r="A37" s="46" t="s">
        <v>72</v>
      </c>
      <c r="B37" s="662">
        <f>IFERROR(VLOOKUP(A37,'BPU - 5 titulaires - FOURNITURE'!A:C,2,FALSE),0)</f>
        <v>0</v>
      </c>
      <c r="C37" s="662">
        <f>IFERROR(VLOOKUP(A37,'BPU - 5 titulaires - FOURNITURE'!A:C,3,FALSE),0)</f>
        <v>0</v>
      </c>
      <c r="D37" s="663"/>
      <c r="E37" s="662"/>
      <c r="G37" s="82">
        <f>IFERROR(VLOOKUP(A37,'BPU - 5 titulaires - FOURNITURE'!A:Q,9,FALSE),0)</f>
        <v>0</v>
      </c>
      <c r="H37" s="80">
        <f>G37*E37</f>
        <v>0</v>
      </c>
      <c r="I37" s="81">
        <f>IFERROR(VLOOKUP(A37,'BPU - 5 titulaires - FOURNITURE'!A:Q,11,FALSE),0)</f>
        <v>0</v>
      </c>
      <c r="J37" s="81">
        <f>E37*I37</f>
        <v>0</v>
      </c>
      <c r="K37" s="80">
        <f>IFERROR(VLOOKUP(A37,'BPU - 5 titulaires - FOURNITURE'!A:Q,13,FALSE),0)</f>
        <v>0</v>
      </c>
      <c r="L37" s="81">
        <f>K37*E37</f>
        <v>0</v>
      </c>
      <c r="M37" s="80">
        <f>IFERROR(VLOOKUP(A37,'BPU - 5 titulaires - FOURNITURE'!A:Q,15,FALSE),0)</f>
        <v>0</v>
      </c>
      <c r="N37" s="81">
        <f>M37*E37</f>
        <v>0</v>
      </c>
      <c r="O37" s="81">
        <f>IFERROR(VLOOKUP(A37,'BPU - 5 titulaires - FOURNITURE'!A:Q,17,FALSE),0)</f>
        <v>0</v>
      </c>
      <c r="P37" s="80">
        <f>E37*O37</f>
        <v>0</v>
      </c>
    </row>
    <row r="38" spans="1:19" ht="32.1" customHeight="1" thickBot="1">
      <c r="A38" s="661" t="s">
        <v>72</v>
      </c>
      <c r="B38" s="662">
        <f>IFERROR(VLOOKUP(A38,'BPU - 5 titulaires - FOURNITURE'!A:C,2,FALSE),0)</f>
        <v>0</v>
      </c>
      <c r="C38" s="662">
        <f>IFERROR(VLOOKUP(A38,'BPU - 5 titulaires - FOURNITURE'!A:C,3,FALSE),0)</f>
        <v>0</v>
      </c>
      <c r="D38" s="663"/>
      <c r="E38" s="662"/>
      <c r="G38" s="82">
        <f>IFERROR(VLOOKUP(A38,'BPU - 5 titulaires - FOURNITURE'!A:Q,9,FALSE),0)</f>
        <v>0</v>
      </c>
      <c r="H38" s="80">
        <f>G38*E38</f>
        <v>0</v>
      </c>
      <c r="I38" s="81">
        <f>IFERROR(VLOOKUP(A38,'BPU - 5 titulaires - FOURNITURE'!A:Q,11,FALSE),0)</f>
        <v>0</v>
      </c>
      <c r="J38" s="81">
        <f>E38*I38</f>
        <v>0</v>
      </c>
      <c r="K38" s="80">
        <f>IFERROR(VLOOKUP(A38,'BPU - 5 titulaires - FOURNITURE'!A:Q,13,FALSE),0)</f>
        <v>0</v>
      </c>
      <c r="L38" s="81">
        <f>K38*E38</f>
        <v>0</v>
      </c>
      <c r="M38" s="80">
        <f>IFERROR(VLOOKUP(A38,'BPU - 5 titulaires - FOURNITURE'!A:Q,15,FALSE),0)</f>
        <v>0</v>
      </c>
      <c r="N38" s="81">
        <f>M38*E38</f>
        <v>0</v>
      </c>
      <c r="O38" s="81">
        <f>IFERROR(VLOOKUP(A38,'BPU - 5 titulaires - FOURNITURE'!A:Q,17,FALSE),0)</f>
        <v>0</v>
      </c>
      <c r="P38" s="80">
        <f>E38*O38</f>
        <v>0</v>
      </c>
    </row>
    <row r="39" spans="1:19" ht="76.5" customHeight="1" thickBot="1">
      <c r="A39" s="671"/>
      <c r="B39" s="671" t="s">
        <v>73</v>
      </c>
      <c r="C39" s="645"/>
      <c r="D39" s="645"/>
      <c r="E39" s="646"/>
      <c r="G39" s="647"/>
      <c r="H39" s="647"/>
      <c r="I39" s="647"/>
      <c r="J39" s="647"/>
      <c r="K39" s="647"/>
      <c r="L39" s="647"/>
      <c r="M39" s="647"/>
      <c r="N39" s="647"/>
      <c r="O39" s="647"/>
      <c r="P39" s="647"/>
    </row>
    <row r="40" spans="1:19" ht="54" customHeight="1" thickBot="1">
      <c r="A40" s="647" t="s">
        <v>74</v>
      </c>
      <c r="B40" s="647" t="s">
        <v>15</v>
      </c>
      <c r="C40" s="647" t="s">
        <v>16</v>
      </c>
      <c r="D40" s="647" t="s">
        <v>75</v>
      </c>
      <c r="E40" s="647" t="s">
        <v>18</v>
      </c>
      <c r="G40" s="647"/>
      <c r="H40" s="647"/>
      <c r="I40" s="647"/>
      <c r="J40" s="647"/>
      <c r="K40" s="647"/>
      <c r="L40" s="647"/>
      <c r="M40" s="647"/>
      <c r="N40" s="647"/>
      <c r="O40" s="647"/>
      <c r="P40" s="647"/>
    </row>
    <row r="41" spans="1:19" ht="45" customHeight="1">
      <c r="A41" s="52" t="s">
        <v>76</v>
      </c>
      <c r="B41" s="61"/>
      <c r="C41" s="61" t="s">
        <v>16</v>
      </c>
      <c r="D41" s="72"/>
      <c r="E41" s="61"/>
      <c r="G41" s="82">
        <f>IF($A41=$R$42,$D41*1.04,IF($A41=$R$43,$D41*1.08,0))</f>
        <v>0</v>
      </c>
      <c r="H41" s="80">
        <f>G41*$E41</f>
        <v>0</v>
      </c>
      <c r="I41" s="82">
        <f>IF($A41=$R$42,$D41*1.04,IF($A41=$R$43,$D41*1.08,0))</f>
        <v>0</v>
      </c>
      <c r="J41" s="80">
        <f>I41*$E41</f>
        <v>0</v>
      </c>
      <c r="K41" s="82">
        <f>IF($A41=$R$42,$D41*1.08,IF($A41=$R$43,$D41*1.12,0))</f>
        <v>0</v>
      </c>
      <c r="L41" s="80">
        <f>K41*$E41</f>
        <v>0</v>
      </c>
      <c r="M41" s="82">
        <f>IF($A41=$R$42,$D41*1.08,IF($A41=$R$43,$D41*1.12,0))</f>
        <v>0</v>
      </c>
      <c r="N41" s="80">
        <f>M41*$E41</f>
        <v>0</v>
      </c>
      <c r="O41" s="82">
        <f>IF($A41=$R$42,$D41*1.04,IF($A41=$R$43,$D41*1.08,0))</f>
        <v>0</v>
      </c>
      <c r="P41" s="80">
        <f>O41*$E41</f>
        <v>0</v>
      </c>
      <c r="R41" t="s">
        <v>76</v>
      </c>
      <c r="S41" t="s">
        <v>77</v>
      </c>
    </row>
    <row r="42" spans="1:19" ht="45" customHeight="1">
      <c r="A42" s="52" t="s">
        <v>76</v>
      </c>
      <c r="B42" s="61"/>
      <c r="C42" s="61" t="s">
        <v>16</v>
      </c>
      <c r="D42" s="72"/>
      <c r="E42" s="61"/>
      <c r="G42" s="82">
        <f>IF($A42=$R$42,$D42*1.04,IF($A42=$R$43,$D42*1.08,0))</f>
        <v>0</v>
      </c>
      <c r="H42" s="80">
        <f>G42*$E42</f>
        <v>0</v>
      </c>
      <c r="I42" s="82">
        <f>IF($A42=$R$42,$D42*1.04,IF($A42=$R$43,$D42*1.08,0))</f>
        <v>0</v>
      </c>
      <c r="J42" s="80">
        <f>I42*$E42</f>
        <v>0</v>
      </c>
      <c r="K42" s="82">
        <f>IF($A42=$R$42,$D42*1.08,IF($A42=$R$43,$D42*1.12,0))</f>
        <v>0</v>
      </c>
      <c r="L42" s="80">
        <f>K42*$E42</f>
        <v>0</v>
      </c>
      <c r="M42" s="82">
        <f>IF($A42=$R$42,$D42*1.08,IF($A42=$R$43,$D42*1.12,0))</f>
        <v>0</v>
      </c>
      <c r="N42" s="80">
        <f>M42*$E42</f>
        <v>0</v>
      </c>
      <c r="O42" s="82">
        <f>IF($A42=$R$42,$D42*1.04,IF($A42=$R$43,$D42*1.08,0))</f>
        <v>0</v>
      </c>
      <c r="P42" s="80">
        <f>O42*$E42</f>
        <v>0</v>
      </c>
      <c r="R42" t="s">
        <v>76</v>
      </c>
      <c r="S42" t="s">
        <v>77</v>
      </c>
    </row>
    <row r="43" spans="1:19" ht="33" customHeight="1" thickBot="1">
      <c r="A43" s="167"/>
      <c r="P43" s="638"/>
      <c r="R43" t="s">
        <v>78</v>
      </c>
      <c r="S43" t="s">
        <v>79</v>
      </c>
    </row>
    <row r="44" spans="1:19" ht="30.6" customHeight="1" thickBot="1">
      <c r="A44" s="644" t="s">
        <v>80</v>
      </c>
      <c r="B44" s="645"/>
      <c r="C44" s="645"/>
      <c r="D44" s="645"/>
      <c r="E44" s="646"/>
      <c r="G44" t="s">
        <v>81</v>
      </c>
      <c r="H44" s="159">
        <f>SUM(H37:H42)</f>
        <v>0</v>
      </c>
      <c r="I44" t="s">
        <v>82</v>
      </c>
      <c r="J44" s="159">
        <f>SUM(J37:J42)</f>
        <v>0</v>
      </c>
      <c r="K44" t="s">
        <v>83</v>
      </c>
      <c r="L44" s="159">
        <f>SUM(L37:L42)</f>
        <v>0</v>
      </c>
      <c r="M44" t="s">
        <v>84</v>
      </c>
      <c r="N44" s="159">
        <f>SUM(N37:N42)</f>
        <v>0</v>
      </c>
      <c r="O44" t="s">
        <v>85</v>
      </c>
      <c r="P44" s="637">
        <f>SUM(P37:P42)</f>
        <v>0</v>
      </c>
    </row>
    <row r="45" spans="1:19" ht="32.1" customHeight="1">
      <c r="A45" s="167"/>
      <c r="P45" s="638"/>
    </row>
    <row r="46" spans="1:19" ht="32.1" customHeight="1" thickBot="1">
      <c r="A46" s="167"/>
      <c r="P46" s="638"/>
    </row>
    <row r="47" spans="1:19" ht="33" customHeight="1" thickBot="1">
      <c r="A47" s="167"/>
      <c r="G47" s="644" t="s">
        <v>8</v>
      </c>
      <c r="H47" s="646"/>
      <c r="I47" s="644" t="s">
        <v>35</v>
      </c>
      <c r="J47" s="646"/>
      <c r="K47" s="644" t="s">
        <v>10</v>
      </c>
      <c r="L47" s="646"/>
      <c r="M47" s="644" t="s">
        <v>11</v>
      </c>
      <c r="N47" s="646"/>
      <c r="O47" s="644" t="s">
        <v>12</v>
      </c>
      <c r="P47" s="646"/>
    </row>
    <row r="48" spans="1:19" ht="42" customHeight="1" thickBot="1">
      <c r="A48" s="644" t="s">
        <v>86</v>
      </c>
      <c r="B48" s="645"/>
      <c r="C48" s="645"/>
      <c r="D48" s="645"/>
      <c r="E48" s="646"/>
      <c r="G48" t="s">
        <v>87</v>
      </c>
      <c r="H48" s="165">
        <f>H44+H32</f>
        <v>0</v>
      </c>
      <c r="I48" t="s">
        <v>88</v>
      </c>
      <c r="J48" s="165">
        <f>J44+J32</f>
        <v>0</v>
      </c>
      <c r="K48" t="s">
        <v>89</v>
      </c>
      <c r="L48" s="165">
        <f>L44+L32</f>
        <v>0</v>
      </c>
      <c r="M48" t="s">
        <v>90</v>
      </c>
      <c r="N48" s="165">
        <f>N44+N32</f>
        <v>0</v>
      </c>
      <c r="O48" t="s">
        <v>91</v>
      </c>
      <c r="P48" s="639">
        <f>P44+P32</f>
        <v>0</v>
      </c>
    </row>
    <row r="49" spans="1:16" ht="34.5" customHeight="1" thickBot="1">
      <c r="A49" s="640"/>
      <c r="B49" s="641"/>
      <c r="C49" s="641"/>
      <c r="D49" s="641"/>
      <c r="E49" s="641"/>
      <c r="F49" s="641"/>
      <c r="G49" s="641"/>
      <c r="H49" s="651" t="s">
        <v>8</v>
      </c>
      <c r="I49" s="641"/>
      <c r="J49" s="651" t="s">
        <v>35</v>
      </c>
      <c r="K49" s="641"/>
      <c r="L49" s="651" t="s">
        <v>10</v>
      </c>
      <c r="M49" s="641"/>
      <c r="N49" s="651" t="s">
        <v>11</v>
      </c>
      <c r="O49" s="641"/>
      <c r="P49" s="652" t="s">
        <v>12</v>
      </c>
    </row>
    <row r="50" spans="1:16" ht="38.450000000000003" customHeight="1" thickBot="1"/>
    <row r="51" spans="1:16" ht="69.95" customHeight="1" thickBot="1">
      <c r="A51" s="689" t="s">
        <v>92</v>
      </c>
      <c r="B51" s="690"/>
      <c r="C51" s="690"/>
      <c r="D51" s="691"/>
      <c r="F51" s="692" t="s">
        <v>93</v>
      </c>
      <c r="G51" s="693"/>
    </row>
    <row r="52" spans="1:16" ht="36" customHeight="1" thickBot="1">
      <c r="A52" s="670" t="s">
        <v>14</v>
      </c>
      <c r="B52" s="670" t="s">
        <v>15</v>
      </c>
      <c r="C52" s="670" t="s">
        <v>17</v>
      </c>
      <c r="D52" s="670" t="s">
        <v>18</v>
      </c>
      <c r="F52" s="670" t="s">
        <v>19</v>
      </c>
      <c r="G52" s="670" t="s">
        <v>20</v>
      </c>
    </row>
    <row r="53" spans="1:16" ht="29.25" customHeight="1">
      <c r="A53" s="72" t="s">
        <v>94</v>
      </c>
      <c r="B53" s="80">
        <f>IFERROR(VLOOKUP(A53,'BPU - NXO Data - prest + fourni'!$A$1:$E$300,2,FALSE),0)</f>
        <v>0</v>
      </c>
      <c r="C53" s="72" t="s">
        <v>5</v>
      </c>
      <c r="D53" s="61">
        <v>0</v>
      </c>
      <c r="F53" s="82">
        <f>IF(AND(LEFT(A53,1)="C",MID(A53,3,1)="."),0,IFERROR(IF(C53=$I$5,VLOOKUP(A53,'BPU - NXO Data - prest + fourni'!$A$2:$E$314,3,FALSE),IF(C53=$I$6,VLOOKUP(A53,'BPU - NXO Data - prest + fourni'!$A$2:$E$314,3,FALSE)*(1.5))),0))</f>
        <v>0</v>
      </c>
      <c r="G53" s="166">
        <f>F53*D53</f>
        <v>0</v>
      </c>
    </row>
    <row r="54" spans="1:16" ht="29.25" customHeight="1">
      <c r="A54" s="72" t="s">
        <v>94</v>
      </c>
      <c r="B54" s="80">
        <f>IFERROR(VLOOKUP(A54,'BPU - NXO Data - prest + fourni'!$A$1:$E$300,2,FALSE),0)</f>
        <v>0</v>
      </c>
      <c r="C54" s="72" t="s">
        <v>5</v>
      </c>
      <c r="D54" s="61">
        <v>0</v>
      </c>
      <c r="F54" s="82">
        <f>IF(AND(LEFT(A54,1)="C",MID(A54,3,1)="."),0,IFERROR(IF(C54=$I$5,VLOOKUP(A54,'BPU - NXO Data - prest + fourni'!$A$2:$E$314,3,FALSE),IF(C54=$I$6,VLOOKUP(A54,'BPU - NXO Data - prest + fourni'!$A$2:$E$314,3,FALSE)*(1.5))),0))</f>
        <v>0</v>
      </c>
      <c r="G54" s="166">
        <f>F54*D54</f>
        <v>0</v>
      </c>
    </row>
    <row r="55" spans="1:16" ht="31.5" customHeight="1" thickBot="1"/>
    <row r="56" spans="1:16" ht="33.75" customHeight="1" thickBot="1">
      <c r="A56" s="642" t="s">
        <v>95</v>
      </c>
      <c r="B56" s="659"/>
      <c r="C56" s="659"/>
      <c r="D56" s="643"/>
      <c r="G56" s="159">
        <f>SUM(G53:G54)</f>
        <v>0</v>
      </c>
    </row>
    <row r="57" spans="1:16" ht="33.75" customHeight="1" thickBot="1"/>
    <row r="58" spans="1:16" ht="72" customHeight="1" thickBot="1">
      <c r="A58" s="632"/>
      <c r="B58" s="656" t="s">
        <v>96</v>
      </c>
      <c r="C58" s="633"/>
      <c r="D58" s="633"/>
      <c r="E58" s="634"/>
      <c r="G58" s="632"/>
      <c r="H58" s="634"/>
    </row>
    <row r="59" spans="1:16" ht="36" customHeight="1" thickBot="1">
      <c r="A59" s="12" t="s">
        <v>14</v>
      </c>
      <c r="B59" s="12" t="s">
        <v>97</v>
      </c>
      <c r="C59" s="12" t="s">
        <v>15</v>
      </c>
      <c r="D59" s="12" t="s">
        <v>98</v>
      </c>
      <c r="E59" s="12" t="s">
        <v>18</v>
      </c>
      <c r="G59" s="12" t="s">
        <v>19</v>
      </c>
      <c r="H59" s="12" t="s">
        <v>20</v>
      </c>
    </row>
    <row r="60" spans="1:16" ht="30.75" customHeight="1">
      <c r="A60" s="72" t="s">
        <v>99</v>
      </c>
      <c r="B60" s="81" t="str">
        <f>IFERROR(VLOOKUP(A60,'BPU - fourniture RATP'!A:G,2,FALSE),0)</f>
        <v>VDIDI06TPV</v>
      </c>
      <c r="C60" s="80" t="str">
        <f>IFERROR(VLOOKUP(A60,'BPU - fourniture RATP'!A:G,3,FALSE),0)</f>
        <v>COFFRET TECHNIQUE TPV 600MM</v>
      </c>
      <c r="D60" s="80" t="str">
        <f>IFERROR(VLOOKUP(A60,'BPU - fourniture RATP'!A:G,6,FALSE),0)</f>
        <v>PE</v>
      </c>
      <c r="E60" s="61">
        <v>5</v>
      </c>
      <c r="G60" s="82">
        <f>IFERROR(VLOOKUP(A60,'BPU - fourniture RATP'!A:G,7,FALSE),0)</f>
        <v>2250.0052499999997</v>
      </c>
      <c r="H60" s="166">
        <f>G60*E60</f>
        <v>11250.026249999999</v>
      </c>
    </row>
    <row r="61" spans="1:16" ht="27.6" customHeight="1" thickBot="1">
      <c r="A61" s="72" t="s">
        <v>100</v>
      </c>
      <c r="B61" s="81">
        <f>IFERROR(VLOOKUP(A61,'BPU - fourniture RATP'!$A$2:$G$790,2,FALSE),0)</f>
        <v>0</v>
      </c>
      <c r="C61" s="80">
        <f>IFERROR(VLOOKUP(A61,'BPU - fourniture RATP'!$A$2:$G$790,3,FALSE),0)</f>
        <v>0</v>
      </c>
      <c r="D61" s="80">
        <f>IFERROR(VLOOKUP(A61,'BPU - fourniture RATP'!$A$2:$G$790,6,FALSE),0)</f>
        <v>0</v>
      </c>
      <c r="E61" s="61"/>
      <c r="G61" s="82">
        <f>IFERROR(VLOOKUP(A61,'BPU - fourniture RATP'!$A$2:$G$790,7,FALSE),0)</f>
        <v>0</v>
      </c>
      <c r="H61" s="166">
        <f t="shared" ref="H61" si="8">G61*E61</f>
        <v>0</v>
      </c>
    </row>
    <row r="62" spans="1:16" ht="26.45" customHeight="1" thickBot="1">
      <c r="A62" s="632" t="s">
        <v>101</v>
      </c>
      <c r="B62" s="633"/>
      <c r="C62" s="633"/>
      <c r="D62" s="633"/>
      <c r="E62" s="634"/>
      <c r="H62" s="159">
        <f>SUM(H60:H61)</f>
        <v>11250.026249999999</v>
      </c>
    </row>
    <row r="63" spans="1:16" ht="17.100000000000001" customHeight="1"/>
    <row r="64" spans="1:16" ht="33" customHeight="1" thickBot="1"/>
    <row r="65" spans="1:12" ht="84" customHeight="1" thickBot="1">
      <c r="A65" s="696" t="s">
        <v>102</v>
      </c>
      <c r="B65" s="697"/>
      <c r="C65" s="697"/>
      <c r="D65" s="697"/>
      <c r="E65" s="698"/>
      <c r="G65" s="699"/>
      <c r="H65" s="700"/>
      <c r="I65" s="700"/>
      <c r="J65" s="700"/>
      <c r="K65" s="700"/>
      <c r="L65" s="701"/>
    </row>
    <row r="66" spans="1:12" ht="30.6" thickBot="1">
      <c r="A66" s="664" t="s">
        <v>14</v>
      </c>
      <c r="B66" s="664" t="s">
        <v>15</v>
      </c>
      <c r="C66" s="664" t="s">
        <v>98</v>
      </c>
      <c r="D66" s="664" t="s">
        <v>17</v>
      </c>
      <c r="E66" s="665" t="s">
        <v>18</v>
      </c>
      <c r="G66" s="666" t="s">
        <v>103</v>
      </c>
      <c r="H66" s="664" t="s">
        <v>104</v>
      </c>
      <c r="I66" s="664" t="s">
        <v>105</v>
      </c>
      <c r="J66" s="664" t="s">
        <v>106</v>
      </c>
      <c r="K66" s="664" t="s">
        <v>107</v>
      </c>
      <c r="L66" s="664" t="s">
        <v>20</v>
      </c>
    </row>
    <row r="67" spans="1:12" ht="32.450000000000003" customHeight="1">
      <c r="A67" s="72" t="s">
        <v>108</v>
      </c>
      <c r="B67" s="80">
        <f>IFERROR(VLOOKUP(A67,'BPU - Marché PDS'!$A$10:$J$235,2,FALSE),0)</f>
        <v>0</v>
      </c>
      <c r="C67" s="631">
        <f>IFERROR(VLOOKUP(A67,'BPU - Marché PDS'!$A$10:$J$235,3,FALSE),0)</f>
        <v>0</v>
      </c>
      <c r="D67" s="72"/>
      <c r="E67" s="660"/>
      <c r="G67" s="631">
        <f>IFERROR(VLOOKUP(A67,'BPU - Marché PDS'!$A$10:$J$235,5,FALSE),0)</f>
        <v>0</v>
      </c>
      <c r="H67" s="631">
        <f>IFERROR(IF(D67=$N$3,VLOOKUP(A67,'BPU - Marché PDS'!$A$10:$J$235,6,FALSE),IF(D67=$N$4,VLOOKUP(A67,'BPU - Marché PDS'!$A$10:$J$235,8,FALSE))),0)</f>
        <v>0</v>
      </c>
      <c r="I67" s="82">
        <f t="shared" ref="I67:I68" si="9">G67+H67</f>
        <v>0</v>
      </c>
      <c r="J67" s="82">
        <f>G67*E67</f>
        <v>0</v>
      </c>
      <c r="K67" s="82">
        <f t="shared" ref="K67:K68" si="10">H67*E67</f>
        <v>0</v>
      </c>
      <c r="L67" s="166">
        <f t="shared" ref="L67:L68" si="11">I67*E67</f>
        <v>0</v>
      </c>
    </row>
    <row r="68" spans="1:12" ht="32.450000000000003" customHeight="1">
      <c r="A68" s="72" t="s">
        <v>108</v>
      </c>
      <c r="B68" s="80">
        <f>IFERROR(VLOOKUP(A68,'BPU - Marché PDS'!$A$10:$J$235,2,FALSE),0)</f>
        <v>0</v>
      </c>
      <c r="C68" s="631">
        <f>IFERROR(VLOOKUP(A68,'BPU - Marché PDS'!$A$10:$J$235,3,FALSE),0)</f>
        <v>0</v>
      </c>
      <c r="D68" s="72"/>
      <c r="E68" s="660">
        <v>0</v>
      </c>
      <c r="G68" s="631">
        <f>IFERROR(VLOOKUP(A68,'BPU - Marché PDS'!$A$10:$J$235,5,FALSE),0)</f>
        <v>0</v>
      </c>
      <c r="H68" s="631">
        <f>IFERROR(IF(D68=$N$3,VLOOKUP(A68,'BPU - Marché PDS'!$A$10:$J$235,6,FALSE),IF(D68=$N$4,VLOOKUP(A68,'BPU - Marché PDS'!$A$10:$J$235,8,FALSE))),0)</f>
        <v>0</v>
      </c>
      <c r="I68" s="82">
        <f t="shared" si="9"/>
        <v>0</v>
      </c>
      <c r="J68" s="82">
        <f>G68*E68</f>
        <v>0</v>
      </c>
      <c r="K68" s="82">
        <f t="shared" si="10"/>
        <v>0</v>
      </c>
      <c r="L68" s="166">
        <f t="shared" si="11"/>
        <v>0</v>
      </c>
    </row>
    <row r="69" spans="1:12" ht="15" thickBot="1"/>
    <row r="70" spans="1:12" ht="31.5" customHeight="1" thickBot="1">
      <c r="A70" s="694" t="s">
        <v>101</v>
      </c>
      <c r="B70" s="695"/>
      <c r="C70" s="695"/>
      <c r="D70" s="695"/>
      <c r="E70" s="695"/>
      <c r="J70" s="159">
        <f>SUM(J66:J68)</f>
        <v>0</v>
      </c>
      <c r="K70" s="159">
        <f>SUM(K66:K68)</f>
        <v>0</v>
      </c>
      <c r="L70" s="159">
        <f>SUM(L66:L68)</f>
        <v>0</v>
      </c>
    </row>
    <row r="73" spans="1:12" ht="15" thickBot="1"/>
    <row r="74" spans="1:12">
      <c r="A74" s="443" t="s">
        <v>109</v>
      </c>
      <c r="B74" s="444" t="s">
        <v>110</v>
      </c>
      <c r="C74" s="437"/>
    </row>
    <row r="75" spans="1:12" ht="21.6" thickBot="1">
      <c r="A75" s="445"/>
      <c r="B75" s="446" t="s">
        <v>111</v>
      </c>
      <c r="C75" s="442" t="s">
        <v>112</v>
      </c>
    </row>
    <row r="76" spans="1:12" ht="20.45" thickBot="1">
      <c r="A76" s="438" t="s">
        <v>18</v>
      </c>
      <c r="B76" s="440" t="s">
        <v>113</v>
      </c>
      <c r="C76" s="441" t="e" cm="1">
        <f t="array" aca="1" ref="C76" ca="1">RIGHT(CELL("nomfichier",A1),LEN(CELL("nomfichier",A1))-FIND("]",CELL("nomfichier",A1)))</f>
        <v>#VALUE!</v>
      </c>
    </row>
    <row r="77" spans="1:12" ht="21" thickBot="1">
      <c r="A77" s="438">
        <v>1</v>
      </c>
      <c r="B77" s="168" t="s">
        <v>114</v>
      </c>
      <c r="C77" s="434">
        <f>IF(H48&gt;=MAX(H48,P48,J48,N48,L48), H44, IF(P48&gt;=MAX(H48,P48,J48,N48,L48), P44, IF(J48&gt;=MAX(H48,P48,J48,N48,L48), J44, IF(N48&gt;=MAX(H48,P48,J48,N48,L48), N44, IF(L48&gt;=MAX(H48,P48,J48,N48,L48), L44, "")))))</f>
        <v>0</v>
      </c>
    </row>
    <row r="78" spans="1:12" ht="30.6" customHeight="1" thickBot="1">
      <c r="A78" s="438">
        <v>1</v>
      </c>
      <c r="B78" s="168" t="s">
        <v>115</v>
      </c>
      <c r="C78" s="435">
        <f>IF(H48&gt;=MAX(H48,P48,J48,N48,L48), H15, IF(P48&gt;=MAX(H48,P48,J48,N48,L48), P15, IF(J48&gt;=MAX(H48,P48,J48,N48,L48), J15, IF(N48&gt;=MAX(H48,P48,J48,N48,L48), N15, IF(L48&gt;=MAX(H48,P48,J48,N48,L48), L15, "")))))</f>
        <v>0</v>
      </c>
    </row>
    <row r="79" spans="1:12" ht="33" customHeight="1" thickBot="1">
      <c r="A79" s="438">
        <v>1</v>
      </c>
      <c r="B79" s="168" t="s">
        <v>116</v>
      </c>
      <c r="C79" s="435">
        <f>IF(H48&gt;=MAX(H48,P48,J48,N48,L48), H30, IF(P48&gt;=MAX(H48,P48,J48,N48,L48), P30, IF(J48&gt;=MAX(H48,P48,J48,N48,L48), J30, IF(N48&gt;=MAX(H48,P48,J48,N48,L48), N30, IF(L48&gt;=MAX(H48,P48,J48,N48,L48), L30, "")))))</f>
        <v>0</v>
      </c>
    </row>
    <row r="80" spans="1:12" ht="33" customHeight="1" thickBot="1">
      <c r="A80" s="438">
        <v>1</v>
      </c>
      <c r="B80" s="168" t="s">
        <v>117</v>
      </c>
      <c r="C80" s="435">
        <f>H62</f>
        <v>11250.026249999999</v>
      </c>
    </row>
    <row r="81" spans="1:3" ht="32.1" customHeight="1" thickBot="1">
      <c r="A81" s="438">
        <v>1</v>
      </c>
      <c r="B81" s="168" t="s">
        <v>118</v>
      </c>
      <c r="C81" s="435">
        <f>G56</f>
        <v>0</v>
      </c>
    </row>
    <row r="82" spans="1:3" ht="32.1" customHeight="1" thickBot="1">
      <c r="A82" s="438">
        <v>1</v>
      </c>
      <c r="B82" s="433" t="s">
        <v>119</v>
      </c>
      <c r="C82" s="673"/>
    </row>
    <row r="83" spans="1:3" ht="33" customHeight="1" thickBot="1">
      <c r="A83" s="438">
        <v>1</v>
      </c>
      <c r="B83" s="433" t="s">
        <v>120</v>
      </c>
      <c r="C83" s="673">
        <f>L70</f>
        <v>0</v>
      </c>
    </row>
    <row r="84" spans="1:3" ht="32.1" customHeight="1" thickBot="1">
      <c r="A84" s="439">
        <v>1</v>
      </c>
      <c r="B84" s="657" t="s">
        <v>121</v>
      </c>
      <c r="C84" s="658">
        <f>C77+C78+C79+C80+C81+C82+C83</f>
        <v>11250.026249999999</v>
      </c>
    </row>
    <row r="85" spans="1:3" ht="32.1" customHeight="1"/>
    <row r="86" spans="1:3" ht="32.1" customHeight="1"/>
    <row r="87" spans="1:3" ht="32.1" customHeight="1"/>
    <row r="88" spans="1:3" ht="33" customHeight="1"/>
    <row r="89" spans="1:3" ht="33" customHeight="1"/>
    <row r="90" spans="1:3" ht="32.1" customHeight="1"/>
    <row r="91" spans="1:3" ht="33" customHeight="1"/>
    <row r="92" spans="1:3" ht="30.6" customHeight="1"/>
    <row r="93" spans="1:3" ht="32.1" customHeight="1"/>
    <row r="94" spans="1:3" ht="32.1" customHeight="1"/>
    <row r="95" spans="1:3" ht="30.6" customHeight="1"/>
    <row r="96" spans="1:3" ht="30.6" customHeight="1"/>
    <row r="97" ht="33" customHeight="1"/>
    <row r="98" ht="30.6" customHeight="1"/>
    <row r="99" ht="33" customHeight="1"/>
    <row r="100" ht="30.6" customHeight="1"/>
    <row r="101" ht="33" customHeight="1"/>
    <row r="102" ht="32.1" customHeight="1"/>
    <row r="103" ht="30.6" customHeight="1"/>
    <row r="104" ht="33" customHeight="1"/>
    <row r="105" ht="30.6" customHeight="1"/>
    <row r="106" ht="29.1" customHeight="1"/>
    <row r="107" ht="30.95" customHeight="1"/>
    <row r="120" ht="16.5" customHeight="1"/>
  </sheetData>
  <mergeCells count="5">
    <mergeCell ref="A51:D51"/>
    <mergeCell ref="F51:G51"/>
    <mergeCell ref="A65:E65"/>
    <mergeCell ref="G65:L65"/>
    <mergeCell ref="A70:E70"/>
  </mergeCells>
  <dataValidations count="5">
    <dataValidation type="list" allowBlank="1" showInputMessage="1" showErrorMessage="1" sqref="A41:A42" xr:uid="{A3FD53E3-DF17-4043-8AA7-52E7F92A66DC}">
      <formula1>"M2,M3"</formula1>
    </dataValidation>
    <dataValidation type="list" allowBlank="1" showInputMessage="1" showErrorMessage="1" sqref="C53:C54" xr:uid="{04C366F1-5AF3-409B-BA98-41096F7244EB}">
      <formula1>$I$5:$I$6</formula1>
    </dataValidation>
    <dataValidation type="list" allowBlank="1" showInputMessage="1" showErrorMessage="1" sqref="D67:D68" xr:uid="{1BB10125-5053-4085-B07F-BBF9AF6C192D}">
      <formula1>$N$3:$N$4</formula1>
    </dataValidation>
    <dataValidation type="list" allowBlank="1" showInputMessage="1" showErrorMessage="1" sqref="D13:D14 D9:D10 D37:D38" xr:uid="{F0B3B9EA-F1E1-4ED9-9C4F-3D2866B6CB54}">
      <formula1>$T$2:$T$3</formula1>
    </dataValidation>
    <dataValidation type="list" allowBlank="1" showInputMessage="1" showErrorMessage="1" sqref="D20:D28" xr:uid="{B21D256B-B1A0-44AF-9316-557F9123AED5}">
      <formula1>$T$5:$T$6</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113" r:id="rId4" name="Button 1">
              <controlPr defaultSize="0" print="0" autoFill="0" autoPict="0" macro="[0]!SupprimerLignesAutomatiquesP">
                <anchor moveWithCells="1" sizeWithCells="1">
                  <from>
                    <xdr:col>1</xdr:col>
                    <xdr:colOff>1079500</xdr:colOff>
                    <xdr:row>5</xdr:row>
                    <xdr:rowOff>349250</xdr:rowOff>
                  </from>
                  <to>
                    <xdr:col>1</xdr:col>
                    <xdr:colOff>2165350</xdr:colOff>
                    <xdr:row>5</xdr:row>
                    <xdr:rowOff>736600</xdr:rowOff>
                  </to>
                </anchor>
              </controlPr>
            </control>
          </mc:Choice>
        </mc:AlternateContent>
        <mc:AlternateContent xmlns:mc="http://schemas.openxmlformats.org/markup-compatibility/2006">
          <mc:Choice Requires="x14">
            <control shapeId="90114" r:id="rId5" name="Button 2">
              <controlPr defaultSize="0" print="0" autoFill="0" autoPict="0" macro="[0]!AjouterNouvelleLignePersonaliseeP">
                <anchor moveWithCells="1" sizeWithCells="1">
                  <from>
                    <xdr:col>1</xdr:col>
                    <xdr:colOff>2190750</xdr:colOff>
                    <xdr:row>5</xdr:row>
                    <xdr:rowOff>336550</xdr:rowOff>
                  </from>
                  <to>
                    <xdr:col>1</xdr:col>
                    <xdr:colOff>3930650</xdr:colOff>
                    <xdr:row>5</xdr:row>
                    <xdr:rowOff>736600</xdr:rowOff>
                  </to>
                </anchor>
              </controlPr>
            </control>
          </mc:Choice>
        </mc:AlternateContent>
        <mc:AlternateContent xmlns:mc="http://schemas.openxmlformats.org/markup-compatibility/2006">
          <mc:Choice Requires="x14">
            <control shapeId="90115" r:id="rId6" name="Button 3">
              <controlPr defaultSize="0" print="0" autoFill="0" autoPict="0" macro="[0]!AjouterNouvelleLigneAutomatiqueF">
                <anchor moveWithCells="1" sizeWithCells="1">
                  <from>
                    <xdr:col>1</xdr:col>
                    <xdr:colOff>25400</xdr:colOff>
                    <xdr:row>35</xdr:row>
                    <xdr:rowOff>12700</xdr:rowOff>
                  </from>
                  <to>
                    <xdr:col>1</xdr:col>
                    <xdr:colOff>977900</xdr:colOff>
                    <xdr:row>35</xdr:row>
                    <xdr:rowOff>400050</xdr:rowOff>
                  </to>
                </anchor>
              </controlPr>
            </control>
          </mc:Choice>
        </mc:AlternateContent>
        <mc:AlternateContent xmlns:mc="http://schemas.openxmlformats.org/markup-compatibility/2006">
          <mc:Choice Requires="x14">
            <control shapeId="90116" r:id="rId7" name="Button 4">
              <controlPr defaultSize="0" print="0" autoFill="0" autoPict="0" macro="[0]!SupprimerLignesAutomatiquesF">
                <anchor moveWithCells="1" sizeWithCells="1">
                  <from>
                    <xdr:col>1</xdr:col>
                    <xdr:colOff>1022350</xdr:colOff>
                    <xdr:row>35</xdr:row>
                    <xdr:rowOff>12700</xdr:rowOff>
                  </from>
                  <to>
                    <xdr:col>1</xdr:col>
                    <xdr:colOff>1822450</xdr:colOff>
                    <xdr:row>35</xdr:row>
                    <xdr:rowOff>381000</xdr:rowOff>
                  </to>
                </anchor>
              </controlPr>
            </control>
          </mc:Choice>
        </mc:AlternateContent>
        <mc:AlternateContent xmlns:mc="http://schemas.openxmlformats.org/markup-compatibility/2006">
          <mc:Choice Requires="x14">
            <control shapeId="90117" r:id="rId8" name="Button 5">
              <controlPr defaultSize="0" print="0" autoFill="0" autoPict="0" macro="[0]!AjouterNouvelleLignePersonaliseeF">
                <anchor moveWithCells="1" sizeWithCells="1">
                  <from>
                    <xdr:col>1</xdr:col>
                    <xdr:colOff>1841500</xdr:colOff>
                    <xdr:row>35</xdr:row>
                    <xdr:rowOff>12700</xdr:rowOff>
                  </from>
                  <to>
                    <xdr:col>2</xdr:col>
                    <xdr:colOff>12700</xdr:colOff>
                    <xdr:row>35</xdr:row>
                    <xdr:rowOff>381000</xdr:rowOff>
                  </to>
                </anchor>
              </controlPr>
            </control>
          </mc:Choice>
        </mc:AlternateContent>
        <mc:AlternateContent xmlns:mc="http://schemas.openxmlformats.org/markup-compatibility/2006">
          <mc:Choice Requires="x14">
            <control shapeId="90118" r:id="rId9" name="Button 6">
              <controlPr defaultSize="0" print="0" autoFill="0" autoPict="0" macro="[0]!AjouterNouvelleLigneAutomatiqueEQ">
                <anchor moveWithCells="1" sizeWithCells="1">
                  <from>
                    <xdr:col>0</xdr:col>
                    <xdr:colOff>2184400</xdr:colOff>
                    <xdr:row>57</xdr:row>
                    <xdr:rowOff>488950</xdr:rowOff>
                  </from>
                  <to>
                    <xdr:col>1</xdr:col>
                    <xdr:colOff>1104900</xdr:colOff>
                    <xdr:row>57</xdr:row>
                    <xdr:rowOff>876300</xdr:rowOff>
                  </to>
                </anchor>
              </controlPr>
            </control>
          </mc:Choice>
        </mc:AlternateContent>
        <mc:AlternateContent xmlns:mc="http://schemas.openxmlformats.org/markup-compatibility/2006">
          <mc:Choice Requires="x14">
            <control shapeId="90119" r:id="rId10" name="Button 7">
              <controlPr defaultSize="0" print="0" autoFill="0" autoPict="0" macro="[0]!SupprimerLignesAutomatiquesEQ">
                <anchor moveWithCells="1" sizeWithCells="1">
                  <from>
                    <xdr:col>1</xdr:col>
                    <xdr:colOff>1143000</xdr:colOff>
                    <xdr:row>57</xdr:row>
                    <xdr:rowOff>495300</xdr:rowOff>
                  </from>
                  <to>
                    <xdr:col>1</xdr:col>
                    <xdr:colOff>2451100</xdr:colOff>
                    <xdr:row>57</xdr:row>
                    <xdr:rowOff>876300</xdr:rowOff>
                  </to>
                </anchor>
              </controlPr>
            </control>
          </mc:Choice>
        </mc:AlternateContent>
        <mc:AlternateContent xmlns:mc="http://schemas.openxmlformats.org/markup-compatibility/2006">
          <mc:Choice Requires="x14">
            <control shapeId="90120" r:id="rId11" name="Button 8">
              <controlPr defaultSize="0" print="0" autoFill="0" autoPict="0" macro="[0]!AjouterNouvelleLigneAutomatiquePF">
                <anchor moveWithCells="1" sizeWithCells="1">
                  <from>
                    <xdr:col>1</xdr:col>
                    <xdr:colOff>50800</xdr:colOff>
                    <xdr:row>50</xdr:row>
                    <xdr:rowOff>304800</xdr:rowOff>
                  </from>
                  <to>
                    <xdr:col>1</xdr:col>
                    <xdr:colOff>1035050</xdr:colOff>
                    <xdr:row>50</xdr:row>
                    <xdr:rowOff>844550</xdr:rowOff>
                  </to>
                </anchor>
              </controlPr>
            </control>
          </mc:Choice>
        </mc:AlternateContent>
        <mc:AlternateContent xmlns:mc="http://schemas.openxmlformats.org/markup-compatibility/2006">
          <mc:Choice Requires="x14">
            <control shapeId="90121" r:id="rId12" name="Button 9">
              <controlPr defaultSize="0" print="0" autoFill="0" autoPict="0" macro="[0]!SupprimerLignesAutomatiquesPF">
                <anchor moveWithCells="1" sizeWithCells="1">
                  <from>
                    <xdr:col>1</xdr:col>
                    <xdr:colOff>1047750</xdr:colOff>
                    <xdr:row>50</xdr:row>
                    <xdr:rowOff>311150</xdr:rowOff>
                  </from>
                  <to>
                    <xdr:col>1</xdr:col>
                    <xdr:colOff>2133600</xdr:colOff>
                    <xdr:row>50</xdr:row>
                    <xdr:rowOff>844550</xdr:rowOff>
                  </to>
                </anchor>
              </controlPr>
            </control>
          </mc:Choice>
        </mc:AlternateContent>
        <mc:AlternateContent xmlns:mc="http://schemas.openxmlformats.org/markup-compatibility/2006">
          <mc:Choice Requires="x14">
            <control shapeId="90122" r:id="rId13" name="Button 10">
              <controlPr defaultSize="0" print="0" autoFill="0" autoPict="0" macro="[0]!AjouterNouvelleLignePersonaliseePF">
                <anchor moveWithCells="1" sizeWithCells="1">
                  <from>
                    <xdr:col>1</xdr:col>
                    <xdr:colOff>2139950</xdr:colOff>
                    <xdr:row>50</xdr:row>
                    <xdr:rowOff>311150</xdr:rowOff>
                  </from>
                  <to>
                    <xdr:col>1</xdr:col>
                    <xdr:colOff>3181350</xdr:colOff>
                    <xdr:row>50</xdr:row>
                    <xdr:rowOff>844550</xdr:rowOff>
                  </to>
                </anchor>
              </controlPr>
            </control>
          </mc:Choice>
        </mc:AlternateContent>
        <mc:AlternateContent xmlns:mc="http://schemas.openxmlformats.org/markup-compatibility/2006">
          <mc:Choice Requires="x14">
            <control shapeId="90123" r:id="rId14" name="Button 11">
              <controlPr defaultSize="0" print="0" autoFill="0" autoPict="0" macro="[0]!AjouterNouvelleLignePersonaliseeEQ">
                <anchor moveWithCells="1" sizeWithCells="1">
                  <from>
                    <xdr:col>1</xdr:col>
                    <xdr:colOff>2463800</xdr:colOff>
                    <xdr:row>57</xdr:row>
                    <xdr:rowOff>488950</xdr:rowOff>
                  </from>
                  <to>
                    <xdr:col>1</xdr:col>
                    <xdr:colOff>3511550</xdr:colOff>
                    <xdr:row>57</xdr:row>
                    <xdr:rowOff>857250</xdr:rowOff>
                  </to>
                </anchor>
              </controlPr>
            </control>
          </mc:Choice>
        </mc:AlternateContent>
        <mc:AlternateContent xmlns:mc="http://schemas.openxmlformats.org/markup-compatibility/2006">
          <mc:Choice Requires="x14">
            <control shapeId="90124" r:id="rId15" name="Button 12">
              <controlPr defaultSize="0" print="0" autoFill="0" autoPict="0" macro="[0]!AjouterNouvelleLigneAutomatiqueP">
                <anchor moveWithCells="1" sizeWithCells="1">
                  <from>
                    <xdr:col>1</xdr:col>
                    <xdr:colOff>25400</xdr:colOff>
                    <xdr:row>5</xdr:row>
                    <xdr:rowOff>361950</xdr:rowOff>
                  </from>
                  <to>
                    <xdr:col>1</xdr:col>
                    <xdr:colOff>1054100</xdr:colOff>
                    <xdr:row>5</xdr:row>
                    <xdr:rowOff>723900</xdr:rowOff>
                  </to>
                </anchor>
              </controlPr>
            </control>
          </mc:Choice>
        </mc:AlternateContent>
        <mc:AlternateContent xmlns:mc="http://schemas.openxmlformats.org/markup-compatibility/2006">
          <mc:Choice Requires="x14">
            <control shapeId="90125" r:id="rId16" name="Button 13">
              <controlPr defaultSize="0" print="0" autoFill="0" autoPict="0" macro="[0]!AjouterNouvelleLigneAutomatiquePA">
                <anchor moveWithCells="1" sizeWithCells="1">
                  <from>
                    <xdr:col>1</xdr:col>
                    <xdr:colOff>25400</xdr:colOff>
                    <xdr:row>64</xdr:row>
                    <xdr:rowOff>577850</xdr:rowOff>
                  </from>
                  <to>
                    <xdr:col>1</xdr:col>
                    <xdr:colOff>1162050</xdr:colOff>
                    <xdr:row>64</xdr:row>
                    <xdr:rowOff>996950</xdr:rowOff>
                  </to>
                </anchor>
              </controlPr>
            </control>
          </mc:Choice>
        </mc:AlternateContent>
        <mc:AlternateContent xmlns:mc="http://schemas.openxmlformats.org/markup-compatibility/2006">
          <mc:Choice Requires="x14">
            <control shapeId="90126" r:id="rId17" name="Button 14">
              <controlPr defaultSize="0" print="0" autoFill="0" autoPict="0" macro="[0]!SupprimerLignesAutomatiquesPA">
                <anchor moveWithCells="1" sizeWithCells="1">
                  <from>
                    <xdr:col>1</xdr:col>
                    <xdr:colOff>1174750</xdr:colOff>
                    <xdr:row>64</xdr:row>
                    <xdr:rowOff>577850</xdr:rowOff>
                  </from>
                  <to>
                    <xdr:col>1</xdr:col>
                    <xdr:colOff>2774950</xdr:colOff>
                    <xdr:row>64</xdr:row>
                    <xdr:rowOff>984250</xdr:rowOff>
                  </to>
                </anchor>
              </controlPr>
            </control>
          </mc:Choice>
        </mc:AlternateContent>
        <mc:AlternateContent xmlns:mc="http://schemas.openxmlformats.org/markup-compatibility/2006">
          <mc:Choice Requires="x14">
            <control shapeId="90127" r:id="rId18" name="Button 15">
              <controlPr defaultSize="0" print="0" autoFill="0" autoPict="0" macro="[0]!AjouterNouvelleLignePersonaliseePA">
                <anchor moveWithCells="1" sizeWithCells="1">
                  <from>
                    <xdr:col>1</xdr:col>
                    <xdr:colOff>2794000</xdr:colOff>
                    <xdr:row>64</xdr:row>
                    <xdr:rowOff>552450</xdr:rowOff>
                  </from>
                  <to>
                    <xdr:col>2</xdr:col>
                    <xdr:colOff>158750</xdr:colOff>
                    <xdr:row>64</xdr:row>
                    <xdr:rowOff>984250</xdr:rowOff>
                  </to>
                </anchor>
              </controlPr>
            </control>
          </mc:Choice>
        </mc:AlternateContent>
        <mc:AlternateContent xmlns:mc="http://schemas.openxmlformats.org/markup-compatibility/2006">
          <mc:Choice Requires="x14">
            <control shapeId="90128" r:id="rId19" name="Button 16">
              <controlPr defaultSize="0" print="0" autoFill="0" autoPict="0" macro="[0]!AjouterNouvelleLigneAutomatiqueM2">
                <anchor moveWithCells="1" sizeWithCells="1">
                  <from>
                    <xdr:col>1</xdr:col>
                    <xdr:colOff>57150</xdr:colOff>
                    <xdr:row>38</xdr:row>
                    <xdr:rowOff>533400</xdr:rowOff>
                  </from>
                  <to>
                    <xdr:col>1</xdr:col>
                    <xdr:colOff>1009650</xdr:colOff>
                    <xdr:row>38</xdr:row>
                    <xdr:rowOff>920750</xdr:rowOff>
                  </to>
                </anchor>
              </controlPr>
            </control>
          </mc:Choice>
        </mc:AlternateContent>
        <mc:AlternateContent xmlns:mc="http://schemas.openxmlformats.org/markup-compatibility/2006">
          <mc:Choice Requires="x14">
            <control shapeId="90129" r:id="rId20" name="Button 17">
              <controlPr defaultSize="0" print="0" autoFill="0" autoPict="0" macro="[0]!SupprimerLignesAutomatiquesM2">
                <anchor moveWithCells="1" sizeWithCells="1">
                  <from>
                    <xdr:col>1</xdr:col>
                    <xdr:colOff>1035050</xdr:colOff>
                    <xdr:row>38</xdr:row>
                    <xdr:rowOff>533400</xdr:rowOff>
                  </from>
                  <to>
                    <xdr:col>1</xdr:col>
                    <xdr:colOff>1835150</xdr:colOff>
                    <xdr:row>38</xdr:row>
                    <xdr:rowOff>901700</xdr:rowOff>
                  </to>
                </anchor>
              </controlPr>
            </control>
          </mc:Choice>
        </mc:AlternateContent>
        <mc:AlternateContent xmlns:mc="http://schemas.openxmlformats.org/markup-compatibility/2006">
          <mc:Choice Requires="x14">
            <control shapeId="90130" r:id="rId21" name="Button 18">
              <controlPr defaultSize="0" print="0" autoFill="0" autoPict="0" macro="[0]!AjouterNouvelleLignePersonaliseeM2">
                <anchor moveWithCells="1" sizeWithCells="1">
                  <from>
                    <xdr:col>1</xdr:col>
                    <xdr:colOff>1866900</xdr:colOff>
                    <xdr:row>38</xdr:row>
                    <xdr:rowOff>533400</xdr:rowOff>
                  </from>
                  <to>
                    <xdr:col>2</xdr:col>
                    <xdr:colOff>38100</xdr:colOff>
                    <xdr:row>38</xdr:row>
                    <xdr:rowOff>901700</xdr:rowOff>
                  </to>
                </anchor>
              </controlPr>
            </control>
          </mc:Choice>
        </mc:AlternateContent>
        <mc:AlternateContent xmlns:mc="http://schemas.openxmlformats.org/markup-compatibility/2006">
          <mc:Choice Requires="x14">
            <control shapeId="90131" r:id="rId22" name="Button 19">
              <controlPr defaultSize="0" print="0" autoFill="0" autoPict="0" macro="[0]!AjouterNouvelleLigneAutomatiqueOPE">
                <anchor moveWithCells="1" sizeWithCells="1">
                  <from>
                    <xdr:col>1</xdr:col>
                    <xdr:colOff>25400</xdr:colOff>
                    <xdr:row>10</xdr:row>
                    <xdr:rowOff>361950</xdr:rowOff>
                  </from>
                  <to>
                    <xdr:col>1</xdr:col>
                    <xdr:colOff>1054100</xdr:colOff>
                    <xdr:row>10</xdr:row>
                    <xdr:rowOff>723900</xdr:rowOff>
                  </to>
                </anchor>
              </controlPr>
            </control>
          </mc:Choice>
        </mc:AlternateContent>
        <mc:AlternateContent xmlns:mc="http://schemas.openxmlformats.org/markup-compatibility/2006">
          <mc:Choice Requires="x14">
            <control shapeId="90132" r:id="rId23" name="Button 20">
              <controlPr defaultSize="0" print="0" autoFill="0" autoPict="0" macro="[0]!SupprimerLignesAutomatiquesOPE">
                <anchor moveWithCells="1" sizeWithCells="1">
                  <from>
                    <xdr:col>1</xdr:col>
                    <xdr:colOff>1079500</xdr:colOff>
                    <xdr:row>10</xdr:row>
                    <xdr:rowOff>349250</xdr:rowOff>
                  </from>
                  <to>
                    <xdr:col>1</xdr:col>
                    <xdr:colOff>2165350</xdr:colOff>
                    <xdr:row>10</xdr:row>
                    <xdr:rowOff>736600</xdr:rowOff>
                  </to>
                </anchor>
              </controlPr>
            </control>
          </mc:Choice>
        </mc:AlternateContent>
        <mc:AlternateContent xmlns:mc="http://schemas.openxmlformats.org/markup-compatibility/2006">
          <mc:Choice Requires="x14">
            <control shapeId="90133" r:id="rId24" name="Button 21">
              <controlPr defaultSize="0" print="0" autoFill="0" autoPict="0" macro="[0]!AjouterNouvelleLignePersonaliseeOPE">
                <anchor moveWithCells="1" sizeWithCells="1">
                  <from>
                    <xdr:col>1</xdr:col>
                    <xdr:colOff>2190750</xdr:colOff>
                    <xdr:row>10</xdr:row>
                    <xdr:rowOff>336550</xdr:rowOff>
                  </from>
                  <to>
                    <xdr:col>1</xdr:col>
                    <xdr:colOff>3930650</xdr:colOff>
                    <xdr:row>10</xdr:row>
                    <xdr:rowOff>736600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61CAA2C1-9191-4BCB-A860-00A39F48BD27}">
          <x14:formula1>
            <xm:f>'BPU - 5 titulaires Taux horaire'!$A$4:$A$10</xm:f>
          </x14:formula1>
          <xm:sqref>A13:A14</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4568-09AB-477A-B348-EDC51DAFA847}">
  <sheetPr codeName="Feuil16"/>
  <dimension ref="A1:T120"/>
  <sheetViews>
    <sheetView tabSelected="1" topLeftCell="A54" zoomScale="80" zoomScaleNormal="85" workbookViewId="0">
      <selection activeCell="G60" sqref="G60"/>
    </sheetView>
  </sheetViews>
  <sheetFormatPr defaultColWidth="11.42578125" defaultRowHeight="14.45"/>
  <cols>
    <col min="1" max="1" width="45.85546875" customWidth="1"/>
    <col min="2" max="2" width="62.140625" customWidth="1"/>
    <col min="3" max="3" width="20" customWidth="1"/>
    <col min="4" max="4" width="14.140625" customWidth="1"/>
    <col min="5" max="5" width="14.42578125" customWidth="1"/>
    <col min="6" max="6" width="26.140625" customWidth="1"/>
    <col min="7" max="7" width="15.42578125" customWidth="1"/>
    <col min="8" max="8" width="24.5703125" customWidth="1"/>
    <col min="9" max="9" width="17.42578125" customWidth="1"/>
    <col min="10" max="10" width="22.140625" customWidth="1"/>
    <col min="11" max="11" width="15.28515625" customWidth="1"/>
    <col min="12" max="12" width="19.85546875" customWidth="1"/>
    <col min="13" max="13" width="16" customWidth="1"/>
    <col min="14" max="14" width="20.140625" customWidth="1"/>
    <col min="15" max="15" width="16.28515625" customWidth="1"/>
    <col min="16" max="16" width="18.5703125" customWidth="1"/>
    <col min="17" max="17" width="17.5703125" customWidth="1"/>
    <col min="18" max="18" width="39.85546875" customWidth="1"/>
    <col min="19" max="19" width="57.140625" customWidth="1"/>
    <col min="20" max="20" width="20.28515625" customWidth="1"/>
    <col min="22" max="22" width="24" customWidth="1"/>
  </cols>
  <sheetData>
    <row r="1" spans="1:20">
      <c r="A1" t="s">
        <v>5928</v>
      </c>
      <c r="B1" s="158" t="s">
        <v>2</v>
      </c>
    </row>
    <row r="2" spans="1:20" ht="15.6" customHeight="1">
      <c r="T2" t="s">
        <v>3</v>
      </c>
    </row>
    <row r="3" spans="1:20">
      <c r="T3" t="s">
        <v>4</v>
      </c>
    </row>
    <row r="5" spans="1:20" ht="30.6" customHeight="1" thickBot="1">
      <c r="I5" s="635" t="s">
        <v>5</v>
      </c>
      <c r="T5" t="s">
        <v>6</v>
      </c>
    </row>
    <row r="6" spans="1:20" ht="61.5" customHeight="1" thickBot="1">
      <c r="A6" s="653"/>
      <c r="B6" s="655" t="s">
        <v>7</v>
      </c>
      <c r="C6" s="645"/>
      <c r="D6" s="645"/>
      <c r="E6" s="646"/>
      <c r="F6" s="636"/>
      <c r="G6" s="644" t="s">
        <v>8</v>
      </c>
      <c r="H6" s="646"/>
      <c r="I6" s="644" t="s">
        <v>9</v>
      </c>
      <c r="J6" s="645"/>
      <c r="K6" s="644" t="s">
        <v>10</v>
      </c>
      <c r="L6" s="645"/>
      <c r="M6" s="644" t="s">
        <v>11</v>
      </c>
      <c r="N6" s="645"/>
      <c r="O6" s="644" t="s">
        <v>12</v>
      </c>
      <c r="P6" s="646"/>
      <c r="T6" t="s">
        <v>13</v>
      </c>
    </row>
    <row r="7" spans="1:20" ht="39.75" customHeight="1" thickBot="1">
      <c r="A7" s="647" t="s">
        <v>14</v>
      </c>
      <c r="B7" s="647" t="s">
        <v>15</v>
      </c>
      <c r="C7" s="647" t="s">
        <v>16</v>
      </c>
      <c r="D7" s="647" t="s">
        <v>17</v>
      </c>
      <c r="E7" s="647" t="s">
        <v>18</v>
      </c>
      <c r="G7" s="647" t="s">
        <v>19</v>
      </c>
      <c r="H7" s="647" t="s">
        <v>20</v>
      </c>
      <c r="I7" s="647" t="s">
        <v>19</v>
      </c>
      <c r="J7" s="647" t="s">
        <v>20</v>
      </c>
      <c r="K7" s="647" t="s">
        <v>19</v>
      </c>
      <c r="L7" s="647" t="s">
        <v>20</v>
      </c>
      <c r="M7" s="647" t="s">
        <v>19</v>
      </c>
      <c r="N7" s="647" t="s">
        <v>20</v>
      </c>
      <c r="O7" s="647" t="s">
        <v>19</v>
      </c>
      <c r="P7" s="647" t="s">
        <v>20</v>
      </c>
    </row>
    <row r="8" spans="1:20" ht="39.75" customHeight="1" thickBot="1">
      <c r="A8" s="644" t="s">
        <v>21</v>
      </c>
      <c r="B8" s="645"/>
      <c r="C8" s="645"/>
      <c r="D8" s="645"/>
      <c r="E8" s="645"/>
      <c r="G8" s="648"/>
      <c r="H8" s="649"/>
      <c r="I8" s="649"/>
      <c r="J8" s="649"/>
      <c r="K8" s="649"/>
      <c r="L8" s="649"/>
      <c r="M8" s="649"/>
      <c r="N8" s="649"/>
      <c r="O8" s="649"/>
      <c r="P8" s="649"/>
    </row>
    <row r="9" spans="1:20" ht="51" customHeight="1">
      <c r="A9" s="125" t="s">
        <v>22</v>
      </c>
      <c r="B9" s="80">
        <f>IFERROR(VLOOKUP(A9,'BPU - 5 titulaires - PRESTATION'!A:C,2,FALSE),0)</f>
        <v>0</v>
      </c>
      <c r="C9" s="81">
        <f>IFERROR(VLOOKUP(A9,'BPU - 5 titulaires - PRESTATION'!A:C,3,FALSE),0)</f>
        <v>0</v>
      </c>
      <c r="D9" s="72" t="s">
        <v>4</v>
      </c>
      <c r="E9" s="61">
        <v>0</v>
      </c>
      <c r="G9" s="82">
        <f>IFERROR(IF(D9=$T$2,VLOOKUP(A9,'BPU - 5 titulaires - PRESTATION'!A:AF,14,FALSE),IF(D9=$T$3,VLOOKUP(A9,'BPU - 5 titulaires - PRESTATION'!A:AF,16,FALSE))),0)</f>
        <v>0</v>
      </c>
      <c r="H9" s="80">
        <f t="shared" ref="H9:H10" si="0">G9*E9</f>
        <v>0</v>
      </c>
      <c r="I9" s="81">
        <f>IFERROR(IF(D9=$T$2,VLOOKUP(A9,'BPU - 5 titulaires - PRESTATION'!A:AF,18,FALSE),IF(D9=$T$3,VLOOKUP(A9,'BPU - 5 titulaires - PRESTATION'!A:AF,20,FALSE))),0)</f>
        <v>0</v>
      </c>
      <c r="J9" s="81">
        <f t="shared" ref="J9:J10" si="1">E9*I9</f>
        <v>0</v>
      </c>
      <c r="K9" s="80">
        <f>IFERROR(IF(D9=$T$2,VLOOKUP(A9,'BPU - 5 titulaires - PRESTATION'!A:AF,22,FALSE),IF(D9=$T$3,VLOOKUP(A9,'BPU - 5 titulaires - PRESTATION'!A:AF,24,FALSE))),0)</f>
        <v>0</v>
      </c>
      <c r="L9" s="81">
        <f t="shared" ref="L9:L10" si="2">K9*E9</f>
        <v>0</v>
      </c>
      <c r="M9" s="80">
        <f>IFERROR(IF(D9=$T$2,VLOOKUP(A9,'BPU - 5 titulaires - PRESTATION'!A:AF,26,FALSE),IF(D9=$T$3,VLOOKUP(A9,'BPU - 5 titulaires - PRESTATION'!A:AF,28,FALSE))),0)</f>
        <v>0</v>
      </c>
      <c r="N9" s="81">
        <f t="shared" ref="N9:N10" si="3">M9*E9</f>
        <v>0</v>
      </c>
      <c r="O9" s="81">
        <f>IFERROR(IF(D9=$T$2,VLOOKUP(A9,'BPU - 5 titulaires - PRESTATION'!A:AF,30,FALSE),IF(D9=$T$3,VLOOKUP(A9,'BPU - 5 titulaires - PRESTATION'!A:AF,32,FALSE))),0)</f>
        <v>0</v>
      </c>
      <c r="P9" s="80">
        <f>E9*O9</f>
        <v>0</v>
      </c>
    </row>
    <row r="10" spans="1:20" ht="51" customHeight="1" thickBot="1">
      <c r="A10" s="125" t="s">
        <v>22</v>
      </c>
      <c r="B10" s="80">
        <f>IFERROR(VLOOKUP(A10,'BPU - 5 titulaires - PRESTATION'!A:C,2,FALSE),0)</f>
        <v>0</v>
      </c>
      <c r="C10" s="81">
        <f>IFERROR(VLOOKUP(A10,'BPU - 5 titulaires - PRESTATION'!A:C,3,FALSE),0)</f>
        <v>0</v>
      </c>
      <c r="D10" s="72" t="s">
        <v>4</v>
      </c>
      <c r="E10" s="61"/>
      <c r="G10" s="82">
        <f>IFERROR(IF(D10=$T$2,VLOOKUP(A10,'BPU - 5 titulaires - PRESTATION'!A:AF,14,FALSE),IF(D10=$T$3,VLOOKUP(A10,'BPU - 5 titulaires - PRESTATION'!A:AF,16,FALSE))),0)</f>
        <v>0</v>
      </c>
      <c r="H10" s="80">
        <f t="shared" si="0"/>
        <v>0</v>
      </c>
      <c r="I10" s="81">
        <f>IFERROR(IF(D10=$T$2,VLOOKUP(A10,'BPU - 5 titulaires - PRESTATION'!A:AF,18,FALSE),IF(D10=$T$3,VLOOKUP(A10,'BPU - 5 titulaires - PRESTATION'!A:AF,20,FALSE))),0)</f>
        <v>0</v>
      </c>
      <c r="J10" s="81">
        <f t="shared" si="1"/>
        <v>0</v>
      </c>
      <c r="K10" s="80">
        <f>IFERROR(IF(D10=$T$2,VLOOKUP(A10,'BPU - 5 titulaires - PRESTATION'!A:AF,22,FALSE),IF(D10=$T$3,VLOOKUP(A10,'BPU - 5 titulaires - PRESTATION'!A:AF,24,FALSE))),0)</f>
        <v>0</v>
      </c>
      <c r="L10" s="81">
        <f t="shared" si="2"/>
        <v>0</v>
      </c>
      <c r="M10" s="80">
        <f>IFERROR(IF(D10=$T$2,VLOOKUP(A10,'BPU - 5 titulaires - PRESTATION'!A:AF,26,FALSE),IF(D10=$T$3,VLOOKUP(A10,'BPU - 5 titulaires - PRESTATION'!A:AF,28,FALSE))),0)</f>
        <v>0</v>
      </c>
      <c r="N10" s="81">
        <f t="shared" si="3"/>
        <v>0</v>
      </c>
      <c r="O10" s="81">
        <f>IFERROR(IF(D10=$T$2,VLOOKUP(A10,'BPU - 5 titulaires - PRESTATION'!A:AF,30,FALSE),IF(D10=$T$3,VLOOKUP(A10,'BPU - 5 titulaires - PRESTATION'!A:AF,32,FALSE))),0)</f>
        <v>0</v>
      </c>
      <c r="P10" s="80">
        <f>E10*O10</f>
        <v>0</v>
      </c>
    </row>
    <row r="11" spans="1:20" ht="68.45" customHeight="1" thickBot="1">
      <c r="A11" s="644"/>
      <c r="B11" s="672" t="s">
        <v>23</v>
      </c>
      <c r="C11" s="645"/>
      <c r="D11" s="645"/>
      <c r="E11" s="645"/>
      <c r="G11" s="650"/>
      <c r="H11" s="647"/>
      <c r="I11" s="647"/>
      <c r="J11" s="647"/>
      <c r="K11" s="647"/>
      <c r="L11" s="647"/>
      <c r="M11" s="647"/>
      <c r="N11" s="647"/>
      <c r="O11" s="647"/>
      <c r="P11" s="647"/>
    </row>
    <row r="12" spans="1:20" ht="49.5" customHeight="1" thickBot="1">
      <c r="A12" s="647" t="s">
        <v>24</v>
      </c>
      <c r="B12" s="647" t="s">
        <v>25</v>
      </c>
      <c r="C12" s="647" t="s">
        <v>26</v>
      </c>
      <c r="D12" s="647" t="s">
        <v>17</v>
      </c>
      <c r="E12" s="647" t="s">
        <v>18</v>
      </c>
      <c r="G12" s="647"/>
      <c r="H12" s="647"/>
      <c r="I12" s="647"/>
      <c r="J12" s="647"/>
      <c r="K12" s="647"/>
      <c r="L12" s="647"/>
      <c r="M12" s="647"/>
      <c r="N12" s="647"/>
      <c r="O12" s="647"/>
      <c r="P12" s="647"/>
    </row>
    <row r="13" spans="1:20" ht="47.1" customHeight="1">
      <c r="A13" s="72" t="s">
        <v>27</v>
      </c>
      <c r="B13" s="72"/>
      <c r="C13" s="72"/>
      <c r="D13" s="72" t="s">
        <v>4</v>
      </c>
      <c r="E13" s="61"/>
      <c r="G13" s="82">
        <f>IFERROR(IF(D13=$T$2,VLOOKUP(A13,'BPU - 5 titulaires Taux horaire'!$A$4:$X$10,11,FALSE),IF(D13=$T$3,VLOOKUP(A13,'BPU - 5 titulaires Taux horaire'!$A$4:$X$10,12,FALSE))),0)*C13</f>
        <v>0</v>
      </c>
      <c r="H13" s="80">
        <f t="shared" ref="H13:H14" si="4">G13*E13</f>
        <v>0</v>
      </c>
      <c r="I13" s="81">
        <f>IFERROR(IF(D13=$T$2,VLOOKUP(A13,'BPU - 5 titulaires Taux horaire'!$A$4:$X$10,14,FALSE),IF(D13=$T$3,VLOOKUP(A13,'BPU - 5 titulaires Taux horaire'!$A$4:$X$10,15,FALSE))),0)*C13</f>
        <v>0</v>
      </c>
      <c r="J13" s="81">
        <f t="shared" ref="J13:J14" si="5">E13*I13</f>
        <v>0</v>
      </c>
      <c r="K13" s="80">
        <f>IFERROR(IF(D13=$T$2,VLOOKUP(A13,'BPU - 5 titulaires Taux horaire'!$A$4:$X$10,17,FALSE),IF(D13=$T$3,VLOOKUP(A13,'BPU - 5 titulaires Taux horaire'!$A$4:$X$10,18,FALSE))),0)*C13</f>
        <v>0</v>
      </c>
      <c r="L13" s="81">
        <f t="shared" ref="L13:L14" si="6">K13*E13</f>
        <v>0</v>
      </c>
      <c r="M13" s="80">
        <f>IFERROR(IF(D13=$T$2,VLOOKUP(A13,'BPU - 5 titulaires Taux horaire'!$A$4:$X$10,20,FALSE),IF(D13=$T$3,VLOOKUP(A13,'BPU - 5 titulaires Taux horaire'!$A$4:$X$10,21,FALSE))),0)*C13</f>
        <v>0</v>
      </c>
      <c r="N13" s="81">
        <f t="shared" ref="N13:N14" si="7">M13*E13</f>
        <v>0</v>
      </c>
      <c r="O13" s="81">
        <f>IFERROR(IF(D13=$T$2,VLOOKUP(A13,'BPU - 5 titulaires Taux horaire'!$A$4:$X$10,23,FALSE),IF(D13=$T$3,VLOOKUP(A13,'BPU - 5 titulaires Taux horaire'!$A$4:$X$10,24,FALSE))),0)*C13</f>
        <v>0</v>
      </c>
      <c r="P13" s="80">
        <f>E13*O13</f>
        <v>0</v>
      </c>
    </row>
    <row r="14" spans="1:20" ht="47.1" customHeight="1" thickBot="1">
      <c r="A14" s="72" t="s">
        <v>27</v>
      </c>
      <c r="B14" s="72"/>
      <c r="C14" s="72"/>
      <c r="D14" s="72" t="s">
        <v>4</v>
      </c>
      <c r="E14" s="61"/>
      <c r="G14" s="82">
        <f>IFERROR(IF(D14=$T$2,VLOOKUP(A14,'BPU - 5 titulaires Taux horaire'!$A$4:$X$10,11,FALSE),IF(D14=$T$3,VLOOKUP(A14,'BPU - 5 titulaires Taux horaire'!$A$4:$X$10,12,FALSE))),0)*C14</f>
        <v>0</v>
      </c>
      <c r="H14" s="80">
        <f t="shared" si="4"/>
        <v>0</v>
      </c>
      <c r="I14" s="81">
        <f>IFERROR(IF(D14=$T$2,VLOOKUP(A14,'BPU - 5 titulaires Taux horaire'!$A$4:$X$10,14,FALSE),IF(D14=$T$3,VLOOKUP(A14,'BPU - 5 titulaires Taux horaire'!$A$4:$X$10,15,FALSE))),0)*C14</f>
        <v>0</v>
      </c>
      <c r="J14" s="81">
        <f t="shared" si="5"/>
        <v>0</v>
      </c>
      <c r="K14" s="80">
        <f>IFERROR(IF(D14=$T$2,VLOOKUP(A14,'BPU - 5 titulaires Taux horaire'!$A$4:$X$10,17,FALSE),IF(D14=$T$3,VLOOKUP(A14,'BPU - 5 titulaires Taux horaire'!$A$4:$X$10,18,FALSE))),0)*C14</f>
        <v>0</v>
      </c>
      <c r="L14" s="81">
        <f t="shared" si="6"/>
        <v>0</v>
      </c>
      <c r="M14" s="80">
        <f>IFERROR(IF(D14=$T$2,VLOOKUP(A14,'BPU - 5 titulaires Taux horaire'!$A$4:$X$10,20,FALSE),IF(D14=$T$3,VLOOKUP(A14,'BPU - 5 titulaires Taux horaire'!$A$4:$X$10,21,FALSE))),0)*C14</f>
        <v>0</v>
      </c>
      <c r="N14" s="81">
        <f t="shared" si="7"/>
        <v>0</v>
      </c>
      <c r="O14" s="81">
        <f>IFERROR(IF(D14=$T$2,VLOOKUP(A14,'BPU - 5 titulaires Taux horaire'!$A$4:$X$10,23,FALSE),IF(D14=$T$3,VLOOKUP(A14,'BPU - 5 titulaires Taux horaire'!$A$4:$X$10,24,FALSE))),0)*C14</f>
        <v>0</v>
      </c>
      <c r="P14" s="80">
        <f>E14*O14</f>
        <v>0</v>
      </c>
    </row>
    <row r="15" spans="1:20" ht="32.450000000000003" customHeight="1" thickBot="1">
      <c r="A15" s="644"/>
      <c r="B15" s="645" t="s">
        <v>28</v>
      </c>
      <c r="C15" s="645"/>
      <c r="D15" s="645"/>
      <c r="E15" s="646"/>
      <c r="G15" t="s">
        <v>29</v>
      </c>
      <c r="H15" s="159">
        <f>SUM(H8:H14)</f>
        <v>0</v>
      </c>
      <c r="I15" t="s">
        <v>30</v>
      </c>
      <c r="J15" s="159">
        <f>SUM(J8:J14)</f>
        <v>0</v>
      </c>
      <c r="K15" t="s">
        <v>31</v>
      </c>
      <c r="L15" s="159">
        <f>SUM(L8:L14)</f>
        <v>0</v>
      </c>
      <c r="M15" t="s">
        <v>32</v>
      </c>
      <c r="N15" s="159">
        <f>SUM(N8:N14)</f>
        <v>0</v>
      </c>
      <c r="O15" t="s">
        <v>33</v>
      </c>
      <c r="P15" s="637">
        <f>SUM(P8:P14)</f>
        <v>0</v>
      </c>
    </row>
    <row r="16" spans="1:20" ht="35.450000000000003" customHeight="1">
      <c r="A16" s="167"/>
      <c r="P16" s="638"/>
    </row>
    <row r="17" spans="1:16" ht="42.95" customHeight="1" thickBot="1">
      <c r="A17" s="167"/>
      <c r="P17" s="638"/>
    </row>
    <row r="18" spans="1:16" ht="47.45" customHeight="1" thickBot="1">
      <c r="A18" s="653"/>
      <c r="B18" s="654" t="s">
        <v>34</v>
      </c>
      <c r="C18" s="645"/>
      <c r="D18" s="645"/>
      <c r="E18" s="646"/>
      <c r="G18" s="644" t="s">
        <v>8</v>
      </c>
      <c r="H18" s="646"/>
      <c r="I18" s="644" t="s">
        <v>35</v>
      </c>
      <c r="J18" s="645"/>
      <c r="K18" s="644" t="s">
        <v>10</v>
      </c>
      <c r="L18" s="645"/>
      <c r="M18" s="644" t="s">
        <v>11</v>
      </c>
      <c r="N18" s="645"/>
      <c r="O18" s="644" t="s">
        <v>12</v>
      </c>
      <c r="P18" s="646"/>
    </row>
    <row r="19" spans="1:16" ht="45.6" customHeight="1" thickBot="1">
      <c r="A19" s="647" t="s">
        <v>14</v>
      </c>
      <c r="B19" s="647" t="s">
        <v>15</v>
      </c>
      <c r="C19" s="647" t="s">
        <v>16</v>
      </c>
      <c r="D19" s="647" t="s">
        <v>36</v>
      </c>
      <c r="E19" s="647"/>
      <c r="G19" s="644" t="s">
        <v>37</v>
      </c>
      <c r="H19" s="646"/>
      <c r="I19" s="644" t="s">
        <v>37</v>
      </c>
      <c r="J19" s="646"/>
      <c r="K19" s="644" t="s">
        <v>37</v>
      </c>
      <c r="L19" s="646"/>
      <c r="M19" s="644" t="s">
        <v>37</v>
      </c>
      <c r="N19" s="646"/>
      <c r="O19" s="644" t="s">
        <v>37</v>
      </c>
      <c r="P19" s="646"/>
    </row>
    <row r="20" spans="1:16" ht="53.45" customHeight="1">
      <c r="A20" s="160" t="s">
        <v>38</v>
      </c>
      <c r="B20" s="161" t="s">
        <v>39</v>
      </c>
      <c r="C20" s="162" t="s">
        <v>40</v>
      </c>
      <c r="D20" s="72" t="s">
        <v>13</v>
      </c>
      <c r="E20" s="61"/>
      <c r="G20" s="163">
        <f>'BPU - 5 titulaires - PRESTATION'!N373</f>
        <v>568.38100000000009</v>
      </c>
      <c r="H20" s="80">
        <f>IF($D20=$T$5,G20,0)</f>
        <v>0</v>
      </c>
      <c r="I20" s="163">
        <f>'BPU - 5 titulaires - PRESTATION'!R373</f>
        <v>925.7600000000001</v>
      </c>
      <c r="J20" s="80">
        <f>IF($D20=$T$5,I20,0)</f>
        <v>0</v>
      </c>
      <c r="K20" s="163">
        <f>'BPU - 5 titulaires - PRESTATION'!V373</f>
        <v>602.48100000000011</v>
      </c>
      <c r="L20" s="80">
        <f>IF($D20=$T$5,K20,0)</f>
        <v>0</v>
      </c>
      <c r="M20" s="163">
        <f>'BPU - 5 titulaires - PRESTATION'!Z373</f>
        <v>437.8</v>
      </c>
      <c r="N20" s="80">
        <f>IF($D20=$T$5,M20,0)</f>
        <v>0</v>
      </c>
      <c r="O20" s="163">
        <f>'BPU - 5 titulaires - PRESTATION'!AD373</f>
        <v>536.80000000000007</v>
      </c>
      <c r="P20" s="80">
        <f>IF($D20=$T$5,O20,0)</f>
        <v>0</v>
      </c>
    </row>
    <row r="21" spans="1:16" ht="40.5" customHeight="1">
      <c r="A21" s="160" t="s">
        <v>41</v>
      </c>
      <c r="B21" s="161" t="s">
        <v>42</v>
      </c>
      <c r="C21" s="162" t="s">
        <v>43</v>
      </c>
      <c r="D21" s="72" t="s">
        <v>13</v>
      </c>
      <c r="E21" s="61"/>
      <c r="G21" s="164">
        <f>'BPU - 5 titulaires - PRESTATION'!N374</f>
        <v>4.4000000000000004E-2</v>
      </c>
      <c r="H21" s="80">
        <f>IF($D21=$T$5,H$15*G21,0)</f>
        <v>0</v>
      </c>
      <c r="I21" s="164">
        <f>'BPU - 5 titulaires - PRESTATION'!R374</f>
        <v>2.2000000000000002E-2</v>
      </c>
      <c r="J21" s="80">
        <f>IF($D21=$T$5,J$15*I21,0)</f>
        <v>0</v>
      </c>
      <c r="K21" s="164">
        <f>'BPU - 5 titulaires - PRESTATION'!V374</f>
        <v>0.11000000000000001</v>
      </c>
      <c r="L21" s="80">
        <f>IF($D21=$T$5,L$15*K21,0)</f>
        <v>0</v>
      </c>
      <c r="M21" s="164">
        <f>'BPU - 5 titulaires - PRESTATION'!Z374</f>
        <v>2.7500000000000004E-2</v>
      </c>
      <c r="N21" s="80">
        <f>IF($D21=$T$5,N$15*M21,0)</f>
        <v>0</v>
      </c>
      <c r="O21" s="164">
        <f>'BPU - 5 titulaires - PRESTATION'!AD374</f>
        <v>2.2000000000000002E-2</v>
      </c>
      <c r="P21" s="80">
        <f>IF($D21=$T$5,P$15*O21,0)</f>
        <v>0</v>
      </c>
    </row>
    <row r="22" spans="1:16" ht="40.5" customHeight="1">
      <c r="A22" s="160" t="s">
        <v>44</v>
      </c>
      <c r="B22" s="161" t="s">
        <v>45</v>
      </c>
      <c r="C22" s="162" t="s">
        <v>43</v>
      </c>
      <c r="D22" s="72" t="s">
        <v>13</v>
      </c>
      <c r="E22" s="61"/>
      <c r="G22" s="164">
        <f>'BPU - 5 titulaires - PRESTATION'!N375</f>
        <v>5.5000000000000007E-2</v>
      </c>
      <c r="H22" s="80">
        <f>IF($D22=$T$5,H$15*G22,0)</f>
        <v>0</v>
      </c>
      <c r="I22" s="164">
        <f>'BPU - 5 titulaires - PRESTATION'!R375</f>
        <v>3.3000000000000002E-2</v>
      </c>
      <c r="J22" s="80">
        <f>IF($D22=$T$5,J$15*I22,0)</f>
        <v>0</v>
      </c>
      <c r="K22" s="164">
        <f>'BPU - 5 titulaires - PRESTATION'!V375</f>
        <v>0.22000000000000003</v>
      </c>
      <c r="L22" s="80">
        <f>IF($D22=$T$5,L$15*K22,0)</f>
        <v>0</v>
      </c>
      <c r="M22" s="164">
        <f>'BPU - 5 titulaires - PRESTATION'!Z375</f>
        <v>0.27500000000000002</v>
      </c>
      <c r="N22" s="80">
        <f>IF($D22=$T$5,N$15*M22,0)</f>
        <v>0</v>
      </c>
      <c r="O22" s="164">
        <f>'BPU - 5 titulaires - PRESTATION'!AD375</f>
        <v>0.19800000000000001</v>
      </c>
      <c r="P22" s="80">
        <f>IF($D22=$T$5,P$15*O22,0)</f>
        <v>0</v>
      </c>
    </row>
    <row r="23" spans="1:16" ht="32.1" customHeight="1">
      <c r="A23" s="160" t="s">
        <v>46</v>
      </c>
      <c r="B23" s="161" t="s">
        <v>47</v>
      </c>
      <c r="C23" s="162" t="s">
        <v>40</v>
      </c>
      <c r="D23" s="72" t="s">
        <v>13</v>
      </c>
      <c r="E23" s="61"/>
      <c r="G23" s="163">
        <f>'BPU - 5 titulaires - PRESTATION'!N394</f>
        <v>1085.5900000000001</v>
      </c>
      <c r="H23" s="80">
        <f>IF($D23=$T$5,G23,0)</f>
        <v>0</v>
      </c>
      <c r="I23" s="163">
        <f>'BPU - 5 titulaires - PRESTATION'!R394</f>
        <v>638.26400000000001</v>
      </c>
      <c r="J23" s="80">
        <f>IF($D23=$T$5,I23,0)</f>
        <v>0</v>
      </c>
      <c r="K23" s="163">
        <f>'BPU - 5 titulaires - PRESTATION'!V394</f>
        <v>452.83700000000005</v>
      </c>
      <c r="L23" s="80">
        <f>IF($D23=$T$5,K23,0)</f>
        <v>0</v>
      </c>
      <c r="M23" s="163">
        <f>'BPU - 5 titulaires - PRESTATION'!Z394</f>
        <v>489.50000000000006</v>
      </c>
      <c r="N23" s="80">
        <f>IF($D23=$T$5,M23,0)</f>
        <v>0</v>
      </c>
      <c r="O23" s="163">
        <f>'BPU - 5 titulaires - PRESTATION'!AD394</f>
        <v>613.80000000000007</v>
      </c>
      <c r="P23" s="80">
        <f>IF($D23=$T$5,O23,0)</f>
        <v>0</v>
      </c>
    </row>
    <row r="24" spans="1:16" ht="37.5" customHeight="1">
      <c r="A24" s="160" t="s">
        <v>48</v>
      </c>
      <c r="B24" s="161" t="s">
        <v>49</v>
      </c>
      <c r="C24" s="162" t="s">
        <v>43</v>
      </c>
      <c r="D24" s="72" t="s">
        <v>13</v>
      </c>
      <c r="E24" s="61"/>
      <c r="G24" s="164">
        <f>'BPU - 5 titulaires - PRESTATION'!N395</f>
        <v>0.55000000000000004</v>
      </c>
      <c r="H24" s="80">
        <f>IF($D24=$T$5,H$15*G24,0)</f>
        <v>0</v>
      </c>
      <c r="I24" s="164">
        <f>'BPU - 5 titulaires - PRESTATION'!R395</f>
        <v>0.19800000000000001</v>
      </c>
      <c r="J24" s="80">
        <f>IF($D24=$T$5,J$15*I24,0)</f>
        <v>0</v>
      </c>
      <c r="K24" s="164">
        <f>'BPU - 5 titulaires - PRESTATION'!V395</f>
        <v>2.2000000000000002E-2</v>
      </c>
      <c r="L24" s="80">
        <f>IF($D24=$T$5,L$15*K24,0)</f>
        <v>0</v>
      </c>
      <c r="M24" s="164">
        <f>'BPU - 5 titulaires - PRESTATION'!Z395</f>
        <v>1.1000000000000001E-2</v>
      </c>
      <c r="N24" s="80">
        <f>IF($D24=$T$5,N$15*M24,0)</f>
        <v>0</v>
      </c>
      <c r="O24" s="164">
        <f>'BPU - 5 titulaires - PRESTATION'!AD395</f>
        <v>0.16500000000000001</v>
      </c>
      <c r="P24" s="80">
        <f>IF($D24=$T$5,P$15*O24,0)</f>
        <v>0</v>
      </c>
    </row>
    <row r="25" spans="1:16" ht="36" customHeight="1">
      <c r="A25" s="160" t="s">
        <v>50</v>
      </c>
      <c r="B25" s="161" t="s">
        <v>51</v>
      </c>
      <c r="C25" s="162" t="s">
        <v>43</v>
      </c>
      <c r="D25" s="72" t="s">
        <v>13</v>
      </c>
      <c r="E25" s="61"/>
      <c r="G25" s="164">
        <f>'BPU - 5 titulaires - PRESTATION'!N396</f>
        <v>5.5000000000000007E-2</v>
      </c>
      <c r="H25" s="80">
        <f>IF($D25=$T$5,H$15*G25,0)</f>
        <v>0</v>
      </c>
      <c r="I25" s="164">
        <f>'BPU - 5 titulaires - PRESTATION'!R396</f>
        <v>3.3000000000000002E-2</v>
      </c>
      <c r="J25" s="80">
        <f>IF($D25=$T$5,J$15*I25,0)</f>
        <v>0</v>
      </c>
      <c r="K25" s="164">
        <f>'BPU - 5 titulaires - PRESTATION'!V396</f>
        <v>2.2000000000000002E-2</v>
      </c>
      <c r="L25" s="80">
        <f>IF($D25=$T$5,L$15*K25,0)</f>
        <v>0</v>
      </c>
      <c r="M25" s="164">
        <f>'BPU - 5 titulaires - PRESTATION'!Z396</f>
        <v>1.1000000000000001E-2</v>
      </c>
      <c r="N25" s="80">
        <f>IF($D25=$T$5,N$15*M25,0)</f>
        <v>0</v>
      </c>
      <c r="O25" s="164">
        <f>'BPU - 5 titulaires - PRESTATION'!AD396</f>
        <v>0.16500000000000001</v>
      </c>
      <c r="P25" s="80">
        <f>IF($D25=$T$5,P$15*O25,0)</f>
        <v>0</v>
      </c>
    </row>
    <row r="26" spans="1:16" ht="57.95" customHeight="1">
      <c r="A26" s="160" t="s">
        <v>52</v>
      </c>
      <c r="B26" s="161" t="s">
        <v>53</v>
      </c>
      <c r="C26" s="162" t="s">
        <v>43</v>
      </c>
      <c r="D26" s="72" t="s">
        <v>13</v>
      </c>
      <c r="E26" s="61"/>
      <c r="G26" s="164">
        <f>'BPU - 5 titulaires - PRESTATION'!N397</f>
        <v>6.6000000000000003E-2</v>
      </c>
      <c r="H26" s="80">
        <f>IF($D26=$T$5,H$15*G26,0)</f>
        <v>0</v>
      </c>
      <c r="I26" s="164">
        <f>'BPU - 5 titulaires - PRESTATION'!R397</f>
        <v>0.16500000000000001</v>
      </c>
      <c r="J26" s="80">
        <f>IF($D26=$T$5,J$15*I26,0)</f>
        <v>0</v>
      </c>
      <c r="K26" s="164">
        <f>'BPU - 5 titulaires - PRESTATION'!V397</f>
        <v>2.2000000000000002E-2</v>
      </c>
      <c r="L26" s="80">
        <f>IF($D26=$T$5,L$15*K26,0)</f>
        <v>0</v>
      </c>
      <c r="M26" s="164">
        <f>'BPU - 5 titulaires - PRESTATION'!Z397</f>
        <v>1.1000000000000001E-2</v>
      </c>
      <c r="N26" s="80">
        <f>IF($D26=$T$5,N$15*M26,0)</f>
        <v>0</v>
      </c>
      <c r="O26" s="164">
        <f>'BPU - 5 titulaires - PRESTATION'!AD397</f>
        <v>0.16500000000000001</v>
      </c>
      <c r="P26" s="80">
        <f>IF($D26=$T$5,P$15*O26,0)</f>
        <v>0</v>
      </c>
    </row>
    <row r="27" spans="1:16" ht="32.1" customHeight="1">
      <c r="A27" s="160" t="s">
        <v>54</v>
      </c>
      <c r="B27" s="161" t="s">
        <v>55</v>
      </c>
      <c r="C27" s="162" t="s">
        <v>43</v>
      </c>
      <c r="D27" s="72" t="s">
        <v>13</v>
      </c>
      <c r="E27" s="61"/>
      <c r="G27" s="164">
        <f>'BPU - 5 titulaires - PRESTATION'!N398</f>
        <v>3.3000000000000002E-2</v>
      </c>
      <c r="H27" s="80">
        <f>IF($D27=$T$5,H$15*G27,0)</f>
        <v>0</v>
      </c>
      <c r="I27" s="164">
        <f>'BPU - 5 titulaires - PRESTATION'!R398</f>
        <v>0.16500000000000001</v>
      </c>
      <c r="J27" s="80">
        <f>IF($D27=$T$5,J$15*I27,0)</f>
        <v>0</v>
      </c>
      <c r="K27" s="164">
        <f>'BPU - 5 titulaires - PRESTATION'!V398</f>
        <v>2.2000000000000002E-2</v>
      </c>
      <c r="L27" s="80">
        <f>IF($D27=$T$5,L$15*K27,0)</f>
        <v>0</v>
      </c>
      <c r="M27" s="164">
        <f>'BPU - 5 titulaires - PRESTATION'!Z398</f>
        <v>1.1000000000000001E-2</v>
      </c>
      <c r="N27" s="80">
        <f>IF($D27=$T$5,N$15*M27,0)</f>
        <v>0</v>
      </c>
      <c r="O27" s="164">
        <f>'BPU - 5 titulaires - PRESTATION'!AD398</f>
        <v>0.16500000000000001</v>
      </c>
      <c r="P27" s="80">
        <f>IF($D27=$T$5,P$15*O27,0)</f>
        <v>0</v>
      </c>
    </row>
    <row r="28" spans="1:16" ht="32.1" customHeight="1">
      <c r="A28" s="160" t="s">
        <v>56</v>
      </c>
      <c r="B28" s="161" t="s">
        <v>57</v>
      </c>
      <c r="C28" s="162" t="s">
        <v>43</v>
      </c>
      <c r="D28" s="72" t="s">
        <v>13</v>
      </c>
      <c r="E28" s="61"/>
      <c r="G28" s="164">
        <f>'BPU - 5 titulaires - PRESTATION'!N399</f>
        <v>4.4000000000000004E-2</v>
      </c>
      <c r="H28" s="80">
        <f>IF($D28=$T$5,H$15*G28,0)</f>
        <v>0</v>
      </c>
      <c r="I28" s="164">
        <f>'BPU - 5 titulaires - PRESTATION'!R399</f>
        <v>0.27500000000000002</v>
      </c>
      <c r="J28" s="80">
        <f>IF($D28=$T$5,J$15*I28,0)</f>
        <v>0</v>
      </c>
      <c r="K28" s="164">
        <f>'BPU - 5 titulaires - PRESTATION'!V399</f>
        <v>2.2000000000000002E-2</v>
      </c>
      <c r="L28" s="80">
        <f>IF($D28=$T$5,L$15*K28,0)</f>
        <v>0</v>
      </c>
      <c r="M28" s="164">
        <f>'BPU - 5 titulaires - PRESTATION'!Z399</f>
        <v>1.1000000000000001E-2</v>
      </c>
      <c r="N28" s="80">
        <f>IF($D28=$T$5,N$15*M28,0)</f>
        <v>0</v>
      </c>
      <c r="O28" s="164">
        <f>'BPU - 5 titulaires - PRESTATION'!AD399</f>
        <v>0.16500000000000001</v>
      </c>
      <c r="P28" s="80">
        <f>IF($D28=$T$5,P$15*O28,0)</f>
        <v>0</v>
      </c>
    </row>
    <row r="29" spans="1:16" ht="32.1" customHeight="1" thickBot="1">
      <c r="A29" s="167"/>
      <c r="P29" s="638"/>
    </row>
    <row r="30" spans="1:16" ht="32.1" customHeight="1" thickBot="1">
      <c r="A30" s="644"/>
      <c r="B30" s="645" t="s">
        <v>58</v>
      </c>
      <c r="C30" s="645"/>
      <c r="D30" s="645"/>
      <c r="E30" s="646"/>
      <c r="G30" t="s">
        <v>59</v>
      </c>
      <c r="H30" s="159">
        <f>SUM(H20:H28)</f>
        <v>0</v>
      </c>
      <c r="I30" t="s">
        <v>60</v>
      </c>
      <c r="J30" s="159">
        <f>SUM(J20:J28)</f>
        <v>0</v>
      </c>
      <c r="K30" t="s">
        <v>61</v>
      </c>
      <c r="L30" s="159">
        <f>SUM(L20:L28)</f>
        <v>0</v>
      </c>
      <c r="M30" t="s">
        <v>62</v>
      </c>
      <c r="N30" s="159">
        <f>SUM(N20:N28)</f>
        <v>0</v>
      </c>
      <c r="O30" t="s">
        <v>63</v>
      </c>
      <c r="P30" s="637">
        <f>SUM(P20:P28)</f>
        <v>0</v>
      </c>
    </row>
    <row r="31" spans="1:16" ht="30.6" customHeight="1" thickBot="1">
      <c r="A31" s="167"/>
      <c r="P31" s="638"/>
    </row>
    <row r="32" spans="1:16" ht="32.1" customHeight="1" thickBot="1">
      <c r="A32" s="644"/>
      <c r="B32" s="645" t="s">
        <v>64</v>
      </c>
      <c r="C32" s="645"/>
      <c r="D32" s="645"/>
      <c r="E32" s="646"/>
      <c r="G32" t="s">
        <v>65</v>
      </c>
      <c r="H32" s="159">
        <f>H30+H15</f>
        <v>0</v>
      </c>
      <c r="I32" t="s">
        <v>66</v>
      </c>
      <c r="J32" s="159">
        <f>J30+J15</f>
        <v>0</v>
      </c>
      <c r="K32" t="s">
        <v>67</v>
      </c>
      <c r="L32" s="159">
        <f>L30+L15</f>
        <v>0</v>
      </c>
      <c r="M32" t="s">
        <v>68</v>
      </c>
      <c r="N32" s="159">
        <f>N30+N15</f>
        <v>0</v>
      </c>
      <c r="O32" t="s">
        <v>69</v>
      </c>
      <c r="P32" s="637">
        <f>P30+P15</f>
        <v>0</v>
      </c>
    </row>
    <row r="33" spans="1:19" ht="33" customHeight="1" thickBot="1">
      <c r="A33" s="167"/>
      <c r="P33" s="638"/>
    </row>
    <row r="34" spans="1:19" ht="30.6" customHeight="1" thickBot="1">
      <c r="A34" s="653"/>
      <c r="B34" s="654" t="s">
        <v>70</v>
      </c>
      <c r="C34" s="645"/>
      <c r="D34" s="645"/>
      <c r="E34" s="646"/>
      <c r="G34" s="644" t="s">
        <v>8</v>
      </c>
      <c r="H34" s="646"/>
      <c r="I34" s="644" t="s">
        <v>35</v>
      </c>
      <c r="J34" s="646"/>
      <c r="K34" s="644" t="s">
        <v>10</v>
      </c>
      <c r="L34" s="646"/>
      <c r="M34" s="644" t="s">
        <v>11</v>
      </c>
      <c r="N34" s="646"/>
      <c r="O34" s="644" t="s">
        <v>12</v>
      </c>
      <c r="P34" s="646"/>
    </row>
    <row r="35" spans="1:19" ht="36.75" customHeight="1" thickBot="1">
      <c r="A35" s="647" t="s">
        <v>14</v>
      </c>
      <c r="B35" s="647" t="s">
        <v>15</v>
      </c>
      <c r="C35" s="647" t="s">
        <v>16</v>
      </c>
      <c r="D35" s="647"/>
      <c r="E35" s="647" t="s">
        <v>18</v>
      </c>
      <c r="G35" s="647" t="s">
        <v>19</v>
      </c>
      <c r="H35" s="647" t="s">
        <v>20</v>
      </c>
      <c r="I35" s="647" t="s">
        <v>19</v>
      </c>
      <c r="J35" s="647" t="s">
        <v>20</v>
      </c>
      <c r="K35" s="647" t="s">
        <v>19</v>
      </c>
      <c r="L35" s="647" t="s">
        <v>20</v>
      </c>
      <c r="M35" s="647" t="s">
        <v>19</v>
      </c>
      <c r="N35" s="647" t="s">
        <v>20</v>
      </c>
      <c r="O35" s="647" t="s">
        <v>19</v>
      </c>
      <c r="P35" s="647" t="s">
        <v>20</v>
      </c>
    </row>
    <row r="36" spans="1:19" ht="36.75" customHeight="1" thickBot="1">
      <c r="A36" s="644"/>
      <c r="B36" s="645" t="s">
        <v>71</v>
      </c>
      <c r="C36" s="645"/>
      <c r="D36" s="645"/>
      <c r="E36" s="646"/>
      <c r="G36" s="644" t="s">
        <v>8</v>
      </c>
      <c r="H36" s="646"/>
      <c r="I36" s="644" t="s">
        <v>35</v>
      </c>
      <c r="J36" s="645"/>
      <c r="K36" s="644" t="s">
        <v>10</v>
      </c>
      <c r="L36" s="645"/>
      <c r="M36" s="644" t="s">
        <v>11</v>
      </c>
      <c r="N36" s="645"/>
      <c r="O36" s="644" t="s">
        <v>12</v>
      </c>
      <c r="P36" s="646"/>
    </row>
    <row r="37" spans="1:19" ht="33" customHeight="1">
      <c r="A37" s="46" t="s">
        <v>72</v>
      </c>
      <c r="B37" s="662">
        <f>IFERROR(VLOOKUP(A37,'BPU - 5 titulaires - FOURNITURE'!A:C,2,FALSE),0)</f>
        <v>0</v>
      </c>
      <c r="C37" s="662">
        <f>IFERROR(VLOOKUP(A37,'BPU - 5 titulaires - FOURNITURE'!A:C,3,FALSE),0)</f>
        <v>0</v>
      </c>
      <c r="D37" s="663"/>
      <c r="E37" s="662"/>
      <c r="G37" s="82">
        <f>IFERROR(VLOOKUP(A37,'BPU - 5 titulaires - FOURNITURE'!A:Q,9,FALSE),0)</f>
        <v>0</v>
      </c>
      <c r="H37" s="80">
        <f>G37*E37</f>
        <v>0</v>
      </c>
      <c r="I37" s="81">
        <f>IFERROR(VLOOKUP(A37,'BPU - 5 titulaires - FOURNITURE'!A:Q,11,FALSE),0)</f>
        <v>0</v>
      </c>
      <c r="J37" s="81">
        <f>E37*I37</f>
        <v>0</v>
      </c>
      <c r="K37" s="80">
        <f>IFERROR(VLOOKUP(A37,'BPU - 5 titulaires - FOURNITURE'!A:Q,13,FALSE),0)</f>
        <v>0</v>
      </c>
      <c r="L37" s="81">
        <f>K37*E37</f>
        <v>0</v>
      </c>
      <c r="M37" s="80">
        <f>IFERROR(VLOOKUP(A37,'BPU - 5 titulaires - FOURNITURE'!A:Q,15,FALSE),0)</f>
        <v>0</v>
      </c>
      <c r="N37" s="81">
        <f>M37*E37</f>
        <v>0</v>
      </c>
      <c r="O37" s="81">
        <f>IFERROR(VLOOKUP(A37,'BPU - 5 titulaires - FOURNITURE'!A:Q,17,FALSE),0)</f>
        <v>0</v>
      </c>
      <c r="P37" s="80">
        <f>E37*O37</f>
        <v>0</v>
      </c>
    </row>
    <row r="38" spans="1:19" ht="32.1" customHeight="1" thickBot="1">
      <c r="A38" s="661" t="s">
        <v>72</v>
      </c>
      <c r="B38" s="662">
        <f>IFERROR(VLOOKUP(A38,'BPU - 5 titulaires - FOURNITURE'!A:C,2,FALSE),0)</f>
        <v>0</v>
      </c>
      <c r="C38" s="662">
        <f>IFERROR(VLOOKUP(A38,'BPU - 5 titulaires - FOURNITURE'!A:C,3,FALSE),0)</f>
        <v>0</v>
      </c>
      <c r="D38" s="663"/>
      <c r="E38" s="662"/>
      <c r="G38" s="82">
        <f>IFERROR(VLOOKUP(A38,'BPU - 5 titulaires - FOURNITURE'!A:Q,9,FALSE),0)</f>
        <v>0</v>
      </c>
      <c r="H38" s="80">
        <f>G38*E38</f>
        <v>0</v>
      </c>
      <c r="I38" s="81">
        <f>IFERROR(VLOOKUP(A38,'BPU - 5 titulaires - FOURNITURE'!A:Q,11,FALSE),0)</f>
        <v>0</v>
      </c>
      <c r="J38" s="81">
        <f>E38*I38</f>
        <v>0</v>
      </c>
      <c r="K38" s="80">
        <f>IFERROR(VLOOKUP(A38,'BPU - 5 titulaires - FOURNITURE'!A:Q,13,FALSE),0)</f>
        <v>0</v>
      </c>
      <c r="L38" s="81">
        <f>K38*E38</f>
        <v>0</v>
      </c>
      <c r="M38" s="80">
        <f>IFERROR(VLOOKUP(A38,'BPU - 5 titulaires - FOURNITURE'!A:Q,15,FALSE),0)</f>
        <v>0</v>
      </c>
      <c r="N38" s="81">
        <f>M38*E38</f>
        <v>0</v>
      </c>
      <c r="O38" s="81">
        <f>IFERROR(VLOOKUP(A38,'BPU - 5 titulaires - FOURNITURE'!A:Q,17,FALSE),0)</f>
        <v>0</v>
      </c>
      <c r="P38" s="80">
        <f>E38*O38</f>
        <v>0</v>
      </c>
    </row>
    <row r="39" spans="1:19" ht="76.5" customHeight="1" thickBot="1">
      <c r="A39" s="671"/>
      <c r="B39" s="671" t="s">
        <v>73</v>
      </c>
      <c r="C39" s="645"/>
      <c r="D39" s="645"/>
      <c r="E39" s="646"/>
      <c r="G39" s="647"/>
      <c r="H39" s="647"/>
      <c r="I39" s="647"/>
      <c r="J39" s="647"/>
      <c r="K39" s="647"/>
      <c r="L39" s="647"/>
      <c r="M39" s="647"/>
      <c r="N39" s="647"/>
      <c r="O39" s="647"/>
      <c r="P39" s="647"/>
    </row>
    <row r="40" spans="1:19" ht="54" customHeight="1" thickBot="1">
      <c r="A40" s="647" t="s">
        <v>74</v>
      </c>
      <c r="B40" s="647" t="s">
        <v>15</v>
      </c>
      <c r="C40" s="647" t="s">
        <v>16</v>
      </c>
      <c r="D40" s="647" t="s">
        <v>75</v>
      </c>
      <c r="E40" s="647" t="s">
        <v>18</v>
      </c>
      <c r="G40" s="647"/>
      <c r="H40" s="647"/>
      <c r="I40" s="647"/>
      <c r="J40" s="647"/>
      <c r="K40" s="647"/>
      <c r="L40" s="647"/>
      <c r="M40" s="647"/>
      <c r="N40" s="647"/>
      <c r="O40" s="647"/>
      <c r="P40" s="647"/>
    </row>
    <row r="41" spans="1:19" ht="45" customHeight="1">
      <c r="A41" s="52" t="s">
        <v>76</v>
      </c>
      <c r="B41" s="61"/>
      <c r="C41" s="61" t="s">
        <v>16</v>
      </c>
      <c r="D41" s="72"/>
      <c r="E41" s="61"/>
      <c r="G41" s="82">
        <f>IF($A41=$R$42,$D41*1.04,IF($A41=$R$43,$D41*1.08,0))</f>
        <v>0</v>
      </c>
      <c r="H41" s="80">
        <f>G41*$E41</f>
        <v>0</v>
      </c>
      <c r="I41" s="82">
        <f>IF($A41=$R$42,$D41*1.04,IF($A41=$R$43,$D41*1.08,0))</f>
        <v>0</v>
      </c>
      <c r="J41" s="80">
        <f>I41*$E41</f>
        <v>0</v>
      </c>
      <c r="K41" s="82">
        <f>IF($A41=$R$42,$D41*1.08,IF($A41=$R$43,$D41*1.12,0))</f>
        <v>0</v>
      </c>
      <c r="L41" s="80">
        <f>K41*$E41</f>
        <v>0</v>
      </c>
      <c r="M41" s="82">
        <f>IF($A41=$R$42,$D41*1.08,IF($A41=$R$43,$D41*1.12,0))</f>
        <v>0</v>
      </c>
      <c r="N41" s="80">
        <f>M41*$E41</f>
        <v>0</v>
      </c>
      <c r="O41" s="82">
        <f>IF($A41=$R$42,$D41*1.04,IF($A41=$R$43,$D41*1.08,0))</f>
        <v>0</v>
      </c>
      <c r="P41" s="80">
        <f>O41*$E41</f>
        <v>0</v>
      </c>
      <c r="R41" t="s">
        <v>76</v>
      </c>
      <c r="S41" t="s">
        <v>77</v>
      </c>
    </row>
    <row r="42" spans="1:19" ht="45" customHeight="1">
      <c r="A42" s="52" t="s">
        <v>76</v>
      </c>
      <c r="B42" s="61"/>
      <c r="C42" s="61" t="s">
        <v>16</v>
      </c>
      <c r="D42" s="72"/>
      <c r="E42" s="61"/>
      <c r="G42" s="82">
        <f>IF($A42=$R$42,$D42*1.04,IF($A42=$R$43,$D42*1.08,0))</f>
        <v>0</v>
      </c>
      <c r="H42" s="80">
        <f>G42*$E42</f>
        <v>0</v>
      </c>
      <c r="I42" s="82">
        <f>IF($A42=$R$42,$D42*1.04,IF($A42=$R$43,$D42*1.08,0))</f>
        <v>0</v>
      </c>
      <c r="J42" s="80">
        <f>I42*$E42</f>
        <v>0</v>
      </c>
      <c r="K42" s="82">
        <f>IF($A42=$R$42,$D42*1.08,IF($A42=$R$43,$D42*1.12,0))</f>
        <v>0</v>
      </c>
      <c r="L42" s="80">
        <f>K42*$E42</f>
        <v>0</v>
      </c>
      <c r="M42" s="82">
        <f>IF($A42=$R$42,$D42*1.08,IF($A42=$R$43,$D42*1.12,0))</f>
        <v>0</v>
      </c>
      <c r="N42" s="80">
        <f>M42*$E42</f>
        <v>0</v>
      </c>
      <c r="O42" s="82">
        <f>IF($A42=$R$42,$D42*1.04,IF($A42=$R$43,$D42*1.08,0))</f>
        <v>0</v>
      </c>
      <c r="P42" s="80">
        <f>O42*$E42</f>
        <v>0</v>
      </c>
      <c r="R42" t="s">
        <v>76</v>
      </c>
      <c r="S42" t="s">
        <v>77</v>
      </c>
    </row>
    <row r="43" spans="1:19" ht="33" customHeight="1" thickBot="1">
      <c r="A43" s="167"/>
      <c r="P43" s="638"/>
      <c r="R43" t="s">
        <v>78</v>
      </c>
      <c r="S43" t="s">
        <v>79</v>
      </c>
    </row>
    <row r="44" spans="1:19" ht="30.6" customHeight="1" thickBot="1">
      <c r="A44" s="644" t="s">
        <v>80</v>
      </c>
      <c r="B44" s="645"/>
      <c r="C44" s="645"/>
      <c r="D44" s="645"/>
      <c r="E44" s="646"/>
      <c r="G44" t="s">
        <v>81</v>
      </c>
      <c r="H44" s="159">
        <f>SUM(H37:H42)</f>
        <v>0</v>
      </c>
      <c r="I44" t="s">
        <v>82</v>
      </c>
      <c r="J44" s="159">
        <f>SUM(J37:J42)</f>
        <v>0</v>
      </c>
      <c r="K44" t="s">
        <v>83</v>
      </c>
      <c r="L44" s="159">
        <f>SUM(L37:L42)</f>
        <v>0</v>
      </c>
      <c r="M44" t="s">
        <v>84</v>
      </c>
      <c r="N44" s="159">
        <f>SUM(N37:N42)</f>
        <v>0</v>
      </c>
      <c r="O44" t="s">
        <v>85</v>
      </c>
      <c r="P44" s="637">
        <f>SUM(P37:P42)</f>
        <v>0</v>
      </c>
    </row>
    <row r="45" spans="1:19" ht="32.1" customHeight="1">
      <c r="A45" s="167"/>
      <c r="P45" s="638"/>
    </row>
    <row r="46" spans="1:19" ht="32.1" customHeight="1" thickBot="1">
      <c r="A46" s="167"/>
      <c r="P46" s="638"/>
    </row>
    <row r="47" spans="1:19" ht="33" customHeight="1" thickBot="1">
      <c r="A47" s="167"/>
      <c r="G47" s="644" t="s">
        <v>8</v>
      </c>
      <c r="H47" s="646"/>
      <c r="I47" s="644" t="s">
        <v>35</v>
      </c>
      <c r="J47" s="646"/>
      <c r="K47" s="644" t="s">
        <v>10</v>
      </c>
      <c r="L47" s="646"/>
      <c r="M47" s="644" t="s">
        <v>11</v>
      </c>
      <c r="N47" s="646"/>
      <c r="O47" s="644" t="s">
        <v>12</v>
      </c>
      <c r="P47" s="646"/>
    </row>
    <row r="48" spans="1:19" ht="42" customHeight="1" thickBot="1">
      <c r="A48" s="644" t="s">
        <v>86</v>
      </c>
      <c r="B48" s="645"/>
      <c r="C48" s="645"/>
      <c r="D48" s="645"/>
      <c r="E48" s="646"/>
      <c r="G48" t="s">
        <v>87</v>
      </c>
      <c r="H48" s="165">
        <f>H44+H32</f>
        <v>0</v>
      </c>
      <c r="I48" t="s">
        <v>88</v>
      </c>
      <c r="J48" s="165">
        <f>J44+J32</f>
        <v>0</v>
      </c>
      <c r="K48" t="s">
        <v>89</v>
      </c>
      <c r="L48" s="165">
        <f>L44+L32</f>
        <v>0</v>
      </c>
      <c r="M48" t="s">
        <v>90</v>
      </c>
      <c r="N48" s="165">
        <f>N44+N32</f>
        <v>0</v>
      </c>
      <c r="O48" t="s">
        <v>91</v>
      </c>
      <c r="P48" s="639">
        <f>P44+P32</f>
        <v>0</v>
      </c>
    </row>
    <row r="49" spans="1:16" ht="34.5" customHeight="1" thickBot="1">
      <c r="A49" s="640"/>
      <c r="B49" s="641"/>
      <c r="C49" s="641"/>
      <c r="D49" s="641"/>
      <c r="E49" s="641"/>
      <c r="F49" s="641"/>
      <c r="G49" s="641"/>
      <c r="H49" s="651" t="s">
        <v>8</v>
      </c>
      <c r="I49" s="641"/>
      <c r="J49" s="651" t="s">
        <v>35</v>
      </c>
      <c r="K49" s="641"/>
      <c r="L49" s="651" t="s">
        <v>10</v>
      </c>
      <c r="M49" s="641"/>
      <c r="N49" s="651" t="s">
        <v>11</v>
      </c>
      <c r="O49" s="641"/>
      <c r="P49" s="652" t="s">
        <v>12</v>
      </c>
    </row>
    <row r="50" spans="1:16" ht="38.450000000000003" customHeight="1" thickBot="1"/>
    <row r="51" spans="1:16" ht="69.95" customHeight="1" thickBot="1">
      <c r="A51" s="689" t="s">
        <v>92</v>
      </c>
      <c r="B51" s="690"/>
      <c r="C51" s="690"/>
      <c r="D51" s="691"/>
      <c r="F51" s="692" t="s">
        <v>93</v>
      </c>
      <c r="G51" s="693"/>
    </row>
    <row r="52" spans="1:16" ht="36" customHeight="1" thickBot="1">
      <c r="A52" s="670" t="s">
        <v>14</v>
      </c>
      <c r="B52" s="670" t="s">
        <v>15</v>
      </c>
      <c r="C52" s="670" t="s">
        <v>17</v>
      </c>
      <c r="D52" s="670" t="s">
        <v>18</v>
      </c>
      <c r="F52" s="670" t="s">
        <v>19</v>
      </c>
      <c r="G52" s="670" t="s">
        <v>20</v>
      </c>
    </row>
    <row r="53" spans="1:16" ht="29.25" customHeight="1">
      <c r="A53" s="72" t="s">
        <v>94</v>
      </c>
      <c r="B53" s="80">
        <f>IFERROR(VLOOKUP(A53,'BPU - NXO Data - prest + fourni'!$A$1:$E$300,2,FALSE),0)</f>
        <v>0</v>
      </c>
      <c r="C53" s="72" t="s">
        <v>5</v>
      </c>
      <c r="D53" s="61">
        <v>0</v>
      </c>
      <c r="F53" s="82">
        <f>IF(AND(LEFT(A53,1)="C",MID(A53,3,1)="."),0,IFERROR(IF(C53=$I$5,VLOOKUP(A53,'BPU - NXO Data - prest + fourni'!$A$2:$E$314,3,FALSE),IF(C53=$I$6,VLOOKUP(A53,'BPU - NXO Data - prest + fourni'!$A$2:$E$314,3,FALSE)*(1.5))),0))</f>
        <v>0</v>
      </c>
      <c r="G53" s="166">
        <f>F53*D53</f>
        <v>0</v>
      </c>
    </row>
    <row r="54" spans="1:16" ht="29.25" customHeight="1">
      <c r="A54" s="72" t="s">
        <v>94</v>
      </c>
      <c r="B54" s="80">
        <f>IFERROR(VLOOKUP(A54,'BPU - NXO Data - prest + fourni'!$A$1:$E$300,2,FALSE),0)</f>
        <v>0</v>
      </c>
      <c r="C54" s="72" t="s">
        <v>5</v>
      </c>
      <c r="D54" s="61">
        <v>0</v>
      </c>
      <c r="F54" s="82">
        <f>IF(AND(LEFT(A54,1)="C",MID(A54,3,1)="."),0,IFERROR(IF(C54=$I$5,VLOOKUP(A54,'BPU - NXO Data - prest + fourni'!$A$2:$E$314,3,FALSE),IF(C54=$I$6,VLOOKUP(A54,'BPU - NXO Data - prest + fourni'!$A$2:$E$314,3,FALSE)*(1.5))),0))</f>
        <v>0</v>
      </c>
      <c r="G54" s="166">
        <f>F54*D54</f>
        <v>0</v>
      </c>
    </row>
    <row r="55" spans="1:16" ht="31.5" customHeight="1" thickBot="1"/>
    <row r="56" spans="1:16" ht="33.75" customHeight="1" thickBot="1">
      <c r="A56" s="642" t="s">
        <v>95</v>
      </c>
      <c r="B56" s="659"/>
      <c r="C56" s="659"/>
      <c r="D56" s="643"/>
      <c r="G56" s="159">
        <f>SUM(G53:G54)</f>
        <v>0</v>
      </c>
    </row>
    <row r="57" spans="1:16" ht="33.75" customHeight="1" thickBot="1"/>
    <row r="58" spans="1:16" ht="72" customHeight="1" thickBot="1">
      <c r="A58" s="632"/>
      <c r="B58" s="656" t="s">
        <v>96</v>
      </c>
      <c r="C58" s="633"/>
      <c r="D58" s="633"/>
      <c r="E58" s="634"/>
      <c r="G58" s="632"/>
      <c r="H58" s="634"/>
    </row>
    <row r="59" spans="1:16" ht="36" customHeight="1" thickBot="1">
      <c r="A59" s="12" t="s">
        <v>14</v>
      </c>
      <c r="B59" s="12" t="s">
        <v>97</v>
      </c>
      <c r="C59" s="12" t="s">
        <v>15</v>
      </c>
      <c r="D59" s="12" t="s">
        <v>98</v>
      </c>
      <c r="E59" s="12" t="s">
        <v>18</v>
      </c>
      <c r="G59" s="12" t="s">
        <v>19</v>
      </c>
      <c r="H59" s="12" t="s">
        <v>20</v>
      </c>
    </row>
    <row r="60" spans="1:16" ht="30.75" customHeight="1">
      <c r="A60" s="72" t="s">
        <v>99</v>
      </c>
      <c r="B60" s="81" t="str">
        <f>IFERROR(VLOOKUP(A60,'BPU - fourniture RATP'!A:G,2,FALSE),0)</f>
        <v>VDIDI06TPV</v>
      </c>
      <c r="C60" s="80" t="str">
        <f>IFERROR(VLOOKUP(A60,'BPU - fourniture RATP'!A:G,3,FALSE),0)</f>
        <v>COFFRET TECHNIQUE TPV 600MM</v>
      </c>
      <c r="D60" s="80" t="str">
        <f>IFERROR(VLOOKUP(A60,'BPU - fourniture RATP'!A:G,6,FALSE),0)</f>
        <v>PE</v>
      </c>
      <c r="E60" s="61">
        <v>5</v>
      </c>
      <c r="G60" s="82">
        <f>IFERROR(VLOOKUP(A60,'BPU - fourniture RATP'!A:G,7,FALSE),0)</f>
        <v>2250.0052499999997</v>
      </c>
      <c r="H60" s="166">
        <f>G60*E60</f>
        <v>11250.026249999999</v>
      </c>
    </row>
    <row r="61" spans="1:16" ht="27.6" customHeight="1" thickBot="1">
      <c r="A61" s="72" t="s">
        <v>100</v>
      </c>
      <c r="B61" s="81">
        <f>IFERROR(VLOOKUP(A61,'BPU - fourniture RATP'!$A$2:$G$790,2,FALSE),0)</f>
        <v>0</v>
      </c>
      <c r="C61" s="80">
        <f>IFERROR(VLOOKUP(A61,'BPU - fourniture RATP'!$A$2:$G$790,3,FALSE),0)</f>
        <v>0</v>
      </c>
      <c r="D61" s="80">
        <f>IFERROR(VLOOKUP(A61,'BPU - fourniture RATP'!$A$2:$G$790,6,FALSE),0)</f>
        <v>0</v>
      </c>
      <c r="E61" s="61"/>
      <c r="G61" s="82">
        <f>IFERROR(VLOOKUP(A61,'BPU - fourniture RATP'!$A$2:$G$790,7,FALSE),0)</f>
        <v>0</v>
      </c>
      <c r="H61" s="166">
        <f t="shared" ref="H61" si="8">G61*E61</f>
        <v>0</v>
      </c>
    </row>
    <row r="62" spans="1:16" ht="26.45" customHeight="1" thickBot="1">
      <c r="A62" s="632" t="s">
        <v>101</v>
      </c>
      <c r="B62" s="633"/>
      <c r="C62" s="633"/>
      <c r="D62" s="633"/>
      <c r="E62" s="634"/>
      <c r="H62" s="159">
        <f>SUM(H60:H61)</f>
        <v>11250.026249999999</v>
      </c>
    </row>
    <row r="63" spans="1:16" ht="17.100000000000001" customHeight="1"/>
    <row r="64" spans="1:16" ht="33" customHeight="1" thickBot="1"/>
    <row r="65" spans="1:12" ht="84" customHeight="1" thickBot="1">
      <c r="A65" s="696" t="s">
        <v>102</v>
      </c>
      <c r="B65" s="697"/>
      <c r="C65" s="697"/>
      <c r="D65" s="697"/>
      <c r="E65" s="698"/>
      <c r="G65" s="699"/>
      <c r="H65" s="700"/>
      <c r="I65" s="700"/>
      <c r="J65" s="700"/>
      <c r="K65" s="700"/>
      <c r="L65" s="701"/>
    </row>
    <row r="66" spans="1:12" ht="30.6" thickBot="1">
      <c r="A66" s="664" t="s">
        <v>14</v>
      </c>
      <c r="B66" s="664" t="s">
        <v>15</v>
      </c>
      <c r="C66" s="664" t="s">
        <v>98</v>
      </c>
      <c r="D66" s="664" t="s">
        <v>17</v>
      </c>
      <c r="E66" s="665" t="s">
        <v>18</v>
      </c>
      <c r="G66" s="666" t="s">
        <v>103</v>
      </c>
      <c r="H66" s="664" t="s">
        <v>104</v>
      </c>
      <c r="I66" s="664" t="s">
        <v>105</v>
      </c>
      <c r="J66" s="664" t="s">
        <v>106</v>
      </c>
      <c r="K66" s="664" t="s">
        <v>107</v>
      </c>
      <c r="L66" s="664" t="s">
        <v>20</v>
      </c>
    </row>
    <row r="67" spans="1:12" ht="32.450000000000003" customHeight="1">
      <c r="A67" s="72" t="s">
        <v>108</v>
      </c>
      <c r="B67" s="80">
        <f>IFERROR(VLOOKUP(A67,'BPU - Marché PDS'!$A$10:$J$235,2,FALSE),0)</f>
        <v>0</v>
      </c>
      <c r="C67" s="631">
        <f>IFERROR(VLOOKUP(A67,'BPU - Marché PDS'!$A$10:$J$235,3,FALSE),0)</f>
        <v>0</v>
      </c>
      <c r="D67" s="72"/>
      <c r="E67" s="660"/>
      <c r="G67" s="631">
        <f>IFERROR(VLOOKUP(A67,'BPU - Marché PDS'!$A$10:$J$235,5,FALSE),0)</f>
        <v>0</v>
      </c>
      <c r="H67" s="631">
        <f>IFERROR(IF(D67=$N$3,VLOOKUP(A67,'BPU - Marché PDS'!$A$10:$J$235,6,FALSE),IF(D67=$N$4,VLOOKUP(A67,'BPU - Marché PDS'!$A$10:$J$235,8,FALSE))),0)</f>
        <v>0</v>
      </c>
      <c r="I67" s="82">
        <f t="shared" ref="I67:I68" si="9">G67+H67</f>
        <v>0</v>
      </c>
      <c r="J67" s="82">
        <f>G67*E67</f>
        <v>0</v>
      </c>
      <c r="K67" s="82">
        <f t="shared" ref="K67:K68" si="10">H67*E67</f>
        <v>0</v>
      </c>
      <c r="L67" s="166">
        <f t="shared" ref="L67:L68" si="11">I67*E67</f>
        <v>0</v>
      </c>
    </row>
    <row r="68" spans="1:12" ht="32.450000000000003" customHeight="1">
      <c r="A68" s="72" t="s">
        <v>108</v>
      </c>
      <c r="B68" s="80">
        <f>IFERROR(VLOOKUP(A68,'BPU - Marché PDS'!$A$10:$J$235,2,FALSE),0)</f>
        <v>0</v>
      </c>
      <c r="C68" s="631">
        <f>IFERROR(VLOOKUP(A68,'BPU - Marché PDS'!$A$10:$J$235,3,FALSE),0)</f>
        <v>0</v>
      </c>
      <c r="D68" s="72"/>
      <c r="E68" s="660">
        <v>0</v>
      </c>
      <c r="G68" s="631">
        <f>IFERROR(VLOOKUP(A68,'BPU - Marché PDS'!$A$10:$J$235,5,FALSE),0)</f>
        <v>0</v>
      </c>
      <c r="H68" s="631">
        <f>IFERROR(IF(D68=$N$3,VLOOKUP(A68,'BPU - Marché PDS'!$A$10:$J$235,6,FALSE),IF(D68=$N$4,VLOOKUP(A68,'BPU - Marché PDS'!$A$10:$J$235,8,FALSE))),0)</f>
        <v>0</v>
      </c>
      <c r="I68" s="82">
        <f t="shared" si="9"/>
        <v>0</v>
      </c>
      <c r="J68" s="82">
        <f>G68*E68</f>
        <v>0</v>
      </c>
      <c r="K68" s="82">
        <f t="shared" si="10"/>
        <v>0</v>
      </c>
      <c r="L68" s="166">
        <f t="shared" si="11"/>
        <v>0</v>
      </c>
    </row>
    <row r="69" spans="1:12" ht="15" thickBot="1"/>
    <row r="70" spans="1:12" ht="31.5" customHeight="1" thickBot="1">
      <c r="A70" s="694" t="s">
        <v>101</v>
      </c>
      <c r="B70" s="695"/>
      <c r="C70" s="695"/>
      <c r="D70" s="695"/>
      <c r="E70" s="695"/>
      <c r="J70" s="159">
        <f>SUM(J66:J68)</f>
        <v>0</v>
      </c>
      <c r="K70" s="159">
        <f>SUM(K66:K68)</f>
        <v>0</v>
      </c>
      <c r="L70" s="159">
        <f>SUM(L66:L68)</f>
        <v>0</v>
      </c>
    </row>
    <row r="73" spans="1:12" ht="15" thickBot="1"/>
    <row r="74" spans="1:12">
      <c r="A74" s="443" t="s">
        <v>109</v>
      </c>
      <c r="B74" s="444" t="s">
        <v>110</v>
      </c>
      <c r="C74" s="437"/>
    </row>
    <row r="75" spans="1:12" ht="21.6" thickBot="1">
      <c r="A75" s="445"/>
      <c r="B75" s="446" t="s">
        <v>111</v>
      </c>
      <c r="C75" s="442" t="s">
        <v>112</v>
      </c>
    </row>
    <row r="76" spans="1:12" ht="20.45" thickBot="1">
      <c r="A76" s="438" t="s">
        <v>18</v>
      </c>
      <c r="B76" s="440" t="s">
        <v>113</v>
      </c>
      <c r="C76" s="441" t="e" cm="1">
        <f t="array" aca="1" ref="C76" ca="1">RIGHT(CELL("nomfichier",A1),LEN(CELL("nomfichier",A1))-FIND("]",CELL("nomfichier",A1)))</f>
        <v>#VALUE!</v>
      </c>
    </row>
    <row r="77" spans="1:12" ht="21" thickBot="1">
      <c r="A77" s="438">
        <v>1</v>
      </c>
      <c r="B77" s="168" t="s">
        <v>114</v>
      </c>
      <c r="C77" s="434">
        <f>IF(H48&gt;=MAX(H48,P48,J48,N48,L48), H44, IF(P48&gt;=MAX(H48,P48,J48,N48,L48), P44, IF(J48&gt;=MAX(H48,P48,J48,N48,L48), J44, IF(N48&gt;=MAX(H48,P48,J48,N48,L48), N44, IF(L48&gt;=MAX(H48,P48,J48,N48,L48), L44, "")))))</f>
        <v>0</v>
      </c>
    </row>
    <row r="78" spans="1:12" ht="30.6" customHeight="1" thickBot="1">
      <c r="A78" s="438">
        <v>1</v>
      </c>
      <c r="B78" s="168" t="s">
        <v>115</v>
      </c>
      <c r="C78" s="435">
        <f>IF(H48&gt;=MAX(H48,P48,J48,N48,L48), H15, IF(P48&gt;=MAX(H48,P48,J48,N48,L48), P15, IF(J48&gt;=MAX(H48,P48,J48,N48,L48), J15, IF(N48&gt;=MAX(H48,P48,J48,N48,L48), N15, IF(L48&gt;=MAX(H48,P48,J48,N48,L48), L15, "")))))</f>
        <v>0</v>
      </c>
    </row>
    <row r="79" spans="1:12" ht="33" customHeight="1" thickBot="1">
      <c r="A79" s="438">
        <v>1</v>
      </c>
      <c r="B79" s="168" t="s">
        <v>116</v>
      </c>
      <c r="C79" s="435">
        <f>IF(H48&gt;=MAX(H48,P48,J48,N48,L48), H30, IF(P48&gt;=MAX(H48,P48,J48,N48,L48), P30, IF(J48&gt;=MAX(H48,P48,J48,N48,L48), J30, IF(N48&gt;=MAX(H48,P48,J48,N48,L48), N30, IF(L48&gt;=MAX(H48,P48,J48,N48,L48), L30, "")))))</f>
        <v>0</v>
      </c>
    </row>
    <row r="80" spans="1:12" ht="33" customHeight="1" thickBot="1">
      <c r="A80" s="438">
        <v>1</v>
      </c>
      <c r="B80" s="168" t="s">
        <v>117</v>
      </c>
      <c r="C80" s="435">
        <f>H62</f>
        <v>11250.026249999999</v>
      </c>
    </row>
    <row r="81" spans="1:3" ht="32.1" customHeight="1" thickBot="1">
      <c r="A81" s="438">
        <v>1</v>
      </c>
      <c r="B81" s="168" t="s">
        <v>118</v>
      </c>
      <c r="C81" s="435">
        <f>G56</f>
        <v>0</v>
      </c>
    </row>
    <row r="82" spans="1:3" ht="32.1" customHeight="1" thickBot="1">
      <c r="A82" s="438">
        <v>1</v>
      </c>
      <c r="B82" s="433" t="s">
        <v>119</v>
      </c>
      <c r="C82" s="673"/>
    </row>
    <row r="83" spans="1:3" ht="33" customHeight="1" thickBot="1">
      <c r="A83" s="438">
        <v>1</v>
      </c>
      <c r="B83" s="433" t="s">
        <v>120</v>
      </c>
      <c r="C83" s="673">
        <f>L70</f>
        <v>0</v>
      </c>
    </row>
    <row r="84" spans="1:3" ht="32.1" customHeight="1" thickBot="1">
      <c r="A84" s="439">
        <v>1</v>
      </c>
      <c r="B84" s="657" t="s">
        <v>121</v>
      </c>
      <c r="C84" s="658">
        <f>C77+C78+C79+C80+C81+C82+C83</f>
        <v>11250.026249999999</v>
      </c>
    </row>
    <row r="85" spans="1:3" ht="32.1" customHeight="1"/>
    <row r="86" spans="1:3" ht="32.1" customHeight="1"/>
    <row r="87" spans="1:3" ht="32.1" customHeight="1"/>
    <row r="88" spans="1:3" ht="33" customHeight="1"/>
    <row r="89" spans="1:3" ht="33" customHeight="1"/>
    <row r="90" spans="1:3" ht="32.1" customHeight="1"/>
    <row r="91" spans="1:3" ht="33" customHeight="1"/>
    <row r="92" spans="1:3" ht="30.6" customHeight="1"/>
    <row r="93" spans="1:3" ht="32.1" customHeight="1"/>
    <row r="94" spans="1:3" ht="32.1" customHeight="1"/>
    <row r="95" spans="1:3" ht="30.6" customHeight="1"/>
    <row r="96" spans="1:3" ht="30.6" customHeight="1"/>
    <row r="97" ht="33" customHeight="1"/>
    <row r="98" ht="30.6" customHeight="1"/>
    <row r="99" ht="33" customHeight="1"/>
    <row r="100" ht="30.6" customHeight="1"/>
    <row r="101" ht="33" customHeight="1"/>
    <row r="102" ht="32.1" customHeight="1"/>
    <row r="103" ht="30.6" customHeight="1"/>
    <row r="104" ht="33" customHeight="1"/>
    <row r="105" ht="30.6" customHeight="1"/>
    <row r="106" ht="29.1" customHeight="1"/>
    <row r="107" ht="30.95" customHeight="1"/>
    <row r="120" ht="16.5" customHeight="1"/>
  </sheetData>
  <mergeCells count="5">
    <mergeCell ref="A51:D51"/>
    <mergeCell ref="F51:G51"/>
    <mergeCell ref="A65:E65"/>
    <mergeCell ref="G65:L65"/>
    <mergeCell ref="A70:E70"/>
  </mergeCells>
  <dataValidations count="5">
    <dataValidation type="list" allowBlank="1" showInputMessage="1" showErrorMessage="1" sqref="A41:A42" xr:uid="{CCB3CA51-7977-4072-91C3-4B0CF8B2207D}">
      <formula1>"M2,M3"</formula1>
    </dataValidation>
    <dataValidation type="list" allowBlank="1" showInputMessage="1" showErrorMessage="1" sqref="C53:C54" xr:uid="{AA043CD7-FEC8-4C19-A108-1A06606DFD11}">
      <formula1>$I$5:$I$6</formula1>
    </dataValidation>
    <dataValidation type="list" allowBlank="1" showInputMessage="1" showErrorMessage="1" sqref="D67:D68" xr:uid="{5B505D35-7F4C-482E-9D21-E56425F310FD}">
      <formula1>$N$3:$N$4</formula1>
    </dataValidation>
    <dataValidation type="list" allowBlank="1" showInputMessage="1" showErrorMessage="1" sqref="D13:D14 D9:D10 D37:D38" xr:uid="{A795DE82-1172-4FE6-BFDB-2EB60E56F1C7}">
      <formula1>$T$2:$T$3</formula1>
    </dataValidation>
    <dataValidation type="list" allowBlank="1" showInputMessage="1" showErrorMessage="1" sqref="D20:D28" xr:uid="{C561E0FC-95E0-4ADD-AE01-177BA4380966}">
      <formula1>$T$5:$T$6</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SupprimerLignesAutomatiquesP">
                <anchor moveWithCells="1" sizeWithCells="1">
                  <from>
                    <xdr:col>1</xdr:col>
                    <xdr:colOff>1079500</xdr:colOff>
                    <xdr:row>5</xdr:row>
                    <xdr:rowOff>349250</xdr:rowOff>
                  </from>
                  <to>
                    <xdr:col>1</xdr:col>
                    <xdr:colOff>2165350</xdr:colOff>
                    <xdr:row>5</xdr:row>
                    <xdr:rowOff>736600</xdr:rowOff>
                  </to>
                </anchor>
              </controlPr>
            </control>
          </mc:Choice>
        </mc:AlternateContent>
        <mc:AlternateContent xmlns:mc="http://schemas.openxmlformats.org/markup-compatibility/2006">
          <mc:Choice Requires="x14">
            <control shapeId="91138" r:id="rId5" name="Button 2">
              <controlPr defaultSize="0" print="0" autoFill="0" autoPict="0" macro="[0]!AjouterNouvelleLignePersonaliseeP">
                <anchor moveWithCells="1" sizeWithCells="1">
                  <from>
                    <xdr:col>1</xdr:col>
                    <xdr:colOff>2190750</xdr:colOff>
                    <xdr:row>5</xdr:row>
                    <xdr:rowOff>336550</xdr:rowOff>
                  </from>
                  <to>
                    <xdr:col>1</xdr:col>
                    <xdr:colOff>3930650</xdr:colOff>
                    <xdr:row>5</xdr:row>
                    <xdr:rowOff>736600</xdr:rowOff>
                  </to>
                </anchor>
              </controlPr>
            </control>
          </mc:Choice>
        </mc:AlternateContent>
        <mc:AlternateContent xmlns:mc="http://schemas.openxmlformats.org/markup-compatibility/2006">
          <mc:Choice Requires="x14">
            <control shapeId="91139" r:id="rId6" name="Button 3">
              <controlPr defaultSize="0" print="0" autoFill="0" autoPict="0" macro="[0]!AjouterNouvelleLigneAutomatiqueF">
                <anchor moveWithCells="1" sizeWithCells="1">
                  <from>
                    <xdr:col>1</xdr:col>
                    <xdr:colOff>25400</xdr:colOff>
                    <xdr:row>35</xdr:row>
                    <xdr:rowOff>12700</xdr:rowOff>
                  </from>
                  <to>
                    <xdr:col>1</xdr:col>
                    <xdr:colOff>977900</xdr:colOff>
                    <xdr:row>35</xdr:row>
                    <xdr:rowOff>400050</xdr:rowOff>
                  </to>
                </anchor>
              </controlPr>
            </control>
          </mc:Choice>
        </mc:AlternateContent>
        <mc:AlternateContent xmlns:mc="http://schemas.openxmlformats.org/markup-compatibility/2006">
          <mc:Choice Requires="x14">
            <control shapeId="91140" r:id="rId7" name="Button 4">
              <controlPr defaultSize="0" print="0" autoFill="0" autoPict="0" macro="[0]!SupprimerLignesAutomatiquesF">
                <anchor moveWithCells="1" sizeWithCells="1">
                  <from>
                    <xdr:col>1</xdr:col>
                    <xdr:colOff>1022350</xdr:colOff>
                    <xdr:row>35</xdr:row>
                    <xdr:rowOff>12700</xdr:rowOff>
                  </from>
                  <to>
                    <xdr:col>1</xdr:col>
                    <xdr:colOff>1822450</xdr:colOff>
                    <xdr:row>35</xdr:row>
                    <xdr:rowOff>381000</xdr:rowOff>
                  </to>
                </anchor>
              </controlPr>
            </control>
          </mc:Choice>
        </mc:AlternateContent>
        <mc:AlternateContent xmlns:mc="http://schemas.openxmlformats.org/markup-compatibility/2006">
          <mc:Choice Requires="x14">
            <control shapeId="91141" r:id="rId8" name="Button 5">
              <controlPr defaultSize="0" print="0" autoFill="0" autoPict="0" macro="[0]!AjouterNouvelleLignePersonaliseeF">
                <anchor moveWithCells="1" sizeWithCells="1">
                  <from>
                    <xdr:col>1</xdr:col>
                    <xdr:colOff>1841500</xdr:colOff>
                    <xdr:row>35</xdr:row>
                    <xdr:rowOff>12700</xdr:rowOff>
                  </from>
                  <to>
                    <xdr:col>2</xdr:col>
                    <xdr:colOff>12700</xdr:colOff>
                    <xdr:row>35</xdr:row>
                    <xdr:rowOff>381000</xdr:rowOff>
                  </to>
                </anchor>
              </controlPr>
            </control>
          </mc:Choice>
        </mc:AlternateContent>
        <mc:AlternateContent xmlns:mc="http://schemas.openxmlformats.org/markup-compatibility/2006">
          <mc:Choice Requires="x14">
            <control shapeId="91142" r:id="rId9" name="Button 6">
              <controlPr defaultSize="0" print="0" autoFill="0" autoPict="0" macro="[0]!AjouterNouvelleLigneAutomatiqueEQ">
                <anchor moveWithCells="1" sizeWithCells="1">
                  <from>
                    <xdr:col>0</xdr:col>
                    <xdr:colOff>2184400</xdr:colOff>
                    <xdr:row>57</xdr:row>
                    <xdr:rowOff>488950</xdr:rowOff>
                  </from>
                  <to>
                    <xdr:col>1</xdr:col>
                    <xdr:colOff>1104900</xdr:colOff>
                    <xdr:row>57</xdr:row>
                    <xdr:rowOff>876300</xdr:rowOff>
                  </to>
                </anchor>
              </controlPr>
            </control>
          </mc:Choice>
        </mc:AlternateContent>
        <mc:AlternateContent xmlns:mc="http://schemas.openxmlformats.org/markup-compatibility/2006">
          <mc:Choice Requires="x14">
            <control shapeId="91143" r:id="rId10" name="Button 7">
              <controlPr defaultSize="0" print="0" autoFill="0" autoPict="0" macro="[0]!SupprimerLignesAutomatiquesEQ">
                <anchor moveWithCells="1" sizeWithCells="1">
                  <from>
                    <xdr:col>1</xdr:col>
                    <xdr:colOff>1143000</xdr:colOff>
                    <xdr:row>57</xdr:row>
                    <xdr:rowOff>495300</xdr:rowOff>
                  </from>
                  <to>
                    <xdr:col>1</xdr:col>
                    <xdr:colOff>2451100</xdr:colOff>
                    <xdr:row>57</xdr:row>
                    <xdr:rowOff>876300</xdr:rowOff>
                  </to>
                </anchor>
              </controlPr>
            </control>
          </mc:Choice>
        </mc:AlternateContent>
        <mc:AlternateContent xmlns:mc="http://schemas.openxmlformats.org/markup-compatibility/2006">
          <mc:Choice Requires="x14">
            <control shapeId="91144" r:id="rId11" name="Button 8">
              <controlPr defaultSize="0" print="0" autoFill="0" autoPict="0" macro="[0]!AjouterNouvelleLigneAutomatiquePF">
                <anchor moveWithCells="1" sizeWithCells="1">
                  <from>
                    <xdr:col>1</xdr:col>
                    <xdr:colOff>50800</xdr:colOff>
                    <xdr:row>50</xdr:row>
                    <xdr:rowOff>304800</xdr:rowOff>
                  </from>
                  <to>
                    <xdr:col>1</xdr:col>
                    <xdr:colOff>1035050</xdr:colOff>
                    <xdr:row>50</xdr:row>
                    <xdr:rowOff>844550</xdr:rowOff>
                  </to>
                </anchor>
              </controlPr>
            </control>
          </mc:Choice>
        </mc:AlternateContent>
        <mc:AlternateContent xmlns:mc="http://schemas.openxmlformats.org/markup-compatibility/2006">
          <mc:Choice Requires="x14">
            <control shapeId="91145" r:id="rId12" name="Button 9">
              <controlPr defaultSize="0" print="0" autoFill="0" autoPict="0" macro="[0]!SupprimerLignesAutomatiquesPF">
                <anchor moveWithCells="1" sizeWithCells="1">
                  <from>
                    <xdr:col>1</xdr:col>
                    <xdr:colOff>1047750</xdr:colOff>
                    <xdr:row>50</xdr:row>
                    <xdr:rowOff>311150</xdr:rowOff>
                  </from>
                  <to>
                    <xdr:col>1</xdr:col>
                    <xdr:colOff>2133600</xdr:colOff>
                    <xdr:row>50</xdr:row>
                    <xdr:rowOff>844550</xdr:rowOff>
                  </to>
                </anchor>
              </controlPr>
            </control>
          </mc:Choice>
        </mc:AlternateContent>
        <mc:AlternateContent xmlns:mc="http://schemas.openxmlformats.org/markup-compatibility/2006">
          <mc:Choice Requires="x14">
            <control shapeId="91146" r:id="rId13" name="Button 10">
              <controlPr defaultSize="0" print="0" autoFill="0" autoPict="0" macro="[0]!AjouterNouvelleLignePersonaliseePF">
                <anchor moveWithCells="1" sizeWithCells="1">
                  <from>
                    <xdr:col>1</xdr:col>
                    <xdr:colOff>2139950</xdr:colOff>
                    <xdr:row>50</xdr:row>
                    <xdr:rowOff>311150</xdr:rowOff>
                  </from>
                  <to>
                    <xdr:col>1</xdr:col>
                    <xdr:colOff>3181350</xdr:colOff>
                    <xdr:row>50</xdr:row>
                    <xdr:rowOff>844550</xdr:rowOff>
                  </to>
                </anchor>
              </controlPr>
            </control>
          </mc:Choice>
        </mc:AlternateContent>
        <mc:AlternateContent xmlns:mc="http://schemas.openxmlformats.org/markup-compatibility/2006">
          <mc:Choice Requires="x14">
            <control shapeId="91147" r:id="rId14" name="Button 11">
              <controlPr defaultSize="0" print="0" autoFill="0" autoPict="0" macro="[0]!AjouterNouvelleLignePersonaliseeEQ">
                <anchor moveWithCells="1" sizeWithCells="1">
                  <from>
                    <xdr:col>1</xdr:col>
                    <xdr:colOff>2463800</xdr:colOff>
                    <xdr:row>57</xdr:row>
                    <xdr:rowOff>488950</xdr:rowOff>
                  </from>
                  <to>
                    <xdr:col>1</xdr:col>
                    <xdr:colOff>3511550</xdr:colOff>
                    <xdr:row>57</xdr:row>
                    <xdr:rowOff>857250</xdr:rowOff>
                  </to>
                </anchor>
              </controlPr>
            </control>
          </mc:Choice>
        </mc:AlternateContent>
        <mc:AlternateContent xmlns:mc="http://schemas.openxmlformats.org/markup-compatibility/2006">
          <mc:Choice Requires="x14">
            <control shapeId="91148" r:id="rId15" name="Button 12">
              <controlPr defaultSize="0" print="0" autoFill="0" autoPict="0" macro="[0]!AjouterNouvelleLigneAutomatiqueP">
                <anchor moveWithCells="1" sizeWithCells="1">
                  <from>
                    <xdr:col>1</xdr:col>
                    <xdr:colOff>25400</xdr:colOff>
                    <xdr:row>5</xdr:row>
                    <xdr:rowOff>361950</xdr:rowOff>
                  </from>
                  <to>
                    <xdr:col>1</xdr:col>
                    <xdr:colOff>1054100</xdr:colOff>
                    <xdr:row>5</xdr:row>
                    <xdr:rowOff>723900</xdr:rowOff>
                  </to>
                </anchor>
              </controlPr>
            </control>
          </mc:Choice>
        </mc:AlternateContent>
        <mc:AlternateContent xmlns:mc="http://schemas.openxmlformats.org/markup-compatibility/2006">
          <mc:Choice Requires="x14">
            <control shapeId="91149" r:id="rId16" name="Button 13">
              <controlPr defaultSize="0" print="0" autoFill="0" autoPict="0" macro="[0]!AjouterNouvelleLigneAutomatiquePA">
                <anchor moveWithCells="1" sizeWithCells="1">
                  <from>
                    <xdr:col>1</xdr:col>
                    <xdr:colOff>25400</xdr:colOff>
                    <xdr:row>64</xdr:row>
                    <xdr:rowOff>577850</xdr:rowOff>
                  </from>
                  <to>
                    <xdr:col>1</xdr:col>
                    <xdr:colOff>1162050</xdr:colOff>
                    <xdr:row>64</xdr:row>
                    <xdr:rowOff>996950</xdr:rowOff>
                  </to>
                </anchor>
              </controlPr>
            </control>
          </mc:Choice>
        </mc:AlternateContent>
        <mc:AlternateContent xmlns:mc="http://schemas.openxmlformats.org/markup-compatibility/2006">
          <mc:Choice Requires="x14">
            <control shapeId="91150" r:id="rId17" name="Button 14">
              <controlPr defaultSize="0" print="0" autoFill="0" autoPict="0" macro="[0]!SupprimerLignesAutomatiquesPA">
                <anchor moveWithCells="1" sizeWithCells="1">
                  <from>
                    <xdr:col>1</xdr:col>
                    <xdr:colOff>1174750</xdr:colOff>
                    <xdr:row>64</xdr:row>
                    <xdr:rowOff>577850</xdr:rowOff>
                  </from>
                  <to>
                    <xdr:col>1</xdr:col>
                    <xdr:colOff>2774950</xdr:colOff>
                    <xdr:row>64</xdr:row>
                    <xdr:rowOff>984250</xdr:rowOff>
                  </to>
                </anchor>
              </controlPr>
            </control>
          </mc:Choice>
        </mc:AlternateContent>
        <mc:AlternateContent xmlns:mc="http://schemas.openxmlformats.org/markup-compatibility/2006">
          <mc:Choice Requires="x14">
            <control shapeId="91151" r:id="rId18" name="Button 15">
              <controlPr defaultSize="0" print="0" autoFill="0" autoPict="0" macro="[0]!AjouterNouvelleLignePersonaliseePA">
                <anchor moveWithCells="1" sizeWithCells="1">
                  <from>
                    <xdr:col>1</xdr:col>
                    <xdr:colOff>2794000</xdr:colOff>
                    <xdr:row>64</xdr:row>
                    <xdr:rowOff>552450</xdr:rowOff>
                  </from>
                  <to>
                    <xdr:col>2</xdr:col>
                    <xdr:colOff>158750</xdr:colOff>
                    <xdr:row>64</xdr:row>
                    <xdr:rowOff>984250</xdr:rowOff>
                  </to>
                </anchor>
              </controlPr>
            </control>
          </mc:Choice>
        </mc:AlternateContent>
        <mc:AlternateContent xmlns:mc="http://schemas.openxmlformats.org/markup-compatibility/2006">
          <mc:Choice Requires="x14">
            <control shapeId="91152" r:id="rId19" name="Button 16">
              <controlPr defaultSize="0" print="0" autoFill="0" autoPict="0" macro="[0]!AjouterNouvelleLigneAutomatiqueM2">
                <anchor moveWithCells="1" sizeWithCells="1">
                  <from>
                    <xdr:col>1</xdr:col>
                    <xdr:colOff>57150</xdr:colOff>
                    <xdr:row>38</xdr:row>
                    <xdr:rowOff>533400</xdr:rowOff>
                  </from>
                  <to>
                    <xdr:col>1</xdr:col>
                    <xdr:colOff>1009650</xdr:colOff>
                    <xdr:row>38</xdr:row>
                    <xdr:rowOff>920750</xdr:rowOff>
                  </to>
                </anchor>
              </controlPr>
            </control>
          </mc:Choice>
        </mc:AlternateContent>
        <mc:AlternateContent xmlns:mc="http://schemas.openxmlformats.org/markup-compatibility/2006">
          <mc:Choice Requires="x14">
            <control shapeId="91153" r:id="rId20" name="Button 17">
              <controlPr defaultSize="0" print="0" autoFill="0" autoPict="0" macro="[0]!SupprimerLignesAutomatiquesM2">
                <anchor moveWithCells="1" sizeWithCells="1">
                  <from>
                    <xdr:col>1</xdr:col>
                    <xdr:colOff>1035050</xdr:colOff>
                    <xdr:row>38</xdr:row>
                    <xdr:rowOff>533400</xdr:rowOff>
                  </from>
                  <to>
                    <xdr:col>1</xdr:col>
                    <xdr:colOff>1835150</xdr:colOff>
                    <xdr:row>38</xdr:row>
                    <xdr:rowOff>901700</xdr:rowOff>
                  </to>
                </anchor>
              </controlPr>
            </control>
          </mc:Choice>
        </mc:AlternateContent>
        <mc:AlternateContent xmlns:mc="http://schemas.openxmlformats.org/markup-compatibility/2006">
          <mc:Choice Requires="x14">
            <control shapeId="91154" r:id="rId21" name="Button 18">
              <controlPr defaultSize="0" print="0" autoFill="0" autoPict="0" macro="[0]!AjouterNouvelleLignePersonaliseeM2">
                <anchor moveWithCells="1" sizeWithCells="1">
                  <from>
                    <xdr:col>1</xdr:col>
                    <xdr:colOff>1866900</xdr:colOff>
                    <xdr:row>38</xdr:row>
                    <xdr:rowOff>533400</xdr:rowOff>
                  </from>
                  <to>
                    <xdr:col>2</xdr:col>
                    <xdr:colOff>38100</xdr:colOff>
                    <xdr:row>38</xdr:row>
                    <xdr:rowOff>901700</xdr:rowOff>
                  </to>
                </anchor>
              </controlPr>
            </control>
          </mc:Choice>
        </mc:AlternateContent>
        <mc:AlternateContent xmlns:mc="http://schemas.openxmlformats.org/markup-compatibility/2006">
          <mc:Choice Requires="x14">
            <control shapeId="91155" r:id="rId22" name="Button 19">
              <controlPr defaultSize="0" print="0" autoFill="0" autoPict="0" macro="[0]!AjouterNouvelleLigneAutomatiqueOPE">
                <anchor moveWithCells="1" sizeWithCells="1">
                  <from>
                    <xdr:col>1</xdr:col>
                    <xdr:colOff>25400</xdr:colOff>
                    <xdr:row>10</xdr:row>
                    <xdr:rowOff>361950</xdr:rowOff>
                  </from>
                  <to>
                    <xdr:col>1</xdr:col>
                    <xdr:colOff>1054100</xdr:colOff>
                    <xdr:row>10</xdr:row>
                    <xdr:rowOff>723900</xdr:rowOff>
                  </to>
                </anchor>
              </controlPr>
            </control>
          </mc:Choice>
        </mc:AlternateContent>
        <mc:AlternateContent xmlns:mc="http://schemas.openxmlformats.org/markup-compatibility/2006">
          <mc:Choice Requires="x14">
            <control shapeId="91156" r:id="rId23" name="Button 20">
              <controlPr defaultSize="0" print="0" autoFill="0" autoPict="0" macro="[0]!SupprimerLignesAutomatiquesOPE">
                <anchor moveWithCells="1" sizeWithCells="1">
                  <from>
                    <xdr:col>1</xdr:col>
                    <xdr:colOff>1079500</xdr:colOff>
                    <xdr:row>10</xdr:row>
                    <xdr:rowOff>349250</xdr:rowOff>
                  </from>
                  <to>
                    <xdr:col>1</xdr:col>
                    <xdr:colOff>2165350</xdr:colOff>
                    <xdr:row>10</xdr:row>
                    <xdr:rowOff>736600</xdr:rowOff>
                  </to>
                </anchor>
              </controlPr>
            </control>
          </mc:Choice>
        </mc:AlternateContent>
        <mc:AlternateContent xmlns:mc="http://schemas.openxmlformats.org/markup-compatibility/2006">
          <mc:Choice Requires="x14">
            <control shapeId="91157" r:id="rId24" name="Button 21">
              <controlPr defaultSize="0" print="0" autoFill="0" autoPict="0" macro="[0]!AjouterNouvelleLignePersonaliseeOPE">
                <anchor moveWithCells="1" sizeWithCells="1">
                  <from>
                    <xdr:col>1</xdr:col>
                    <xdr:colOff>2190750</xdr:colOff>
                    <xdr:row>10</xdr:row>
                    <xdr:rowOff>336550</xdr:rowOff>
                  </from>
                  <to>
                    <xdr:col>1</xdr:col>
                    <xdr:colOff>3930650</xdr:colOff>
                    <xdr:row>10</xdr:row>
                    <xdr:rowOff>736600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BDED3A02-65D4-483F-8003-7A8D7C9E0C1A}">
          <x14:formula1>
            <xm:f>'BPU - 5 titulaires Taux horaire'!$A$4:$A$10</xm:f>
          </x14:formula1>
          <xm:sqref>A13:A14</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JULLIENNE Benjamin</dc:creator>
  <cp:keywords/>
  <dc:description/>
  <cp:lastModifiedBy>NGUYEN Carole</cp:lastModifiedBy>
  <cp:revision/>
  <dcterms:created xsi:type="dcterms:W3CDTF">2015-06-05T18:19:34Z</dcterms:created>
  <dcterms:modified xsi:type="dcterms:W3CDTF">2024-05-03T13:05:24Z</dcterms:modified>
  <cp:category/>
  <cp:contentStatus/>
</cp:coreProperties>
</file>